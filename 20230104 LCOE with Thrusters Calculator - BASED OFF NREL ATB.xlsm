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defaultThemeVersion="166925"/>
  <mc:AlternateContent xmlns:mc="http://schemas.openxmlformats.org/markup-compatibility/2006">
    <mc:Choice Requires="x15">
      <x15ac:absPath xmlns:x15ac="http://schemas.microsoft.com/office/spreadsheetml/2010/11/ac" url="C:\Users\Rudolph\Desktop\Rudolph\0 - CMU - Portugal PhD Files\0 - Research\Wind Energy\Dynamic Positioning\"/>
    </mc:Choice>
  </mc:AlternateContent>
  <xr:revisionPtr revIDLastSave="0" documentId="13_ncr:1_{A5562D2A-805B-46B4-855E-4410FE7781DC}" xr6:coauthVersionLast="47" xr6:coauthVersionMax="47" xr10:uidLastSave="{00000000-0000-0000-0000-000000000000}"/>
  <bookViews>
    <workbookView xWindow="-108" yWindow="-108" windowWidth="23256" windowHeight="12456" activeTab="1" xr2:uid="{CCDC92F2-AFBA-48A6-AA16-70D1C2897460}"/>
  </bookViews>
  <sheets>
    <sheet name="Offshore Wind" sheetId="1" r:id="rId1"/>
    <sheet name="Offshore Wind (2)" sheetId="3" r:id="rId2"/>
    <sheet name="Financial Definitions" sheetId="2" r:id="rId3"/>
  </sheets>
  <externalReferences>
    <externalReference r:id="rId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155" i="3" l="1"/>
  <c r="N53" i="3"/>
  <c r="N54" i="3"/>
  <c r="N55" i="3"/>
  <c r="O81" i="3"/>
  <c r="N81" i="3"/>
  <c r="M81" i="3"/>
  <c r="L81" i="3"/>
  <c r="O80" i="3"/>
  <c r="N80" i="3"/>
  <c r="M80" i="3"/>
  <c r="L80" i="3"/>
  <c r="N41" i="3" s="1"/>
  <c r="O79" i="3"/>
  <c r="N79" i="3"/>
  <c r="M79" i="3"/>
  <c r="L79" i="3"/>
  <c r="O78" i="3"/>
  <c r="N78" i="3"/>
  <c r="M78" i="3"/>
  <c r="L78" i="3"/>
  <c r="O77" i="3"/>
  <c r="N77" i="3"/>
  <c r="M77" i="3"/>
  <c r="L77" i="3"/>
  <c r="N40" i="3" s="1"/>
  <c r="O76" i="3"/>
  <c r="N76" i="3"/>
  <c r="N82" i="3" s="1"/>
  <c r="M76" i="3"/>
  <c r="M82" i="3" s="1"/>
  <c r="L76" i="3"/>
  <c r="O75" i="3"/>
  <c r="N75" i="3"/>
  <c r="M75" i="3"/>
  <c r="L75" i="3"/>
  <c r="N39" i="3" s="1"/>
  <c r="O74" i="3"/>
  <c r="N74" i="3"/>
  <c r="M74" i="3"/>
  <c r="L74" i="3"/>
  <c r="O73" i="3"/>
  <c r="N73" i="3"/>
  <c r="M73" i="3"/>
  <c r="L73" i="3"/>
  <c r="N38" i="3" s="1"/>
  <c r="O72" i="3"/>
  <c r="N72" i="3"/>
  <c r="M72" i="3"/>
  <c r="L72" i="3"/>
  <c r="O71" i="3"/>
  <c r="N71" i="3"/>
  <c r="M71" i="3"/>
  <c r="L71" i="3"/>
  <c r="O70" i="3"/>
  <c r="N70" i="3"/>
  <c r="M70" i="3"/>
  <c r="L70" i="3"/>
  <c r="N37" i="3" s="1"/>
  <c r="O69" i="3"/>
  <c r="N69" i="3"/>
  <c r="M69" i="3"/>
  <c r="L69" i="3"/>
  <c r="O68" i="3"/>
  <c r="N68" i="3"/>
  <c r="M68" i="3"/>
  <c r="L68" i="3"/>
  <c r="O67" i="3"/>
  <c r="N67" i="3"/>
  <c r="M67" i="3"/>
  <c r="L67" i="3"/>
  <c r="N36" i="3" s="1"/>
  <c r="N49" i="3" s="1"/>
  <c r="O66" i="3"/>
  <c r="N66" i="3"/>
  <c r="M66" i="3"/>
  <c r="L66" i="3"/>
  <c r="O65" i="3"/>
  <c r="N65" i="3"/>
  <c r="M65" i="3"/>
  <c r="L65" i="3"/>
  <c r="N35" i="3" s="1"/>
  <c r="O64" i="3"/>
  <c r="N64" i="3"/>
  <c r="M64" i="3"/>
  <c r="L64" i="3"/>
  <c r="O63" i="3"/>
  <c r="N63" i="3"/>
  <c r="M63" i="3"/>
  <c r="L63" i="3"/>
  <c r="N34" i="3" s="1"/>
  <c r="O62" i="3"/>
  <c r="N62" i="3"/>
  <c r="M62" i="3"/>
  <c r="L62" i="3"/>
  <c r="O61" i="3"/>
  <c r="N61" i="3"/>
  <c r="M61" i="3"/>
  <c r="L61" i="3"/>
  <c r="O60" i="3"/>
  <c r="N60" i="3"/>
  <c r="M60" i="3"/>
  <c r="L60" i="3"/>
  <c r="N33" i="3" s="1"/>
  <c r="O59" i="3"/>
  <c r="N59" i="3"/>
  <c r="M59" i="3"/>
  <c r="L59" i="3"/>
  <c r="O58" i="3"/>
  <c r="N58" i="3"/>
  <c r="M58" i="3"/>
  <c r="L58" i="3"/>
  <c r="N31" i="3" s="1"/>
  <c r="L170" i="3"/>
  <c r="S54" i="3" l="1"/>
  <c r="T54" i="3"/>
  <c r="R54" i="3"/>
  <c r="U54" i="3"/>
  <c r="V54" i="3"/>
  <c r="W54" i="3"/>
  <c r="L53" i="3"/>
  <c r="L54" i="3"/>
  <c r="L55" i="3"/>
  <c r="O55" i="3"/>
  <c r="O53" i="3"/>
  <c r="O54" i="3"/>
  <c r="M84" i="3"/>
  <c r="M86" i="3"/>
  <c r="N84" i="3"/>
  <c r="N86" i="3"/>
  <c r="O86" i="3"/>
  <c r="L83" i="3"/>
  <c r="N46" i="3" s="1"/>
  <c r="L85" i="3"/>
  <c r="L87" i="3"/>
  <c r="O84" i="3"/>
  <c r="M83" i="3"/>
  <c r="M85" i="3"/>
  <c r="M87" i="3"/>
  <c r="N83" i="3"/>
  <c r="N85" i="3"/>
  <c r="N87" i="3"/>
  <c r="O83" i="3"/>
  <c r="O85" i="3"/>
  <c r="O87" i="3"/>
  <c r="O82" i="3"/>
  <c r="L82" i="3"/>
  <c r="L84" i="3"/>
  <c r="L86" i="3"/>
  <c r="N47" i="3" s="1"/>
  <c r="N43" i="3" l="1"/>
  <c r="N44" i="3"/>
  <c r="N45" i="3" s="1"/>
  <c r="L175" i="3" l="1"/>
  <c r="M175" i="3"/>
  <c r="N175" i="3"/>
  <c r="O175" i="3"/>
  <c r="L171" i="3"/>
  <c r="M171" i="3"/>
  <c r="N171" i="3"/>
  <c r="O171" i="3"/>
  <c r="M176" i="3"/>
  <c r="N176" i="3"/>
  <c r="O176" i="3"/>
  <c r="L176" i="3"/>
  <c r="M174" i="3"/>
  <c r="N174" i="3"/>
  <c r="O174" i="3"/>
  <c r="L174" i="3"/>
  <c r="M172" i="3"/>
  <c r="N172" i="3"/>
  <c r="O172" i="3"/>
  <c r="L172" i="3"/>
  <c r="M170" i="3"/>
  <c r="N170" i="3"/>
  <c r="O170" i="3"/>
  <c r="M155" i="3" l="1"/>
  <c r="N155" i="3"/>
  <c r="O155" i="3"/>
  <c r="L156" i="3"/>
  <c r="M156" i="3"/>
  <c r="N156" i="3"/>
  <c r="O156" i="3"/>
  <c r="L157" i="3"/>
  <c r="M157" i="3"/>
  <c r="N157" i="3"/>
  <c r="O157" i="3"/>
  <c r="L158" i="3"/>
  <c r="M158" i="3"/>
  <c r="N158" i="3"/>
  <c r="O158" i="3"/>
  <c r="L159" i="3"/>
  <c r="M159" i="3"/>
  <c r="N159" i="3"/>
  <c r="O159" i="3"/>
  <c r="L160" i="3"/>
  <c r="M160" i="3"/>
  <c r="N160" i="3"/>
  <c r="O160" i="3"/>
  <c r="K237" i="3"/>
  <c r="O193" i="3"/>
  <c r="N193" i="3"/>
  <c r="M193" i="3"/>
  <c r="L193" i="3"/>
  <c r="O192" i="3"/>
  <c r="N192" i="3"/>
  <c r="M192" i="3"/>
  <c r="L192" i="3"/>
  <c r="O191" i="3"/>
  <c r="N191" i="3"/>
  <c r="M191" i="3"/>
  <c r="L191" i="3"/>
  <c r="O190" i="3"/>
  <c r="N190" i="3"/>
  <c r="M190" i="3"/>
  <c r="L190" i="3"/>
  <c r="O189" i="3"/>
  <c r="N189" i="3"/>
  <c r="M189" i="3"/>
  <c r="L189" i="3"/>
  <c r="O188" i="3"/>
  <c r="N188" i="3"/>
  <c r="M188" i="3"/>
  <c r="L188" i="3"/>
  <c r="S27" i="3"/>
  <c r="R27" i="3"/>
  <c r="T26" i="3"/>
  <c r="T25" i="3"/>
  <c r="T24" i="3"/>
  <c r="T23" i="3"/>
  <c r="T22" i="3"/>
  <c r="T21" i="3"/>
  <c r="T20" i="3"/>
  <c r="T19" i="3"/>
  <c r="T18" i="3"/>
  <c r="T17" i="3"/>
  <c r="T16" i="3"/>
  <c r="T15" i="3"/>
  <c r="T14" i="3"/>
  <c r="T13" i="3"/>
  <c r="K238" i="3" l="1"/>
  <c r="O111" i="3"/>
  <c r="O112" i="3"/>
  <c r="O113" i="3"/>
  <c r="N111" i="3"/>
  <c r="N113" i="3"/>
  <c r="N112" i="3"/>
  <c r="N108" i="3"/>
  <c r="N115" i="3" s="1"/>
  <c r="N109" i="3"/>
  <c r="N116" i="3" s="1"/>
  <c r="N110" i="3"/>
  <c r="N117" i="3" s="1"/>
  <c r="M111" i="3"/>
  <c r="M118" i="3" s="1"/>
  <c r="M112" i="3"/>
  <c r="M119" i="3" s="1"/>
  <c r="M113" i="3"/>
  <c r="M120" i="3" s="1"/>
  <c r="M109" i="3"/>
  <c r="M116" i="3" s="1"/>
  <c r="M110" i="3"/>
  <c r="M117" i="3" s="1"/>
  <c r="M108" i="3"/>
  <c r="M115" i="3" s="1"/>
  <c r="L111" i="3"/>
  <c r="L118" i="3" s="1"/>
  <c r="L112" i="3"/>
  <c r="L119" i="3" s="1"/>
  <c r="L113" i="3"/>
  <c r="L120" i="3" s="1"/>
  <c r="L109" i="3"/>
  <c r="L116" i="3" s="1"/>
  <c r="L110" i="3"/>
  <c r="L117" i="3" s="1"/>
  <c r="L108" i="3"/>
  <c r="L115" i="3" s="1"/>
  <c r="O110" i="3"/>
  <c r="O117" i="3" s="1"/>
  <c r="O109" i="3"/>
  <c r="O116" i="3" s="1"/>
  <c r="O108" i="3"/>
  <c r="O115" i="3" s="1"/>
  <c r="L245" i="3"/>
  <c r="L250" i="3"/>
  <c r="M247" i="3"/>
  <c r="M252" i="3"/>
  <c r="O237" i="3"/>
  <c r="O243" i="3"/>
  <c r="O255" i="3"/>
  <c r="N253" i="3"/>
  <c r="L244" i="3"/>
  <c r="L255" i="3"/>
  <c r="N236" i="3"/>
  <c r="N248" i="3"/>
  <c r="M246" i="3"/>
  <c r="M251" i="3"/>
  <c r="N254" i="3"/>
  <c r="N237" i="3"/>
  <c r="L246" i="3"/>
  <c r="M248" i="3"/>
  <c r="O244" i="3"/>
  <c r="L251" i="3"/>
  <c r="M253" i="3"/>
  <c r="N255" i="3"/>
  <c r="M236" i="3"/>
  <c r="L247" i="3"/>
  <c r="N243" i="3"/>
  <c r="O245" i="3"/>
  <c r="L252" i="3"/>
  <c r="M254" i="3"/>
  <c r="O250" i="3"/>
  <c r="M237" i="3"/>
  <c r="L248" i="3"/>
  <c r="N244" i="3"/>
  <c r="O246" i="3"/>
  <c r="L253" i="3"/>
  <c r="M255" i="3"/>
  <c r="O251" i="3"/>
  <c r="L236" i="3"/>
  <c r="M243" i="3"/>
  <c r="N245" i="3"/>
  <c r="O247" i="3"/>
  <c r="L254" i="3"/>
  <c r="N250" i="3"/>
  <c r="O252" i="3"/>
  <c r="L237" i="3"/>
  <c r="M244" i="3"/>
  <c r="N246" i="3"/>
  <c r="O248" i="3"/>
  <c r="N251" i="3"/>
  <c r="O253" i="3"/>
  <c r="O236" i="3"/>
  <c r="L243" i="3"/>
  <c r="M245" i="3"/>
  <c r="N247" i="3"/>
  <c r="M250" i="3"/>
  <c r="N252" i="3"/>
  <c r="O254" i="3"/>
  <c r="L238" i="3" l="1"/>
  <c r="M238" i="3"/>
  <c r="O238" i="3"/>
  <c r="N238" i="3"/>
  <c r="K239" i="3"/>
  <c r="L230" i="3"/>
  <c r="L233" i="3" s="1"/>
  <c r="L206" i="3" s="1"/>
  <c r="L231" i="3"/>
  <c r="L234" i="3" s="1"/>
  <c r="L210" i="3" s="1"/>
  <c r="O230" i="3"/>
  <c r="O233" i="3" s="1"/>
  <c r="O206" i="3" s="1"/>
  <c r="N230" i="3"/>
  <c r="N233" i="3" s="1"/>
  <c r="N209" i="3" s="1"/>
  <c r="M230" i="3"/>
  <c r="M233" i="3" s="1"/>
  <c r="M206" i="3" s="1"/>
  <c r="O231" i="3"/>
  <c r="O234" i="3" s="1"/>
  <c r="O210" i="3" s="1"/>
  <c r="N231" i="3"/>
  <c r="N234" i="3" s="1"/>
  <c r="N210" i="3" s="1"/>
  <c r="M231" i="3"/>
  <c r="M234" i="3" s="1"/>
  <c r="M207" i="3" s="1"/>
  <c r="O207" i="3" l="1"/>
  <c r="O209" i="3"/>
  <c r="M210" i="3"/>
  <c r="L207" i="3"/>
  <c r="N206" i="3"/>
  <c r="L209" i="3"/>
  <c r="M209" i="3"/>
  <c r="N207" i="3"/>
  <c r="M214" i="3"/>
  <c r="M218" i="3" s="1"/>
  <c r="L212" i="3"/>
  <c r="L216" i="3" s="1"/>
  <c r="O212" i="3"/>
  <c r="O216" i="3" s="1"/>
  <c r="L214" i="3"/>
  <c r="L218" i="3" s="1"/>
  <c r="O214" i="3"/>
  <c r="O218" i="3" s="1"/>
  <c r="N212" i="3"/>
  <c r="N216" i="3" s="1"/>
  <c r="M212" i="3"/>
  <c r="M216" i="3" s="1"/>
  <c r="N214" i="3"/>
  <c r="N218" i="3" s="1"/>
  <c r="K240" i="3"/>
  <c r="O239" i="3"/>
  <c r="L239" i="3"/>
  <c r="N239" i="3"/>
  <c r="M239" i="3"/>
  <c r="O136" i="3"/>
  <c r="O135" i="3"/>
  <c r="O134" i="3"/>
  <c r="O133" i="3"/>
  <c r="O132" i="3"/>
  <c r="L135" i="3"/>
  <c r="M136" i="3"/>
  <c r="M134" i="3"/>
  <c r="M125" i="3"/>
  <c r="M124" i="3"/>
  <c r="M123" i="3"/>
  <c r="M135" i="3"/>
  <c r="M128" i="3"/>
  <c r="O126" i="3"/>
  <c r="N136" i="3"/>
  <c r="N132" i="3"/>
  <c r="L128" i="3"/>
  <c r="N126" i="3"/>
  <c r="L136" i="3"/>
  <c r="M132" i="3"/>
  <c r="M126" i="3"/>
  <c r="O127" i="3"/>
  <c r="L126" i="3"/>
  <c r="N125" i="3"/>
  <c r="N123" i="3"/>
  <c r="N134" i="3"/>
  <c r="N127" i="3"/>
  <c r="L125" i="3"/>
  <c r="L123" i="3"/>
  <c r="N133" i="3"/>
  <c r="N131" i="3"/>
  <c r="O128" i="3"/>
  <c r="L127" i="3"/>
  <c r="O124" i="3"/>
  <c r="M131" i="3"/>
  <c r="N128" i="3"/>
  <c r="O123" i="3"/>
  <c r="N124" i="3"/>
  <c r="O131" i="3"/>
  <c r="L134" i="3"/>
  <c r="M127" i="3"/>
  <c r="O125" i="3"/>
  <c r="M133" i="3"/>
  <c r="L124" i="3"/>
  <c r="L131" i="3"/>
  <c r="N135" i="3"/>
  <c r="L132" i="3"/>
  <c r="L133" i="3"/>
  <c r="K241" i="3" l="1"/>
  <c r="M240" i="3"/>
  <c r="L240" i="3"/>
  <c r="N240" i="3"/>
  <c r="O240" i="3"/>
  <c r="M241" i="3" l="1"/>
  <c r="M229" i="3" s="1"/>
  <c r="M232" i="3" s="1"/>
  <c r="N241" i="3"/>
  <c r="N229" i="3" s="1"/>
  <c r="N232" i="3" s="1"/>
  <c r="O241" i="3"/>
  <c r="O229" i="3" s="1"/>
  <c r="O232" i="3" s="1"/>
  <c r="L241" i="3"/>
  <c r="L229" i="3" s="1"/>
  <c r="L232" i="3" s="1"/>
  <c r="N119" i="3"/>
  <c r="N120" i="3"/>
  <c r="N118" i="3"/>
  <c r="O120" i="3"/>
  <c r="O118" i="3"/>
  <c r="O119" i="3"/>
  <c r="L208" i="3" l="1"/>
  <c r="L222" i="3" s="1"/>
  <c r="L205" i="3"/>
  <c r="L220" i="3" s="1"/>
  <c r="O208" i="3"/>
  <c r="O222" i="3" s="1"/>
  <c r="O205" i="3"/>
  <c r="O220" i="3" s="1"/>
  <c r="N208" i="3"/>
  <c r="N222" i="3" s="1"/>
  <c r="N205" i="3"/>
  <c r="N220" i="3" s="1"/>
  <c r="M205" i="3"/>
  <c r="M220" i="3" s="1"/>
  <c r="M208" i="3"/>
  <c r="M222" i="3" s="1"/>
  <c r="L211" i="3"/>
  <c r="L215" i="3" s="1"/>
  <c r="L219" i="3" s="1"/>
  <c r="L213" i="3"/>
  <c r="L217" i="3" s="1"/>
  <c r="L221" i="3" s="1"/>
  <c r="O211" i="3"/>
  <c r="O213" i="3"/>
  <c r="O217" i="3" s="1"/>
  <c r="O221" i="3" s="1"/>
  <c r="N213" i="3"/>
  <c r="N217" i="3" s="1"/>
  <c r="N221" i="3" s="1"/>
  <c r="N211" i="3"/>
  <c r="M211" i="3"/>
  <c r="M215" i="3" s="1"/>
  <c r="M213" i="3"/>
  <c r="M217" i="3" s="1"/>
  <c r="M221" i="3" s="1"/>
  <c r="O215" i="3" l="1"/>
  <c r="O219" i="3" s="1"/>
  <c r="N215" i="3"/>
  <c r="N219" i="3" s="1"/>
  <c r="M219" i="3"/>
  <c r="M351" i="1"/>
  <c r="N351" i="1"/>
  <c r="O351" i="1"/>
  <c r="P351" i="1"/>
  <c r="Q351" i="1"/>
  <c r="R351" i="1"/>
  <c r="S351" i="1"/>
  <c r="T351" i="1"/>
  <c r="U351" i="1"/>
  <c r="V351" i="1"/>
  <c r="W351" i="1"/>
  <c r="X351" i="1"/>
  <c r="Y351" i="1"/>
  <c r="Z351" i="1"/>
  <c r="AA351" i="1"/>
  <c r="AB351" i="1"/>
  <c r="AC351" i="1"/>
  <c r="AD351" i="1"/>
  <c r="AE351" i="1"/>
  <c r="AF351" i="1"/>
  <c r="AG351" i="1"/>
  <c r="AH351" i="1"/>
  <c r="AI351" i="1"/>
  <c r="AJ351" i="1"/>
  <c r="AK351" i="1"/>
  <c r="AL351" i="1"/>
  <c r="AM351" i="1"/>
  <c r="AN351" i="1"/>
  <c r="AO351" i="1"/>
  <c r="AP351" i="1"/>
  <c r="AQ351" i="1"/>
  <c r="M352" i="1"/>
  <c r="N352" i="1"/>
  <c r="O352" i="1"/>
  <c r="P352" i="1"/>
  <c r="Q352" i="1"/>
  <c r="R352" i="1"/>
  <c r="S352" i="1"/>
  <c r="T352" i="1"/>
  <c r="U352" i="1"/>
  <c r="V352" i="1"/>
  <c r="W352" i="1"/>
  <c r="X352" i="1"/>
  <c r="Y352" i="1"/>
  <c r="Z352" i="1"/>
  <c r="AA352" i="1"/>
  <c r="AB352" i="1"/>
  <c r="AC352" i="1"/>
  <c r="AD352" i="1"/>
  <c r="AE352" i="1"/>
  <c r="AF352" i="1"/>
  <c r="AG352" i="1"/>
  <c r="AH352" i="1"/>
  <c r="AI352" i="1"/>
  <c r="AJ352" i="1"/>
  <c r="AK352" i="1"/>
  <c r="AL352" i="1"/>
  <c r="AM352" i="1"/>
  <c r="AN352" i="1"/>
  <c r="AO352" i="1"/>
  <c r="AP352" i="1"/>
  <c r="AQ352" i="1"/>
  <c r="M353" i="1"/>
  <c r="N353" i="1"/>
  <c r="O353" i="1"/>
  <c r="P353" i="1"/>
  <c r="Q353" i="1"/>
  <c r="R353" i="1"/>
  <c r="S353" i="1"/>
  <c r="T353" i="1"/>
  <c r="U353" i="1"/>
  <c r="V353" i="1"/>
  <c r="W353" i="1"/>
  <c r="X353" i="1"/>
  <c r="Y353" i="1"/>
  <c r="Z353" i="1"/>
  <c r="AA353" i="1"/>
  <c r="AB353" i="1"/>
  <c r="AC353" i="1"/>
  <c r="AD353" i="1"/>
  <c r="AE353" i="1"/>
  <c r="AF353" i="1"/>
  <c r="AG353" i="1"/>
  <c r="AH353" i="1"/>
  <c r="AI353" i="1"/>
  <c r="AJ353" i="1"/>
  <c r="AK353" i="1"/>
  <c r="AL353" i="1"/>
  <c r="AM353" i="1"/>
  <c r="AN353" i="1"/>
  <c r="AO353" i="1"/>
  <c r="AP353" i="1"/>
  <c r="AQ353" i="1"/>
  <c r="L352" i="1"/>
  <c r="L353" i="1"/>
  <c r="L351" i="1"/>
  <c r="M333" i="1"/>
  <c r="N333" i="1"/>
  <c r="O333" i="1"/>
  <c r="P333" i="1"/>
  <c r="Q333" i="1"/>
  <c r="R333" i="1"/>
  <c r="S333" i="1"/>
  <c r="T333" i="1"/>
  <c r="U333" i="1"/>
  <c r="V333" i="1"/>
  <c r="W333" i="1"/>
  <c r="X333" i="1"/>
  <c r="Y333" i="1"/>
  <c r="Z333" i="1"/>
  <c r="AA333" i="1"/>
  <c r="AB333" i="1"/>
  <c r="AC333" i="1"/>
  <c r="AD333" i="1"/>
  <c r="AE333" i="1"/>
  <c r="AF333" i="1"/>
  <c r="AG333" i="1"/>
  <c r="AH333" i="1"/>
  <c r="AI333" i="1"/>
  <c r="AJ333" i="1"/>
  <c r="AK333" i="1"/>
  <c r="AL333" i="1"/>
  <c r="AM333" i="1"/>
  <c r="AN333" i="1"/>
  <c r="AO333" i="1"/>
  <c r="AP333" i="1"/>
  <c r="AQ333" i="1"/>
  <c r="M334" i="1"/>
  <c r="N334" i="1"/>
  <c r="O334" i="1"/>
  <c r="P334" i="1"/>
  <c r="Q334" i="1"/>
  <c r="R334" i="1"/>
  <c r="S334" i="1"/>
  <c r="T334" i="1"/>
  <c r="U334" i="1"/>
  <c r="V334" i="1"/>
  <c r="W334" i="1"/>
  <c r="X334" i="1"/>
  <c r="Y334" i="1"/>
  <c r="Z334" i="1"/>
  <c r="AA334" i="1"/>
  <c r="AB334" i="1"/>
  <c r="AC334" i="1"/>
  <c r="AD334" i="1"/>
  <c r="AE334" i="1"/>
  <c r="AF334" i="1"/>
  <c r="AG334" i="1"/>
  <c r="AH334" i="1"/>
  <c r="AI334" i="1"/>
  <c r="AJ334" i="1"/>
  <c r="AK334" i="1"/>
  <c r="AL334" i="1"/>
  <c r="AM334" i="1"/>
  <c r="AN334" i="1"/>
  <c r="AO334" i="1"/>
  <c r="AP334" i="1"/>
  <c r="AQ334" i="1"/>
  <c r="M335" i="1"/>
  <c r="N335" i="1"/>
  <c r="O335" i="1"/>
  <c r="P335" i="1"/>
  <c r="Q335" i="1"/>
  <c r="R335" i="1"/>
  <c r="S335" i="1"/>
  <c r="T335" i="1"/>
  <c r="U335" i="1"/>
  <c r="V335" i="1"/>
  <c r="W335" i="1"/>
  <c r="X335" i="1"/>
  <c r="Y335" i="1"/>
  <c r="Z335" i="1"/>
  <c r="AA335" i="1"/>
  <c r="AB335" i="1"/>
  <c r="AC335" i="1"/>
  <c r="AD335" i="1"/>
  <c r="AE335" i="1"/>
  <c r="AF335" i="1"/>
  <c r="AG335" i="1"/>
  <c r="AH335" i="1"/>
  <c r="AI335" i="1"/>
  <c r="AJ335" i="1"/>
  <c r="AK335" i="1"/>
  <c r="AL335" i="1"/>
  <c r="AM335" i="1"/>
  <c r="AN335" i="1"/>
  <c r="AO335" i="1"/>
  <c r="AP335" i="1"/>
  <c r="AQ335" i="1"/>
  <c r="L334" i="1"/>
  <c r="L335" i="1"/>
  <c r="L333" i="1"/>
  <c r="M132" i="1"/>
  <c r="N132" i="1"/>
  <c r="O132" i="1"/>
  <c r="P132" i="1"/>
  <c r="Q132" i="1"/>
  <c r="R132" i="1"/>
  <c r="R219" i="1" s="1"/>
  <c r="S132" i="1"/>
  <c r="T132" i="1"/>
  <c r="U132" i="1"/>
  <c r="V132" i="1"/>
  <c r="W132" i="1"/>
  <c r="X132" i="1"/>
  <c r="Y132" i="1"/>
  <c r="Z132" i="1"/>
  <c r="Z219" i="1" s="1"/>
  <c r="AA132" i="1"/>
  <c r="AB132" i="1"/>
  <c r="AC132" i="1"/>
  <c r="AD132" i="1"/>
  <c r="AE132" i="1"/>
  <c r="AF132" i="1"/>
  <c r="AG132" i="1"/>
  <c r="AH132" i="1"/>
  <c r="AH219" i="1" s="1"/>
  <c r="AI132" i="1"/>
  <c r="AJ132" i="1"/>
  <c r="AK132" i="1"/>
  <c r="AL132" i="1"/>
  <c r="AM132" i="1"/>
  <c r="AN132" i="1"/>
  <c r="AO132" i="1"/>
  <c r="AP132" i="1"/>
  <c r="AP219" i="1" s="1"/>
  <c r="AQ132" i="1"/>
  <c r="M133" i="1"/>
  <c r="N133" i="1"/>
  <c r="O133" i="1"/>
  <c r="P133" i="1"/>
  <c r="Q133" i="1"/>
  <c r="R133" i="1"/>
  <c r="S133" i="1"/>
  <c r="S220" i="1" s="1"/>
  <c r="T133" i="1"/>
  <c r="U133" i="1"/>
  <c r="V133" i="1"/>
  <c r="W133" i="1"/>
  <c r="X133" i="1"/>
  <c r="Y133" i="1"/>
  <c r="Z133" i="1"/>
  <c r="Z220" i="1" s="1"/>
  <c r="AA133" i="1"/>
  <c r="AA220" i="1" s="1"/>
  <c r="AB133" i="1"/>
  <c r="AC133" i="1"/>
  <c r="AD133" i="1"/>
  <c r="AE133" i="1"/>
  <c r="AF133" i="1"/>
  <c r="AG133" i="1"/>
  <c r="AH133" i="1"/>
  <c r="AH220" i="1" s="1"/>
  <c r="AI133" i="1"/>
  <c r="AJ133" i="1"/>
  <c r="AK133" i="1"/>
  <c r="AL133" i="1"/>
  <c r="AM133" i="1"/>
  <c r="AN133" i="1"/>
  <c r="AO133" i="1"/>
  <c r="AP133" i="1"/>
  <c r="AP220" i="1" s="1"/>
  <c r="AQ133" i="1"/>
  <c r="AQ220" i="1" s="1"/>
  <c r="M134" i="1"/>
  <c r="N134" i="1"/>
  <c r="O134" i="1"/>
  <c r="P134" i="1"/>
  <c r="Q134" i="1"/>
  <c r="R134" i="1"/>
  <c r="S134" i="1"/>
  <c r="T134" i="1"/>
  <c r="T221" i="1" s="1"/>
  <c r="U134" i="1"/>
  <c r="V134" i="1"/>
  <c r="W134" i="1"/>
  <c r="X134" i="1"/>
  <c r="Y134" i="1"/>
  <c r="Z134" i="1"/>
  <c r="AA134" i="1"/>
  <c r="AA221" i="1" s="1"/>
  <c r="AB134" i="1"/>
  <c r="AB221" i="1" s="1"/>
  <c r="AC134" i="1"/>
  <c r="AD134" i="1"/>
  <c r="AE134" i="1"/>
  <c r="AF134" i="1"/>
  <c r="AG134" i="1"/>
  <c r="AH134" i="1"/>
  <c r="AI134" i="1"/>
  <c r="AI221" i="1" s="1"/>
  <c r="AJ134" i="1"/>
  <c r="AJ221" i="1" s="1"/>
  <c r="AK134" i="1"/>
  <c r="AL134" i="1"/>
  <c r="AM134" i="1"/>
  <c r="AN134" i="1"/>
  <c r="AO134" i="1"/>
  <c r="AP134" i="1"/>
  <c r="AQ134" i="1"/>
  <c r="AQ221" i="1" s="1"/>
  <c r="L133" i="1"/>
  <c r="L134" i="1"/>
  <c r="L132" i="1"/>
  <c r="L219" i="1" s="1"/>
  <c r="M114" i="1"/>
  <c r="N114" i="1"/>
  <c r="N201" i="1" s="1"/>
  <c r="O114" i="1"/>
  <c r="P114" i="1"/>
  <c r="Q114" i="1"/>
  <c r="Q201" i="1" s="1"/>
  <c r="R114" i="1"/>
  <c r="R201" i="1" s="1"/>
  <c r="S114" i="1"/>
  <c r="S201" i="1" s="1"/>
  <c r="T114" i="1"/>
  <c r="U114" i="1"/>
  <c r="V114" i="1"/>
  <c r="V201" i="1" s="1"/>
  <c r="W114" i="1"/>
  <c r="X114" i="1"/>
  <c r="Y114" i="1"/>
  <c r="Y201" i="1" s="1"/>
  <c r="Z114" i="1"/>
  <c r="Z201" i="1" s="1"/>
  <c r="AA114" i="1"/>
  <c r="AA201" i="1" s="1"/>
  <c r="AB114" i="1"/>
  <c r="AC114" i="1"/>
  <c r="AD114" i="1"/>
  <c r="AD201" i="1" s="1"/>
  <c r="AE114" i="1"/>
  <c r="AF114" i="1"/>
  <c r="AG114" i="1"/>
  <c r="AG201" i="1" s="1"/>
  <c r="AH114" i="1"/>
  <c r="AH201" i="1" s="1"/>
  <c r="AI114" i="1"/>
  <c r="AI201" i="1" s="1"/>
  <c r="AJ114" i="1"/>
  <c r="AK114" i="1"/>
  <c r="AL114" i="1"/>
  <c r="AM114" i="1"/>
  <c r="AN114" i="1"/>
  <c r="AO114" i="1"/>
  <c r="AO201" i="1" s="1"/>
  <c r="AP114" i="1"/>
  <c r="AP201" i="1" s="1"/>
  <c r="AQ114" i="1"/>
  <c r="M115" i="1"/>
  <c r="N115" i="1"/>
  <c r="O115" i="1"/>
  <c r="O202" i="1" s="1"/>
  <c r="P115" i="1"/>
  <c r="Q115" i="1"/>
  <c r="R115" i="1"/>
  <c r="R202" i="1" s="1"/>
  <c r="S115" i="1"/>
  <c r="S202" i="1" s="1"/>
  <c r="T115" i="1"/>
  <c r="T202" i="1" s="1"/>
  <c r="U115" i="1"/>
  <c r="V115" i="1"/>
  <c r="W115" i="1"/>
  <c r="W202" i="1" s="1"/>
  <c r="X115" i="1"/>
  <c r="Y115" i="1"/>
  <c r="Z115" i="1"/>
  <c r="Z202" i="1" s="1"/>
  <c r="AA115" i="1"/>
  <c r="AA202" i="1" s="1"/>
  <c r="AB115" i="1"/>
  <c r="AC115" i="1"/>
  <c r="AD115" i="1"/>
  <c r="AE115" i="1"/>
  <c r="AF115" i="1"/>
  <c r="AG115" i="1"/>
  <c r="AH115" i="1"/>
  <c r="AH202" i="1" s="1"/>
  <c r="AI115" i="1"/>
  <c r="AI202" i="1" s="1"/>
  <c r="AJ115" i="1"/>
  <c r="AJ202" i="1" s="1"/>
  <c r="AK115" i="1"/>
  <c r="AL115" i="1"/>
  <c r="AM115" i="1"/>
  <c r="AM202" i="1" s="1"/>
  <c r="AN115" i="1"/>
  <c r="AO115" i="1"/>
  <c r="AP115" i="1"/>
  <c r="AP202" i="1" s="1"/>
  <c r="AQ115" i="1"/>
  <c r="AQ202" i="1" s="1"/>
  <c r="M116" i="1"/>
  <c r="M203" i="1" s="1"/>
  <c r="N116" i="1"/>
  <c r="O116" i="1"/>
  <c r="P116" i="1"/>
  <c r="Q116" i="1"/>
  <c r="R116" i="1"/>
  <c r="S116" i="1"/>
  <c r="T116" i="1"/>
  <c r="T203" i="1" s="1"/>
  <c r="U116" i="1"/>
  <c r="U203" i="1" s="1"/>
  <c r="V116" i="1"/>
  <c r="W116" i="1"/>
  <c r="X116" i="1"/>
  <c r="X203" i="1" s="1"/>
  <c r="Y116" i="1"/>
  <c r="Z116" i="1"/>
  <c r="AA116" i="1"/>
  <c r="AB116" i="1"/>
  <c r="AB203" i="1" s="1"/>
  <c r="AC116" i="1"/>
  <c r="AD116" i="1"/>
  <c r="AE116" i="1"/>
  <c r="AF116" i="1"/>
  <c r="AF203" i="1" s="1"/>
  <c r="AG116" i="1"/>
  <c r="AH116" i="1"/>
  <c r="AI116" i="1"/>
  <c r="AJ116" i="1"/>
  <c r="AJ203" i="1" s="1"/>
  <c r="AK116" i="1"/>
  <c r="AK203" i="1" s="1"/>
  <c r="AL116" i="1"/>
  <c r="AM116" i="1"/>
  <c r="AN116" i="1"/>
  <c r="AN203" i="1" s="1"/>
  <c r="AO116" i="1"/>
  <c r="AP116" i="1"/>
  <c r="AQ116" i="1"/>
  <c r="M117" i="1"/>
  <c r="N117" i="1"/>
  <c r="O117" i="1"/>
  <c r="O204" i="1" s="1"/>
  <c r="P117" i="1"/>
  <c r="Q117" i="1"/>
  <c r="Q204" i="1" s="1"/>
  <c r="R117" i="1"/>
  <c r="S117" i="1"/>
  <c r="T117" i="1"/>
  <c r="T204" i="1" s="1"/>
  <c r="U117" i="1"/>
  <c r="V117" i="1"/>
  <c r="V204" i="1" s="1"/>
  <c r="W117" i="1"/>
  <c r="W204" i="1" s="1"/>
  <c r="X117" i="1"/>
  <c r="Y117" i="1"/>
  <c r="Y204" i="1" s="1"/>
  <c r="Z117" i="1"/>
  <c r="AA117" i="1"/>
  <c r="AB117" i="1"/>
  <c r="AB204" i="1" s="1"/>
  <c r="AC117" i="1"/>
  <c r="AC204" i="1" s="1"/>
  <c r="AD117" i="1"/>
  <c r="AD204" i="1" s="1"/>
  <c r="AE117" i="1"/>
  <c r="AE204" i="1" s="1"/>
  <c r="AF117" i="1"/>
  <c r="AG117" i="1"/>
  <c r="AG204" i="1" s="1"/>
  <c r="AH117" i="1"/>
  <c r="AI117" i="1"/>
  <c r="AJ117" i="1"/>
  <c r="AJ204" i="1" s="1"/>
  <c r="AK117" i="1"/>
  <c r="AL117" i="1"/>
  <c r="AM117" i="1"/>
  <c r="AM204" i="1" s="1"/>
  <c r="AN117" i="1"/>
  <c r="AO117" i="1"/>
  <c r="AP117" i="1"/>
  <c r="AQ117" i="1"/>
  <c r="M118" i="1"/>
  <c r="N118" i="1"/>
  <c r="N205" i="1" s="1"/>
  <c r="O118" i="1"/>
  <c r="P118" i="1"/>
  <c r="P205" i="1" s="1"/>
  <c r="Q118" i="1"/>
  <c r="R118" i="1"/>
  <c r="S118" i="1"/>
  <c r="T118" i="1"/>
  <c r="U118" i="1"/>
  <c r="V118" i="1"/>
  <c r="V205" i="1" s="1"/>
  <c r="W118" i="1"/>
  <c r="W205" i="1" s="1"/>
  <c r="X118" i="1"/>
  <c r="X205" i="1" s="1"/>
  <c r="Y118" i="1"/>
  <c r="Z118" i="1"/>
  <c r="Z205" i="1" s="1"/>
  <c r="AA118" i="1"/>
  <c r="AB118" i="1"/>
  <c r="AC118" i="1"/>
  <c r="AD118" i="1"/>
  <c r="AD205" i="1" s="1"/>
  <c r="AE118" i="1"/>
  <c r="AE205" i="1" s="1"/>
  <c r="AF118" i="1"/>
  <c r="AF205" i="1" s="1"/>
  <c r="AG118" i="1"/>
  <c r="AH118" i="1"/>
  <c r="AH205" i="1" s="1"/>
  <c r="AI118" i="1"/>
  <c r="AJ118" i="1"/>
  <c r="AK118" i="1"/>
  <c r="AL118" i="1"/>
  <c r="AL205" i="1" s="1"/>
  <c r="AM118" i="1"/>
  <c r="AM205" i="1" s="1"/>
  <c r="AN118" i="1"/>
  <c r="AN205" i="1" s="1"/>
  <c r="AO118" i="1"/>
  <c r="AP118" i="1"/>
  <c r="AQ118" i="1"/>
  <c r="M119" i="1"/>
  <c r="N119" i="1"/>
  <c r="O119" i="1"/>
  <c r="O206" i="1" s="1"/>
  <c r="P119" i="1"/>
  <c r="P206" i="1" s="1"/>
  <c r="Q119" i="1"/>
  <c r="R119" i="1"/>
  <c r="S119" i="1"/>
  <c r="T119" i="1"/>
  <c r="U119" i="1"/>
  <c r="V119" i="1"/>
  <c r="W119" i="1"/>
  <c r="W206" i="1" s="1"/>
  <c r="X119" i="1"/>
  <c r="X206" i="1" s="1"/>
  <c r="Y119" i="1"/>
  <c r="Z119" i="1"/>
  <c r="AA119" i="1"/>
  <c r="AA206" i="1" s="1"/>
  <c r="AB119" i="1"/>
  <c r="AC119" i="1"/>
  <c r="AD119" i="1"/>
  <c r="AE119" i="1"/>
  <c r="AE206" i="1" s="1"/>
  <c r="AF119" i="1"/>
  <c r="AG119" i="1"/>
  <c r="AG206" i="1" s="1"/>
  <c r="AH119" i="1"/>
  <c r="AI119" i="1"/>
  <c r="AI206" i="1" s="1"/>
  <c r="AJ119" i="1"/>
  <c r="AK119" i="1"/>
  <c r="AL119" i="1"/>
  <c r="AM119" i="1"/>
  <c r="AM206" i="1" s="1"/>
  <c r="AN119" i="1"/>
  <c r="AN206" i="1" s="1"/>
  <c r="AO119" i="1"/>
  <c r="AO206" i="1" s="1"/>
  <c r="AP119" i="1"/>
  <c r="AQ119" i="1"/>
  <c r="AQ206" i="1" s="1"/>
  <c r="M120" i="1"/>
  <c r="N120" i="1"/>
  <c r="O120" i="1"/>
  <c r="O207" i="1" s="1"/>
  <c r="P120" i="1"/>
  <c r="P207" i="1" s="1"/>
  <c r="Q120" i="1"/>
  <c r="Q207" i="1" s="1"/>
  <c r="R120" i="1"/>
  <c r="S120" i="1"/>
  <c r="T120" i="1"/>
  <c r="T207" i="1" s="1"/>
  <c r="U120" i="1"/>
  <c r="V120" i="1"/>
  <c r="W120" i="1"/>
  <c r="W207" i="1" s="1"/>
  <c r="X120" i="1"/>
  <c r="X207" i="1" s="1"/>
  <c r="Y120" i="1"/>
  <c r="Y207" i="1" s="1"/>
  <c r="Z120" i="1"/>
  <c r="Z207" i="1" s="1"/>
  <c r="AA120" i="1"/>
  <c r="AB120" i="1"/>
  <c r="AB207" i="1" s="1"/>
  <c r="AC120" i="1"/>
  <c r="AD120" i="1"/>
  <c r="AE120" i="1"/>
  <c r="AE207" i="1" s="1"/>
  <c r="AF120" i="1"/>
  <c r="AF207" i="1" s="1"/>
  <c r="AG120" i="1"/>
  <c r="AG207" i="1" s="1"/>
  <c r="AH120" i="1"/>
  <c r="AI120" i="1"/>
  <c r="AJ120" i="1"/>
  <c r="AK120" i="1"/>
  <c r="AL120" i="1"/>
  <c r="AM120" i="1"/>
  <c r="AM207" i="1" s="1"/>
  <c r="AN120" i="1"/>
  <c r="AN207" i="1" s="1"/>
  <c r="AO120" i="1"/>
  <c r="AP120" i="1"/>
  <c r="AP207" i="1" s="1"/>
  <c r="AQ120" i="1"/>
  <c r="M121" i="1"/>
  <c r="M208" i="1" s="1"/>
  <c r="N121" i="1"/>
  <c r="O121" i="1"/>
  <c r="P121" i="1"/>
  <c r="P208" i="1" s="1"/>
  <c r="Q121" i="1"/>
  <c r="Q208" i="1" s="1"/>
  <c r="R121" i="1"/>
  <c r="R208" i="1" s="1"/>
  <c r="S121" i="1"/>
  <c r="T121" i="1"/>
  <c r="U121" i="1"/>
  <c r="U208" i="1" s="1"/>
  <c r="V121" i="1"/>
  <c r="W121" i="1"/>
  <c r="X121" i="1"/>
  <c r="X208" i="1" s="1"/>
  <c r="Y121" i="1"/>
  <c r="Y208" i="1" s="1"/>
  <c r="Z121" i="1"/>
  <c r="AA121" i="1"/>
  <c r="AA208" i="1" s="1"/>
  <c r="AB121" i="1"/>
  <c r="AC121" i="1"/>
  <c r="AD121" i="1"/>
  <c r="AE121" i="1"/>
  <c r="AF121" i="1"/>
  <c r="AF208" i="1" s="1"/>
  <c r="AG121" i="1"/>
  <c r="AG208" i="1" s="1"/>
  <c r="AH121" i="1"/>
  <c r="AH208" i="1" s="1"/>
  <c r="AI121" i="1"/>
  <c r="AI208" i="1" s="1"/>
  <c r="AJ121" i="1"/>
  <c r="AK121" i="1"/>
  <c r="AK208" i="1" s="1"/>
  <c r="AL121" i="1"/>
  <c r="AM121" i="1"/>
  <c r="AN121" i="1"/>
  <c r="AN208" i="1" s="1"/>
  <c r="AO121" i="1"/>
  <c r="AO208" i="1" s="1"/>
  <c r="AP121" i="1"/>
  <c r="AP208" i="1" s="1"/>
  <c r="AQ121" i="1"/>
  <c r="M122" i="1"/>
  <c r="N122" i="1"/>
  <c r="N209" i="1" s="1"/>
  <c r="O122" i="1"/>
  <c r="P122" i="1"/>
  <c r="Q122" i="1"/>
  <c r="Q209" i="1" s="1"/>
  <c r="R122" i="1"/>
  <c r="R209" i="1" s="1"/>
  <c r="S122" i="1"/>
  <c r="S209" i="1" s="1"/>
  <c r="T122" i="1"/>
  <c r="T209" i="1" s="1"/>
  <c r="U122" i="1"/>
  <c r="V122" i="1"/>
  <c r="V209" i="1" s="1"/>
  <c r="W122" i="1"/>
  <c r="X122" i="1"/>
  <c r="Y122" i="1"/>
  <c r="Y209" i="1" s="1"/>
  <c r="Z122" i="1"/>
  <c r="Z209" i="1" s="1"/>
  <c r="AA122" i="1"/>
  <c r="AB122" i="1"/>
  <c r="AB209" i="1" s="1"/>
  <c r="AC122" i="1"/>
  <c r="AD122" i="1"/>
  <c r="AE122" i="1"/>
  <c r="AF122" i="1"/>
  <c r="AG122" i="1"/>
  <c r="AG209" i="1" s="1"/>
  <c r="AH122" i="1"/>
  <c r="AH209" i="1" s="1"/>
  <c r="AI122" i="1"/>
  <c r="AI209" i="1" s="1"/>
  <c r="AJ122" i="1"/>
  <c r="AJ209" i="1" s="1"/>
  <c r="AK122" i="1"/>
  <c r="AL122" i="1"/>
  <c r="AL209" i="1" s="1"/>
  <c r="AM122" i="1"/>
  <c r="AN122" i="1"/>
  <c r="AO122" i="1"/>
  <c r="AO209" i="1" s="1"/>
  <c r="AP122" i="1"/>
  <c r="AP209" i="1" s="1"/>
  <c r="AQ122" i="1"/>
  <c r="AQ209" i="1" s="1"/>
  <c r="M123" i="1"/>
  <c r="M210" i="1" s="1"/>
  <c r="N123" i="1"/>
  <c r="O123" i="1"/>
  <c r="O210" i="1" s="1"/>
  <c r="P123" i="1"/>
  <c r="Q123" i="1"/>
  <c r="R123" i="1"/>
  <c r="R210" i="1" s="1"/>
  <c r="S123" i="1"/>
  <c r="S210" i="1" s="1"/>
  <c r="T123" i="1"/>
  <c r="T210" i="1" s="1"/>
  <c r="U123" i="1"/>
  <c r="U210" i="1" s="1"/>
  <c r="V123" i="1"/>
  <c r="W123" i="1"/>
  <c r="W210" i="1" s="1"/>
  <c r="X123" i="1"/>
  <c r="Y123" i="1"/>
  <c r="Z123" i="1"/>
  <c r="Z210" i="1" s="1"/>
  <c r="AA123" i="1"/>
  <c r="AA210" i="1" s="1"/>
  <c r="AB123" i="1"/>
  <c r="AB210" i="1" s="1"/>
  <c r="AC123" i="1"/>
  <c r="AC210" i="1" s="1"/>
  <c r="AD123" i="1"/>
  <c r="AE123" i="1"/>
  <c r="AE210" i="1" s="1"/>
  <c r="AF123" i="1"/>
  <c r="AG123" i="1"/>
  <c r="AH123" i="1"/>
  <c r="AH210" i="1" s="1"/>
  <c r="AI123" i="1"/>
  <c r="AI210" i="1" s="1"/>
  <c r="AJ123" i="1"/>
  <c r="AJ210" i="1" s="1"/>
  <c r="AK123" i="1"/>
  <c r="AK210" i="1" s="1"/>
  <c r="AL123" i="1"/>
  <c r="AM123" i="1"/>
  <c r="AM210" i="1" s="1"/>
  <c r="AN123" i="1"/>
  <c r="AO123" i="1"/>
  <c r="AP123" i="1"/>
  <c r="AP210" i="1" s="1"/>
  <c r="AQ123" i="1"/>
  <c r="AQ210" i="1" s="1"/>
  <c r="M124" i="1"/>
  <c r="M211" i="1" s="1"/>
  <c r="N124" i="1"/>
  <c r="O124" i="1"/>
  <c r="P124" i="1"/>
  <c r="P211" i="1" s="1"/>
  <c r="Q124" i="1"/>
  <c r="R124" i="1"/>
  <c r="S124" i="1"/>
  <c r="S211" i="1" s="1"/>
  <c r="T124" i="1"/>
  <c r="T211" i="1" s="1"/>
  <c r="U124" i="1"/>
  <c r="V124" i="1"/>
  <c r="V211" i="1" s="1"/>
  <c r="W124" i="1"/>
  <c r="X124" i="1"/>
  <c r="Y124" i="1"/>
  <c r="Z124" i="1"/>
  <c r="AA124" i="1"/>
  <c r="AA211" i="1" s="1"/>
  <c r="AB124" i="1"/>
  <c r="AB211" i="1" s="1"/>
  <c r="AC124" i="1"/>
  <c r="AC211" i="1" s="1"/>
  <c r="AD124" i="1"/>
  <c r="AE124" i="1"/>
  <c r="AF124" i="1"/>
  <c r="AF211" i="1" s="1"/>
  <c r="AG124" i="1"/>
  <c r="AH124" i="1"/>
  <c r="AI124" i="1"/>
  <c r="AI211" i="1" s="1"/>
  <c r="AJ124" i="1"/>
  <c r="AJ211" i="1" s="1"/>
  <c r="AK124" i="1"/>
  <c r="AK211" i="1" s="1"/>
  <c r="AL124" i="1"/>
  <c r="AL211" i="1" s="1"/>
  <c r="AM124" i="1"/>
  <c r="AN124" i="1"/>
  <c r="AN211" i="1" s="1"/>
  <c r="AO124" i="1"/>
  <c r="AP124" i="1"/>
  <c r="AQ124" i="1"/>
  <c r="AQ211" i="1" s="1"/>
  <c r="M125" i="1"/>
  <c r="M212" i="1" s="1"/>
  <c r="N125" i="1"/>
  <c r="O125" i="1"/>
  <c r="O212" i="1" s="1"/>
  <c r="P125" i="1"/>
  <c r="Q125" i="1"/>
  <c r="Q212" i="1" s="1"/>
  <c r="R125" i="1"/>
  <c r="S125" i="1"/>
  <c r="T125" i="1"/>
  <c r="T212" i="1" s="1"/>
  <c r="U125" i="1"/>
  <c r="U212" i="1" s="1"/>
  <c r="V125" i="1"/>
  <c r="V212" i="1" s="1"/>
  <c r="W125" i="1"/>
  <c r="X125" i="1"/>
  <c r="Y125" i="1"/>
  <c r="Y212" i="1" s="1"/>
  <c r="Z125" i="1"/>
  <c r="AA125" i="1"/>
  <c r="AB125" i="1"/>
  <c r="AB212" i="1" s="1"/>
  <c r="AC125" i="1"/>
  <c r="AC212" i="1" s="1"/>
  <c r="AD125" i="1"/>
  <c r="AD212" i="1" s="1"/>
  <c r="AE125" i="1"/>
  <c r="AE212" i="1" s="1"/>
  <c r="AF125" i="1"/>
  <c r="AG125" i="1"/>
  <c r="AG212" i="1" s="1"/>
  <c r="AH125" i="1"/>
  <c r="AI125" i="1"/>
  <c r="AJ125" i="1"/>
  <c r="AJ212" i="1" s="1"/>
  <c r="AK125" i="1"/>
  <c r="AK212" i="1" s="1"/>
  <c r="AL125" i="1"/>
  <c r="AL212" i="1" s="1"/>
  <c r="AM125" i="1"/>
  <c r="AN125" i="1"/>
  <c r="AO125" i="1"/>
  <c r="AP125" i="1"/>
  <c r="AQ125" i="1"/>
  <c r="M126" i="1"/>
  <c r="M213" i="1" s="1"/>
  <c r="N126" i="1"/>
  <c r="N213" i="1" s="1"/>
  <c r="O126" i="1"/>
  <c r="O213" i="1" s="1"/>
  <c r="P126" i="1"/>
  <c r="P213" i="1" s="1"/>
  <c r="Q126" i="1"/>
  <c r="R126" i="1"/>
  <c r="R213" i="1" s="1"/>
  <c r="S126" i="1"/>
  <c r="T126" i="1"/>
  <c r="U126" i="1"/>
  <c r="U213" i="1" s="1"/>
  <c r="V126" i="1"/>
  <c r="W126" i="1"/>
  <c r="X126" i="1"/>
  <c r="X213" i="1" s="1"/>
  <c r="Y126" i="1"/>
  <c r="Z126" i="1"/>
  <c r="Z213" i="1" s="1"/>
  <c r="AA126" i="1"/>
  <c r="AB126" i="1"/>
  <c r="AC126" i="1"/>
  <c r="AC213" i="1" s="1"/>
  <c r="AD126" i="1"/>
  <c r="AD213" i="1" s="1"/>
  <c r="AE126" i="1"/>
  <c r="AE213" i="1" s="1"/>
  <c r="AF126" i="1"/>
  <c r="AF213" i="1" s="1"/>
  <c r="AG126" i="1"/>
  <c r="AH126" i="1"/>
  <c r="AI126" i="1"/>
  <c r="AJ126" i="1"/>
  <c r="AK126" i="1"/>
  <c r="AK213" i="1" s="1"/>
  <c r="AL126" i="1"/>
  <c r="AL213" i="1" s="1"/>
  <c r="AM126" i="1"/>
  <c r="AM213" i="1" s="1"/>
  <c r="AN126" i="1"/>
  <c r="AN213" i="1" s="1"/>
  <c r="AO126" i="1"/>
  <c r="AP126" i="1"/>
  <c r="AP213" i="1" s="1"/>
  <c r="AQ126" i="1"/>
  <c r="M127" i="1"/>
  <c r="N127" i="1"/>
  <c r="O127" i="1"/>
  <c r="O214" i="1" s="1"/>
  <c r="P127" i="1"/>
  <c r="P214" i="1" s="1"/>
  <c r="Q127" i="1"/>
  <c r="Q214" i="1" s="1"/>
  <c r="R127" i="1"/>
  <c r="S127" i="1"/>
  <c r="T127" i="1"/>
  <c r="U127" i="1"/>
  <c r="V127" i="1"/>
  <c r="W127" i="1"/>
  <c r="W214" i="1" s="1"/>
  <c r="X127" i="1"/>
  <c r="X214" i="1" s="1"/>
  <c r="Y127" i="1"/>
  <c r="Y214" i="1" s="1"/>
  <c r="Z127" i="1"/>
  <c r="AA127" i="1"/>
  <c r="AA214" i="1" s="1"/>
  <c r="AB127" i="1"/>
  <c r="AC127" i="1"/>
  <c r="AD127" i="1"/>
  <c r="AE127" i="1"/>
  <c r="AE214" i="1" s="1"/>
  <c r="AF127" i="1"/>
  <c r="AF214" i="1" s="1"/>
  <c r="AG127" i="1"/>
  <c r="AG214" i="1" s="1"/>
  <c r="AH127" i="1"/>
  <c r="AI127" i="1"/>
  <c r="AI214" i="1" s="1"/>
  <c r="AJ127" i="1"/>
  <c r="AK127" i="1"/>
  <c r="AL127" i="1"/>
  <c r="AM127" i="1"/>
  <c r="AM214" i="1" s="1"/>
  <c r="AN127" i="1"/>
  <c r="AO127" i="1"/>
  <c r="AO214" i="1" s="1"/>
  <c r="AP127" i="1"/>
  <c r="AQ127" i="1"/>
  <c r="AQ214" i="1" s="1"/>
  <c r="M128" i="1"/>
  <c r="N128" i="1"/>
  <c r="O128" i="1"/>
  <c r="P128" i="1"/>
  <c r="P215" i="1" s="1"/>
  <c r="Q128" i="1"/>
  <c r="Q215" i="1" s="1"/>
  <c r="R128" i="1"/>
  <c r="R215" i="1" s="1"/>
  <c r="S128" i="1"/>
  <c r="T128" i="1"/>
  <c r="T215" i="1" s="1"/>
  <c r="U128" i="1"/>
  <c r="V128" i="1"/>
  <c r="W128" i="1"/>
  <c r="X128" i="1"/>
  <c r="X215" i="1" s="1"/>
  <c r="Y128" i="1"/>
  <c r="Y215" i="1" s="1"/>
  <c r="Z128" i="1"/>
  <c r="Z215" i="1" s="1"/>
  <c r="AA128" i="1"/>
  <c r="AB128" i="1"/>
  <c r="AB215" i="1" s="1"/>
  <c r="AC128" i="1"/>
  <c r="AD128" i="1"/>
  <c r="AE128" i="1"/>
  <c r="AF128" i="1"/>
  <c r="AF215" i="1" s="1"/>
  <c r="AG128" i="1"/>
  <c r="AH128" i="1"/>
  <c r="AH215" i="1" s="1"/>
  <c r="AI128" i="1"/>
  <c r="AJ128" i="1"/>
  <c r="AJ215" i="1" s="1"/>
  <c r="AK128" i="1"/>
  <c r="AL128" i="1"/>
  <c r="AM128" i="1"/>
  <c r="AN128" i="1"/>
  <c r="AN215" i="1" s="1"/>
  <c r="AO128" i="1"/>
  <c r="AO215" i="1" s="1"/>
  <c r="AP128" i="1"/>
  <c r="AP215" i="1" s="1"/>
  <c r="AQ128" i="1"/>
  <c r="M129" i="1"/>
  <c r="M216" i="1" s="1"/>
  <c r="N129" i="1"/>
  <c r="O129" i="1"/>
  <c r="P129" i="1"/>
  <c r="P216" i="1" s="1"/>
  <c r="Q129" i="1"/>
  <c r="Q216" i="1" s="1"/>
  <c r="R129" i="1"/>
  <c r="R216" i="1" s="1"/>
  <c r="S129" i="1"/>
  <c r="S216" i="1" s="1"/>
  <c r="T129" i="1"/>
  <c r="U129" i="1"/>
  <c r="U216" i="1" s="1"/>
  <c r="V129" i="1"/>
  <c r="W129" i="1"/>
  <c r="X129" i="1"/>
  <c r="X216" i="1" s="1"/>
  <c r="Y129" i="1"/>
  <c r="Y216" i="1" s="1"/>
  <c r="Z129" i="1"/>
  <c r="Z216" i="1" s="1"/>
  <c r="AA129" i="1"/>
  <c r="AA216" i="1" s="1"/>
  <c r="AB129" i="1"/>
  <c r="AC129" i="1"/>
  <c r="AC216" i="1" s="1"/>
  <c r="AD129" i="1"/>
  <c r="AE129" i="1"/>
  <c r="AF129" i="1"/>
  <c r="AF216" i="1" s="1"/>
  <c r="AG129" i="1"/>
  <c r="AG216" i="1" s="1"/>
  <c r="AH129" i="1"/>
  <c r="AH216" i="1" s="1"/>
  <c r="AI129" i="1"/>
  <c r="AI216" i="1" s="1"/>
  <c r="AJ129" i="1"/>
  <c r="AK129" i="1"/>
  <c r="AL129" i="1"/>
  <c r="AM129" i="1"/>
  <c r="AN129" i="1"/>
  <c r="AN216" i="1" s="1"/>
  <c r="AO129" i="1"/>
  <c r="AO216" i="1" s="1"/>
  <c r="AP129" i="1"/>
  <c r="AP216" i="1" s="1"/>
  <c r="AQ129" i="1"/>
  <c r="AQ216" i="1" s="1"/>
  <c r="M130" i="1"/>
  <c r="N130" i="1"/>
  <c r="O130" i="1"/>
  <c r="P130" i="1"/>
  <c r="Q130" i="1"/>
  <c r="Q217" i="1" s="1"/>
  <c r="R130" i="1"/>
  <c r="R217" i="1" s="1"/>
  <c r="S130" i="1"/>
  <c r="T130" i="1"/>
  <c r="T217" i="1" s="1"/>
  <c r="U130" i="1"/>
  <c r="V130" i="1"/>
  <c r="V217" i="1" s="1"/>
  <c r="W130" i="1"/>
  <c r="X130" i="1"/>
  <c r="Y130" i="1"/>
  <c r="Y217" i="1" s="1"/>
  <c r="Z130" i="1"/>
  <c r="Z217" i="1" s="1"/>
  <c r="AA130" i="1"/>
  <c r="AB130" i="1"/>
  <c r="AB217" i="1" s="1"/>
  <c r="AC130" i="1"/>
  <c r="AD130" i="1"/>
  <c r="AD217" i="1" s="1"/>
  <c r="AE130" i="1"/>
  <c r="AF130" i="1"/>
  <c r="AG130" i="1"/>
  <c r="AG217" i="1" s="1"/>
  <c r="AH130" i="1"/>
  <c r="AH217" i="1" s="1"/>
  <c r="AI130" i="1"/>
  <c r="AI217" i="1" s="1"/>
  <c r="AJ130" i="1"/>
  <c r="AJ217" i="1" s="1"/>
  <c r="AK130" i="1"/>
  <c r="AL130" i="1"/>
  <c r="AL217" i="1" s="1"/>
  <c r="AM130" i="1"/>
  <c r="AN130" i="1"/>
  <c r="AO130" i="1"/>
  <c r="AO217" i="1" s="1"/>
  <c r="AP130" i="1"/>
  <c r="AP217" i="1" s="1"/>
  <c r="AQ130" i="1"/>
  <c r="AQ217" i="1" s="1"/>
  <c r="M131" i="1"/>
  <c r="N131" i="1"/>
  <c r="O131" i="1"/>
  <c r="O218" i="1" s="1"/>
  <c r="P131" i="1"/>
  <c r="Q131" i="1"/>
  <c r="R131" i="1"/>
  <c r="R218" i="1" s="1"/>
  <c r="S131" i="1"/>
  <c r="S218" i="1" s="1"/>
  <c r="T131" i="1"/>
  <c r="T218" i="1" s="1"/>
  <c r="U131" i="1"/>
  <c r="U218" i="1" s="1"/>
  <c r="V131" i="1"/>
  <c r="W131" i="1"/>
  <c r="W218" i="1" s="1"/>
  <c r="X131" i="1"/>
  <c r="Y131" i="1"/>
  <c r="Z131" i="1"/>
  <c r="Z218" i="1" s="1"/>
  <c r="AA131" i="1"/>
  <c r="AA218" i="1" s="1"/>
  <c r="AB131" i="1"/>
  <c r="AB218" i="1" s="1"/>
  <c r="AC131" i="1"/>
  <c r="AD131" i="1"/>
  <c r="AE131" i="1"/>
  <c r="AE218" i="1" s="1"/>
  <c r="AF131" i="1"/>
  <c r="AG131" i="1"/>
  <c r="AH131" i="1"/>
  <c r="AH218" i="1" s="1"/>
  <c r="AI131" i="1"/>
  <c r="AI218" i="1" s="1"/>
  <c r="AJ131" i="1"/>
  <c r="AJ218" i="1" s="1"/>
  <c r="AK131" i="1"/>
  <c r="AK218" i="1" s="1"/>
  <c r="AL131" i="1"/>
  <c r="AM131" i="1"/>
  <c r="AN131" i="1"/>
  <c r="AO131" i="1"/>
  <c r="AP131" i="1"/>
  <c r="AP218" i="1" s="1"/>
  <c r="AQ131" i="1"/>
  <c r="AQ218" i="1" s="1"/>
  <c r="M219" i="1"/>
  <c r="N219" i="1"/>
  <c r="P219" i="1"/>
  <c r="S219" i="1"/>
  <c r="T219" i="1"/>
  <c r="U219" i="1"/>
  <c r="V219" i="1"/>
  <c r="AA219" i="1"/>
  <c r="AB219" i="1"/>
  <c r="AC219" i="1"/>
  <c r="AD219" i="1"/>
  <c r="AI219" i="1"/>
  <c r="AJ219" i="1"/>
  <c r="AL219" i="1"/>
  <c r="AN219" i="1"/>
  <c r="AQ219" i="1"/>
  <c r="M220" i="1"/>
  <c r="N220" i="1"/>
  <c r="Q220" i="1"/>
  <c r="T220" i="1"/>
  <c r="U220" i="1"/>
  <c r="V220" i="1"/>
  <c r="Y220" i="1"/>
  <c r="AB220" i="1"/>
  <c r="AC220" i="1"/>
  <c r="AD220" i="1"/>
  <c r="AJ220" i="1"/>
  <c r="AK220" i="1"/>
  <c r="AO220" i="1"/>
  <c r="M221" i="1"/>
  <c r="N221" i="1"/>
  <c r="O221" i="1"/>
  <c r="R221" i="1"/>
  <c r="U221" i="1"/>
  <c r="V221" i="1"/>
  <c r="AC221" i="1"/>
  <c r="AD221" i="1"/>
  <c r="AE221" i="1"/>
  <c r="AH221" i="1"/>
  <c r="AK221" i="1"/>
  <c r="AL221" i="1"/>
  <c r="AM221" i="1"/>
  <c r="AP221" i="1"/>
  <c r="L115" i="1"/>
  <c r="L116" i="1"/>
  <c r="L117" i="1"/>
  <c r="L204" i="1" s="1"/>
  <c r="L118" i="1"/>
  <c r="L205" i="1" s="1"/>
  <c r="L119" i="1"/>
  <c r="L206" i="1" s="1"/>
  <c r="L120" i="1"/>
  <c r="L121" i="1"/>
  <c r="L208" i="1" s="1"/>
  <c r="L122" i="1"/>
  <c r="L209" i="1" s="1"/>
  <c r="L123" i="1"/>
  <c r="L124" i="1"/>
  <c r="L125" i="1"/>
  <c r="L126" i="1"/>
  <c r="L127" i="1"/>
  <c r="L214" i="1" s="1"/>
  <c r="L128" i="1"/>
  <c r="L129" i="1"/>
  <c r="L130" i="1"/>
  <c r="L217" i="1" s="1"/>
  <c r="L131" i="1"/>
  <c r="L221" i="1"/>
  <c r="L114" i="1"/>
  <c r="K638" i="1"/>
  <c r="K634" i="1"/>
  <c r="K635" i="1" s="1"/>
  <c r="K636" i="1" s="1"/>
  <c r="K637" i="1" s="1"/>
  <c r="AQ530" i="1"/>
  <c r="AP530" i="1"/>
  <c r="AO530" i="1"/>
  <c r="AN530" i="1"/>
  <c r="AM530" i="1"/>
  <c r="AL530" i="1"/>
  <c r="AK530" i="1"/>
  <c r="AJ530" i="1"/>
  <c r="AI530" i="1"/>
  <c r="AH530" i="1"/>
  <c r="AG530" i="1"/>
  <c r="AF530" i="1"/>
  <c r="AE530" i="1"/>
  <c r="AD530" i="1"/>
  <c r="AC530" i="1"/>
  <c r="AB530" i="1"/>
  <c r="AA530" i="1"/>
  <c r="Z530" i="1"/>
  <c r="Y530" i="1"/>
  <c r="X530" i="1"/>
  <c r="W530" i="1"/>
  <c r="V530" i="1"/>
  <c r="U530" i="1"/>
  <c r="T530" i="1"/>
  <c r="S530" i="1"/>
  <c r="R530" i="1"/>
  <c r="Q530" i="1"/>
  <c r="P530" i="1"/>
  <c r="O530" i="1"/>
  <c r="N530" i="1"/>
  <c r="M530" i="1"/>
  <c r="L530" i="1"/>
  <c r="AQ529" i="1"/>
  <c r="AP529" i="1"/>
  <c r="AO529" i="1"/>
  <c r="AN529" i="1"/>
  <c r="AM529" i="1"/>
  <c r="AL529" i="1"/>
  <c r="AK529" i="1"/>
  <c r="AJ529" i="1"/>
  <c r="AI529" i="1"/>
  <c r="AH529" i="1"/>
  <c r="AG529" i="1"/>
  <c r="AF529" i="1"/>
  <c r="AE529" i="1"/>
  <c r="AD529" i="1"/>
  <c r="AC529" i="1"/>
  <c r="AB529" i="1"/>
  <c r="AA529" i="1"/>
  <c r="Z529" i="1"/>
  <c r="Y529" i="1"/>
  <c r="X529" i="1"/>
  <c r="W529" i="1"/>
  <c r="V529" i="1"/>
  <c r="U529" i="1"/>
  <c r="T529" i="1"/>
  <c r="S529" i="1"/>
  <c r="R529" i="1"/>
  <c r="Q529" i="1"/>
  <c r="P529" i="1"/>
  <c r="O529" i="1"/>
  <c r="N529" i="1"/>
  <c r="M529" i="1"/>
  <c r="L529" i="1"/>
  <c r="AQ528" i="1"/>
  <c r="AP528" i="1"/>
  <c r="AO528" i="1"/>
  <c r="AN528" i="1"/>
  <c r="AM528" i="1"/>
  <c r="AL528" i="1"/>
  <c r="AK528" i="1"/>
  <c r="AJ528" i="1"/>
  <c r="AI528" i="1"/>
  <c r="AH528" i="1"/>
  <c r="AG528" i="1"/>
  <c r="AF528" i="1"/>
  <c r="AE528" i="1"/>
  <c r="AD528" i="1"/>
  <c r="AC528" i="1"/>
  <c r="AB528" i="1"/>
  <c r="AA528" i="1"/>
  <c r="Z528" i="1"/>
  <c r="Y528" i="1"/>
  <c r="X528" i="1"/>
  <c r="W528" i="1"/>
  <c r="V528" i="1"/>
  <c r="U528" i="1"/>
  <c r="T528" i="1"/>
  <c r="S528" i="1"/>
  <c r="R528" i="1"/>
  <c r="Q528" i="1"/>
  <c r="P528" i="1"/>
  <c r="O528" i="1"/>
  <c r="N528" i="1"/>
  <c r="M528" i="1"/>
  <c r="L528" i="1"/>
  <c r="AQ527" i="1"/>
  <c r="AP527" i="1"/>
  <c r="AO527" i="1"/>
  <c r="AN527" i="1"/>
  <c r="AM527" i="1"/>
  <c r="AL527" i="1"/>
  <c r="AK527" i="1"/>
  <c r="AJ527" i="1"/>
  <c r="AI527" i="1"/>
  <c r="AH527" i="1"/>
  <c r="AG527" i="1"/>
  <c r="AF527" i="1"/>
  <c r="AE527" i="1"/>
  <c r="AD527" i="1"/>
  <c r="AC527" i="1"/>
  <c r="AB527" i="1"/>
  <c r="AA527" i="1"/>
  <c r="Z527" i="1"/>
  <c r="Y527" i="1"/>
  <c r="X527" i="1"/>
  <c r="W527" i="1"/>
  <c r="V527" i="1"/>
  <c r="U527" i="1"/>
  <c r="T527" i="1"/>
  <c r="S527" i="1"/>
  <c r="R527" i="1"/>
  <c r="Q527" i="1"/>
  <c r="P527" i="1"/>
  <c r="O527" i="1"/>
  <c r="N527" i="1"/>
  <c r="M527" i="1"/>
  <c r="L527" i="1"/>
  <c r="AQ526" i="1"/>
  <c r="AP526" i="1"/>
  <c r="AO526" i="1"/>
  <c r="AN526" i="1"/>
  <c r="AM526" i="1"/>
  <c r="AL526" i="1"/>
  <c r="AK526" i="1"/>
  <c r="AJ526" i="1"/>
  <c r="AI526" i="1"/>
  <c r="AH526" i="1"/>
  <c r="AG526" i="1"/>
  <c r="AF526" i="1"/>
  <c r="AE526" i="1"/>
  <c r="AD526" i="1"/>
  <c r="AC526" i="1"/>
  <c r="AB526" i="1"/>
  <c r="AA526" i="1"/>
  <c r="Z526" i="1"/>
  <c r="Y526" i="1"/>
  <c r="X526" i="1"/>
  <c r="W526" i="1"/>
  <c r="V526" i="1"/>
  <c r="U526" i="1"/>
  <c r="T526" i="1"/>
  <c r="S526" i="1"/>
  <c r="R526" i="1"/>
  <c r="Q526" i="1"/>
  <c r="P526" i="1"/>
  <c r="O526" i="1"/>
  <c r="N526" i="1"/>
  <c r="M526" i="1"/>
  <c r="L526" i="1"/>
  <c r="AQ525" i="1"/>
  <c r="AP525" i="1"/>
  <c r="AO525" i="1"/>
  <c r="AN525" i="1"/>
  <c r="AM525" i="1"/>
  <c r="AL525" i="1"/>
  <c r="AK525" i="1"/>
  <c r="AJ525" i="1"/>
  <c r="AI525" i="1"/>
  <c r="AH525" i="1"/>
  <c r="AG525" i="1"/>
  <c r="AF525" i="1"/>
  <c r="AE525" i="1"/>
  <c r="AD525" i="1"/>
  <c r="AC525" i="1"/>
  <c r="AB525" i="1"/>
  <c r="AA525" i="1"/>
  <c r="Z525" i="1"/>
  <c r="Y525" i="1"/>
  <c r="X525" i="1"/>
  <c r="W525" i="1"/>
  <c r="V525" i="1"/>
  <c r="U525" i="1"/>
  <c r="T525" i="1"/>
  <c r="S525" i="1"/>
  <c r="R525" i="1"/>
  <c r="Q525" i="1"/>
  <c r="P525" i="1"/>
  <c r="O525" i="1"/>
  <c r="N525" i="1"/>
  <c r="M525" i="1"/>
  <c r="L525" i="1"/>
  <c r="AQ524" i="1"/>
  <c r="AP524" i="1"/>
  <c r="AO524" i="1"/>
  <c r="AN524" i="1"/>
  <c r="AM524" i="1"/>
  <c r="AL524" i="1"/>
  <c r="AK524" i="1"/>
  <c r="AJ524" i="1"/>
  <c r="AI524" i="1"/>
  <c r="AH524" i="1"/>
  <c r="AG524" i="1"/>
  <c r="AF524" i="1"/>
  <c r="AE524" i="1"/>
  <c r="AD524" i="1"/>
  <c r="AC524" i="1"/>
  <c r="AB524" i="1"/>
  <c r="AA524" i="1"/>
  <c r="Z524" i="1"/>
  <c r="Y524" i="1"/>
  <c r="X524" i="1"/>
  <c r="W524" i="1"/>
  <c r="V524" i="1"/>
  <c r="U524" i="1"/>
  <c r="T524" i="1"/>
  <c r="S524" i="1"/>
  <c r="R524" i="1"/>
  <c r="Q524" i="1"/>
  <c r="P524" i="1"/>
  <c r="O524" i="1"/>
  <c r="N524" i="1"/>
  <c r="M524" i="1"/>
  <c r="L524" i="1"/>
  <c r="AQ523" i="1"/>
  <c r="AP523" i="1"/>
  <c r="AO523" i="1"/>
  <c r="AN523" i="1"/>
  <c r="AM523" i="1"/>
  <c r="AL523" i="1"/>
  <c r="AK523" i="1"/>
  <c r="AJ523" i="1"/>
  <c r="AI523" i="1"/>
  <c r="AH523" i="1"/>
  <c r="AG523" i="1"/>
  <c r="AF523" i="1"/>
  <c r="AE523" i="1"/>
  <c r="AD523" i="1"/>
  <c r="AC523" i="1"/>
  <c r="AB523" i="1"/>
  <c r="AA523" i="1"/>
  <c r="Z523" i="1"/>
  <c r="Y523" i="1"/>
  <c r="X523" i="1"/>
  <c r="W523" i="1"/>
  <c r="V523" i="1"/>
  <c r="U523" i="1"/>
  <c r="T523" i="1"/>
  <c r="S523" i="1"/>
  <c r="R523" i="1"/>
  <c r="Q523" i="1"/>
  <c r="P523" i="1"/>
  <c r="O523" i="1"/>
  <c r="N523" i="1"/>
  <c r="M523" i="1"/>
  <c r="L523" i="1"/>
  <c r="AQ522" i="1"/>
  <c r="AP522" i="1"/>
  <c r="AO522" i="1"/>
  <c r="AN522" i="1"/>
  <c r="AM522" i="1"/>
  <c r="AL522" i="1"/>
  <c r="AK522" i="1"/>
  <c r="AJ522" i="1"/>
  <c r="AI522" i="1"/>
  <c r="AH522" i="1"/>
  <c r="AG522" i="1"/>
  <c r="AF522" i="1"/>
  <c r="AE522" i="1"/>
  <c r="AD522" i="1"/>
  <c r="AC522" i="1"/>
  <c r="AB522" i="1"/>
  <c r="AA522" i="1"/>
  <c r="Z522" i="1"/>
  <c r="Y522" i="1"/>
  <c r="X522" i="1"/>
  <c r="W522" i="1"/>
  <c r="V522" i="1"/>
  <c r="U522" i="1"/>
  <c r="T522" i="1"/>
  <c r="S522" i="1"/>
  <c r="R522" i="1"/>
  <c r="Q522" i="1"/>
  <c r="P522" i="1"/>
  <c r="O522" i="1"/>
  <c r="N522" i="1"/>
  <c r="M522" i="1"/>
  <c r="L522" i="1"/>
  <c r="AQ521" i="1"/>
  <c r="AP521" i="1"/>
  <c r="AO521" i="1"/>
  <c r="AN521" i="1"/>
  <c r="AM521" i="1"/>
  <c r="AL521" i="1"/>
  <c r="AK521" i="1"/>
  <c r="AJ521" i="1"/>
  <c r="AI521" i="1"/>
  <c r="AH521" i="1"/>
  <c r="AG521" i="1"/>
  <c r="AF521" i="1"/>
  <c r="AE521" i="1"/>
  <c r="AD521" i="1"/>
  <c r="AC521" i="1"/>
  <c r="AB521" i="1"/>
  <c r="AA521" i="1"/>
  <c r="Z521" i="1"/>
  <c r="Y521" i="1"/>
  <c r="X521" i="1"/>
  <c r="W521" i="1"/>
  <c r="V521" i="1"/>
  <c r="U521" i="1"/>
  <c r="T521" i="1"/>
  <c r="S521" i="1"/>
  <c r="R521" i="1"/>
  <c r="Q521" i="1"/>
  <c r="P521" i="1"/>
  <c r="O521" i="1"/>
  <c r="N521" i="1"/>
  <c r="M521" i="1"/>
  <c r="L521" i="1"/>
  <c r="AQ520" i="1"/>
  <c r="AP520" i="1"/>
  <c r="AO520" i="1"/>
  <c r="AN520" i="1"/>
  <c r="AM520" i="1"/>
  <c r="AL520" i="1"/>
  <c r="AK520" i="1"/>
  <c r="AJ520" i="1"/>
  <c r="AI520" i="1"/>
  <c r="AH520" i="1"/>
  <c r="AG520" i="1"/>
  <c r="AF520" i="1"/>
  <c r="AE520" i="1"/>
  <c r="AD520" i="1"/>
  <c r="AC520" i="1"/>
  <c r="AB520" i="1"/>
  <c r="AA520" i="1"/>
  <c r="Z520" i="1"/>
  <c r="Y520" i="1"/>
  <c r="X520" i="1"/>
  <c r="W520" i="1"/>
  <c r="V520" i="1"/>
  <c r="U520" i="1"/>
  <c r="T520" i="1"/>
  <c r="S520" i="1"/>
  <c r="R520" i="1"/>
  <c r="Q520" i="1"/>
  <c r="P520" i="1"/>
  <c r="O520" i="1"/>
  <c r="N520" i="1"/>
  <c r="M520" i="1"/>
  <c r="L520" i="1"/>
  <c r="AQ519" i="1"/>
  <c r="AP519" i="1"/>
  <c r="AO519" i="1"/>
  <c r="AN519" i="1"/>
  <c r="AM519" i="1"/>
  <c r="AL519" i="1"/>
  <c r="AK519" i="1"/>
  <c r="AJ519" i="1"/>
  <c r="AI519" i="1"/>
  <c r="AH519" i="1"/>
  <c r="AG519" i="1"/>
  <c r="AF519" i="1"/>
  <c r="AE519" i="1"/>
  <c r="AD519" i="1"/>
  <c r="AC519" i="1"/>
  <c r="AB519" i="1"/>
  <c r="AA519" i="1"/>
  <c r="Z519" i="1"/>
  <c r="Y519" i="1"/>
  <c r="X519" i="1"/>
  <c r="W519" i="1"/>
  <c r="V519" i="1"/>
  <c r="U519" i="1"/>
  <c r="T519" i="1"/>
  <c r="S519" i="1"/>
  <c r="R519" i="1"/>
  <c r="Q519" i="1"/>
  <c r="P519" i="1"/>
  <c r="O519" i="1"/>
  <c r="N519" i="1"/>
  <c r="M519" i="1"/>
  <c r="L519" i="1"/>
  <c r="AQ518" i="1"/>
  <c r="AP518" i="1"/>
  <c r="AO518" i="1"/>
  <c r="AN518" i="1"/>
  <c r="AM518" i="1"/>
  <c r="AL518" i="1"/>
  <c r="AK518" i="1"/>
  <c r="AJ518" i="1"/>
  <c r="AI518" i="1"/>
  <c r="AH518" i="1"/>
  <c r="AG518" i="1"/>
  <c r="AF518" i="1"/>
  <c r="AE518" i="1"/>
  <c r="AD518" i="1"/>
  <c r="AC518" i="1"/>
  <c r="AB518" i="1"/>
  <c r="AA518" i="1"/>
  <c r="Z518" i="1"/>
  <c r="Y518" i="1"/>
  <c r="X518" i="1"/>
  <c r="W518" i="1"/>
  <c r="V518" i="1"/>
  <c r="U518" i="1"/>
  <c r="T518" i="1"/>
  <c r="S518" i="1"/>
  <c r="R518" i="1"/>
  <c r="Q518" i="1"/>
  <c r="P518" i="1"/>
  <c r="O518" i="1"/>
  <c r="N518" i="1"/>
  <c r="M518" i="1"/>
  <c r="L518" i="1"/>
  <c r="AQ517" i="1"/>
  <c r="AP517" i="1"/>
  <c r="AO517" i="1"/>
  <c r="AN517" i="1"/>
  <c r="AM517" i="1"/>
  <c r="AL517" i="1"/>
  <c r="AK517" i="1"/>
  <c r="AJ517" i="1"/>
  <c r="AI517" i="1"/>
  <c r="AH517" i="1"/>
  <c r="AG517" i="1"/>
  <c r="AF517" i="1"/>
  <c r="AE517" i="1"/>
  <c r="AD517" i="1"/>
  <c r="AC517" i="1"/>
  <c r="AB517" i="1"/>
  <c r="AA517" i="1"/>
  <c r="Z517" i="1"/>
  <c r="Y517" i="1"/>
  <c r="X517" i="1"/>
  <c r="W517" i="1"/>
  <c r="V517" i="1"/>
  <c r="U517" i="1"/>
  <c r="T517" i="1"/>
  <c r="S517" i="1"/>
  <c r="R517" i="1"/>
  <c r="Q517" i="1"/>
  <c r="P517" i="1"/>
  <c r="O517" i="1"/>
  <c r="N517" i="1"/>
  <c r="M517" i="1"/>
  <c r="L517" i="1"/>
  <c r="AQ516" i="1"/>
  <c r="AP516" i="1"/>
  <c r="AO516" i="1"/>
  <c r="AN516" i="1"/>
  <c r="AM516" i="1"/>
  <c r="AL516" i="1"/>
  <c r="AK516" i="1"/>
  <c r="AJ516" i="1"/>
  <c r="AI516" i="1"/>
  <c r="AH516" i="1"/>
  <c r="AG516" i="1"/>
  <c r="AF516" i="1"/>
  <c r="AE516" i="1"/>
  <c r="AD516" i="1"/>
  <c r="AC516" i="1"/>
  <c r="AB516" i="1"/>
  <c r="AA516" i="1"/>
  <c r="Z516" i="1"/>
  <c r="Y516" i="1"/>
  <c r="X516" i="1"/>
  <c r="W516" i="1"/>
  <c r="V516" i="1"/>
  <c r="U516" i="1"/>
  <c r="T516" i="1"/>
  <c r="S516" i="1"/>
  <c r="R516" i="1"/>
  <c r="Q516" i="1"/>
  <c r="P516" i="1"/>
  <c r="O516" i="1"/>
  <c r="N516" i="1"/>
  <c r="M516" i="1"/>
  <c r="L516" i="1"/>
  <c r="AQ515" i="1"/>
  <c r="AP515" i="1"/>
  <c r="AO515" i="1"/>
  <c r="AN515" i="1"/>
  <c r="AM515" i="1"/>
  <c r="AL515" i="1"/>
  <c r="AK515" i="1"/>
  <c r="AJ515" i="1"/>
  <c r="AI515" i="1"/>
  <c r="AH515" i="1"/>
  <c r="AG515" i="1"/>
  <c r="AF515" i="1"/>
  <c r="AE515" i="1"/>
  <c r="AD515" i="1"/>
  <c r="AC515" i="1"/>
  <c r="AB515" i="1"/>
  <c r="AA515" i="1"/>
  <c r="Z515" i="1"/>
  <c r="Y515" i="1"/>
  <c r="X515" i="1"/>
  <c r="W515" i="1"/>
  <c r="V515" i="1"/>
  <c r="U515" i="1"/>
  <c r="T515" i="1"/>
  <c r="S515" i="1"/>
  <c r="R515" i="1"/>
  <c r="Q515" i="1"/>
  <c r="P515" i="1"/>
  <c r="O515" i="1"/>
  <c r="N515" i="1"/>
  <c r="M515" i="1"/>
  <c r="L515" i="1"/>
  <c r="AQ514" i="1"/>
  <c r="AP514" i="1"/>
  <c r="AO514" i="1"/>
  <c r="AN514" i="1"/>
  <c r="AM514" i="1"/>
  <c r="AL514" i="1"/>
  <c r="AK514" i="1"/>
  <c r="AJ514" i="1"/>
  <c r="AI514" i="1"/>
  <c r="AH514" i="1"/>
  <c r="AG514" i="1"/>
  <c r="AF514" i="1"/>
  <c r="AE514" i="1"/>
  <c r="AD514" i="1"/>
  <c r="AC514" i="1"/>
  <c r="AB514" i="1"/>
  <c r="AA514" i="1"/>
  <c r="Z514" i="1"/>
  <c r="Y514" i="1"/>
  <c r="X514" i="1"/>
  <c r="W514" i="1"/>
  <c r="V514" i="1"/>
  <c r="U514" i="1"/>
  <c r="T514" i="1"/>
  <c r="S514" i="1"/>
  <c r="R514" i="1"/>
  <c r="Q514" i="1"/>
  <c r="P514" i="1"/>
  <c r="O514" i="1"/>
  <c r="N514" i="1"/>
  <c r="M514" i="1"/>
  <c r="L514" i="1"/>
  <c r="AQ513" i="1"/>
  <c r="AP513" i="1"/>
  <c r="AO513" i="1"/>
  <c r="AN513" i="1"/>
  <c r="AM513" i="1"/>
  <c r="AL513" i="1"/>
  <c r="AK513" i="1"/>
  <c r="AJ513" i="1"/>
  <c r="AI513" i="1"/>
  <c r="AH513" i="1"/>
  <c r="AG513" i="1"/>
  <c r="AF513" i="1"/>
  <c r="AE513" i="1"/>
  <c r="AD513" i="1"/>
  <c r="AC513" i="1"/>
  <c r="AB513" i="1"/>
  <c r="AA513" i="1"/>
  <c r="Z513" i="1"/>
  <c r="Y513" i="1"/>
  <c r="X513" i="1"/>
  <c r="W513" i="1"/>
  <c r="V513" i="1"/>
  <c r="U513" i="1"/>
  <c r="T513" i="1"/>
  <c r="S513" i="1"/>
  <c r="R513" i="1"/>
  <c r="Q513" i="1"/>
  <c r="P513" i="1"/>
  <c r="O513" i="1"/>
  <c r="N513" i="1"/>
  <c r="M513" i="1"/>
  <c r="L513" i="1"/>
  <c r="AQ512" i="1"/>
  <c r="AP512" i="1"/>
  <c r="AO512" i="1"/>
  <c r="AN512" i="1"/>
  <c r="AM512" i="1"/>
  <c r="AL512" i="1"/>
  <c r="AK512" i="1"/>
  <c r="AJ512" i="1"/>
  <c r="AI512" i="1"/>
  <c r="AH512" i="1"/>
  <c r="AG512" i="1"/>
  <c r="AF512" i="1"/>
  <c r="AE512" i="1"/>
  <c r="AD512" i="1"/>
  <c r="AC512" i="1"/>
  <c r="AB512" i="1"/>
  <c r="AA512" i="1"/>
  <c r="Z512" i="1"/>
  <c r="Y512" i="1"/>
  <c r="X512" i="1"/>
  <c r="W512" i="1"/>
  <c r="V512" i="1"/>
  <c r="U512" i="1"/>
  <c r="T512" i="1"/>
  <c r="S512" i="1"/>
  <c r="R512" i="1"/>
  <c r="Q512" i="1"/>
  <c r="P512" i="1"/>
  <c r="O512" i="1"/>
  <c r="N512" i="1"/>
  <c r="M512" i="1"/>
  <c r="L512" i="1"/>
  <c r="AQ511" i="1"/>
  <c r="AP511" i="1"/>
  <c r="AO511" i="1"/>
  <c r="AN511" i="1"/>
  <c r="AM511" i="1"/>
  <c r="AL511" i="1"/>
  <c r="AK511" i="1"/>
  <c r="AJ511" i="1"/>
  <c r="AI511" i="1"/>
  <c r="AH511" i="1"/>
  <c r="AG511" i="1"/>
  <c r="AF511" i="1"/>
  <c r="AE511" i="1"/>
  <c r="AD511" i="1"/>
  <c r="AC511" i="1"/>
  <c r="AB511" i="1"/>
  <c r="AA511" i="1"/>
  <c r="Z511" i="1"/>
  <c r="Y511" i="1"/>
  <c r="X511" i="1"/>
  <c r="W511" i="1"/>
  <c r="V511" i="1"/>
  <c r="U511" i="1"/>
  <c r="T511" i="1"/>
  <c r="S511" i="1"/>
  <c r="R511" i="1"/>
  <c r="Q511" i="1"/>
  <c r="P511" i="1"/>
  <c r="O511" i="1"/>
  <c r="N511" i="1"/>
  <c r="M511" i="1"/>
  <c r="L511" i="1"/>
  <c r="AQ510" i="1"/>
  <c r="AP510" i="1"/>
  <c r="AO510" i="1"/>
  <c r="AN510" i="1"/>
  <c r="AM510" i="1"/>
  <c r="AL510" i="1"/>
  <c r="AK510" i="1"/>
  <c r="AJ510" i="1"/>
  <c r="AI510" i="1"/>
  <c r="AH510" i="1"/>
  <c r="AG510" i="1"/>
  <c r="AF510" i="1"/>
  <c r="AE510" i="1"/>
  <c r="AD510" i="1"/>
  <c r="AC510" i="1"/>
  <c r="AB510" i="1"/>
  <c r="AA510" i="1"/>
  <c r="Z510" i="1"/>
  <c r="Y510" i="1"/>
  <c r="X510" i="1"/>
  <c r="W510" i="1"/>
  <c r="V510" i="1"/>
  <c r="U510" i="1"/>
  <c r="T510" i="1"/>
  <c r="S510" i="1"/>
  <c r="R510" i="1"/>
  <c r="Q510" i="1"/>
  <c r="P510" i="1"/>
  <c r="O510" i="1"/>
  <c r="N510" i="1"/>
  <c r="M510" i="1"/>
  <c r="L510" i="1"/>
  <c r="AQ509" i="1"/>
  <c r="AP509" i="1"/>
  <c r="AO509" i="1"/>
  <c r="AN509" i="1"/>
  <c r="AM509" i="1"/>
  <c r="AL509" i="1"/>
  <c r="AK509" i="1"/>
  <c r="AJ509" i="1"/>
  <c r="AI509" i="1"/>
  <c r="AH509" i="1"/>
  <c r="AG509" i="1"/>
  <c r="AF509" i="1"/>
  <c r="AE509" i="1"/>
  <c r="AD509" i="1"/>
  <c r="AC509" i="1"/>
  <c r="AB509" i="1"/>
  <c r="AA509" i="1"/>
  <c r="Z509" i="1"/>
  <c r="Y509" i="1"/>
  <c r="X509" i="1"/>
  <c r="W509" i="1"/>
  <c r="V509" i="1"/>
  <c r="U509" i="1"/>
  <c r="T509" i="1"/>
  <c r="S509" i="1"/>
  <c r="R509" i="1"/>
  <c r="Q509" i="1"/>
  <c r="P509" i="1"/>
  <c r="O509" i="1"/>
  <c r="N509" i="1"/>
  <c r="M509" i="1"/>
  <c r="L509" i="1"/>
  <c r="AQ508" i="1"/>
  <c r="AP508" i="1"/>
  <c r="AO508" i="1"/>
  <c r="AN508" i="1"/>
  <c r="AM508" i="1"/>
  <c r="AL508" i="1"/>
  <c r="AK508" i="1"/>
  <c r="AJ508" i="1"/>
  <c r="AI508" i="1"/>
  <c r="AH508" i="1"/>
  <c r="AG508" i="1"/>
  <c r="AF508" i="1"/>
  <c r="AE508" i="1"/>
  <c r="AD508" i="1"/>
  <c r="AC508" i="1"/>
  <c r="AB508" i="1"/>
  <c r="AA508" i="1"/>
  <c r="Z508" i="1"/>
  <c r="Y508" i="1"/>
  <c r="X508" i="1"/>
  <c r="W508" i="1"/>
  <c r="V508" i="1"/>
  <c r="U508" i="1"/>
  <c r="T508" i="1"/>
  <c r="S508" i="1"/>
  <c r="R508" i="1"/>
  <c r="Q508" i="1"/>
  <c r="P508" i="1"/>
  <c r="O508" i="1"/>
  <c r="N508" i="1"/>
  <c r="M508" i="1"/>
  <c r="L508" i="1"/>
  <c r="AQ507" i="1"/>
  <c r="AP507" i="1"/>
  <c r="AO507" i="1"/>
  <c r="AN507" i="1"/>
  <c r="AM507" i="1"/>
  <c r="AL507" i="1"/>
  <c r="AK507" i="1"/>
  <c r="AJ507" i="1"/>
  <c r="AI507" i="1"/>
  <c r="AH507" i="1"/>
  <c r="AG507" i="1"/>
  <c r="AF507" i="1"/>
  <c r="AE507" i="1"/>
  <c r="AD507" i="1"/>
  <c r="AC507" i="1"/>
  <c r="AB507" i="1"/>
  <c r="AA507" i="1"/>
  <c r="Z507" i="1"/>
  <c r="Y507" i="1"/>
  <c r="X507" i="1"/>
  <c r="W507" i="1"/>
  <c r="V507" i="1"/>
  <c r="U507" i="1"/>
  <c r="T507" i="1"/>
  <c r="S507" i="1"/>
  <c r="R507" i="1"/>
  <c r="Q507" i="1"/>
  <c r="P507" i="1"/>
  <c r="O507" i="1"/>
  <c r="N507" i="1"/>
  <c r="M507" i="1"/>
  <c r="L507" i="1"/>
  <c r="AQ506" i="1"/>
  <c r="AP506" i="1"/>
  <c r="AO506" i="1"/>
  <c r="AN506" i="1"/>
  <c r="AM506" i="1"/>
  <c r="AL506" i="1"/>
  <c r="AK506" i="1"/>
  <c r="AJ506" i="1"/>
  <c r="AI506" i="1"/>
  <c r="AH506" i="1"/>
  <c r="AG506" i="1"/>
  <c r="AF506" i="1"/>
  <c r="AE506" i="1"/>
  <c r="AD506" i="1"/>
  <c r="AC506" i="1"/>
  <c r="AB506" i="1"/>
  <c r="AA506" i="1"/>
  <c r="Z506" i="1"/>
  <c r="Y506" i="1"/>
  <c r="X506" i="1"/>
  <c r="W506" i="1"/>
  <c r="V506" i="1"/>
  <c r="U506" i="1"/>
  <c r="T506" i="1"/>
  <c r="S506" i="1"/>
  <c r="R506" i="1"/>
  <c r="Q506" i="1"/>
  <c r="P506" i="1"/>
  <c r="O506" i="1"/>
  <c r="N506" i="1"/>
  <c r="M506" i="1"/>
  <c r="L506" i="1"/>
  <c r="AQ505" i="1"/>
  <c r="AP505" i="1"/>
  <c r="AO505" i="1"/>
  <c r="AN505" i="1"/>
  <c r="AM505" i="1"/>
  <c r="AL505" i="1"/>
  <c r="AK505" i="1"/>
  <c r="AJ505" i="1"/>
  <c r="AI505" i="1"/>
  <c r="AH505" i="1"/>
  <c r="AG505" i="1"/>
  <c r="AF505" i="1"/>
  <c r="AE505" i="1"/>
  <c r="AD505" i="1"/>
  <c r="AC505" i="1"/>
  <c r="AB505" i="1"/>
  <c r="AA505" i="1"/>
  <c r="Z505" i="1"/>
  <c r="Y505" i="1"/>
  <c r="X505" i="1"/>
  <c r="W505" i="1"/>
  <c r="V505" i="1"/>
  <c r="U505" i="1"/>
  <c r="T505" i="1"/>
  <c r="S505" i="1"/>
  <c r="R505" i="1"/>
  <c r="Q505" i="1"/>
  <c r="P505" i="1"/>
  <c r="O505" i="1"/>
  <c r="N505" i="1"/>
  <c r="M505" i="1"/>
  <c r="L505" i="1"/>
  <c r="AQ504" i="1"/>
  <c r="AP504" i="1"/>
  <c r="AO504" i="1"/>
  <c r="AN504" i="1"/>
  <c r="AM504" i="1"/>
  <c r="AL504" i="1"/>
  <c r="AK504" i="1"/>
  <c r="AJ504" i="1"/>
  <c r="AI504" i="1"/>
  <c r="AH504" i="1"/>
  <c r="AG504" i="1"/>
  <c r="AF504" i="1"/>
  <c r="AE504" i="1"/>
  <c r="AD504" i="1"/>
  <c r="AC504" i="1"/>
  <c r="AB504" i="1"/>
  <c r="AA504" i="1"/>
  <c r="Z504" i="1"/>
  <c r="Y504" i="1"/>
  <c r="X504" i="1"/>
  <c r="W504" i="1"/>
  <c r="V504" i="1"/>
  <c r="U504" i="1"/>
  <c r="T504" i="1"/>
  <c r="S504" i="1"/>
  <c r="R504" i="1"/>
  <c r="Q504" i="1"/>
  <c r="P504" i="1"/>
  <c r="O504" i="1"/>
  <c r="N504" i="1"/>
  <c r="M504" i="1"/>
  <c r="L504" i="1"/>
  <c r="AQ503" i="1"/>
  <c r="AP503" i="1"/>
  <c r="AO503" i="1"/>
  <c r="AN503" i="1"/>
  <c r="AM503" i="1"/>
  <c r="AL503" i="1"/>
  <c r="AK503" i="1"/>
  <c r="AJ503" i="1"/>
  <c r="AI503" i="1"/>
  <c r="AH503" i="1"/>
  <c r="AG503" i="1"/>
  <c r="AF503" i="1"/>
  <c r="AE503" i="1"/>
  <c r="AD503" i="1"/>
  <c r="AC503" i="1"/>
  <c r="AB503" i="1"/>
  <c r="AA503" i="1"/>
  <c r="Z503" i="1"/>
  <c r="Y503" i="1"/>
  <c r="X503" i="1"/>
  <c r="W503" i="1"/>
  <c r="V503" i="1"/>
  <c r="U503" i="1"/>
  <c r="T503" i="1"/>
  <c r="S503" i="1"/>
  <c r="R503" i="1"/>
  <c r="Q503" i="1"/>
  <c r="P503" i="1"/>
  <c r="O503" i="1"/>
  <c r="N503" i="1"/>
  <c r="M503" i="1"/>
  <c r="L503" i="1"/>
  <c r="AQ502" i="1"/>
  <c r="AP502" i="1"/>
  <c r="AO502" i="1"/>
  <c r="AN502" i="1"/>
  <c r="AM502" i="1"/>
  <c r="AL502" i="1"/>
  <c r="AK502" i="1"/>
  <c r="AJ502" i="1"/>
  <c r="AI502" i="1"/>
  <c r="AH502" i="1"/>
  <c r="AG502" i="1"/>
  <c r="AF502" i="1"/>
  <c r="AE502" i="1"/>
  <c r="AD502" i="1"/>
  <c r="AC502" i="1"/>
  <c r="AB502" i="1"/>
  <c r="AA502" i="1"/>
  <c r="Z502" i="1"/>
  <c r="Y502" i="1"/>
  <c r="X502" i="1"/>
  <c r="W502" i="1"/>
  <c r="V502" i="1"/>
  <c r="U502" i="1"/>
  <c r="T502" i="1"/>
  <c r="S502" i="1"/>
  <c r="R502" i="1"/>
  <c r="Q502" i="1"/>
  <c r="P502" i="1"/>
  <c r="O502" i="1"/>
  <c r="N502" i="1"/>
  <c r="M502" i="1"/>
  <c r="L502" i="1"/>
  <c r="AQ501" i="1"/>
  <c r="AP501" i="1"/>
  <c r="AO501" i="1"/>
  <c r="AN501" i="1"/>
  <c r="AM501" i="1"/>
  <c r="AL501" i="1"/>
  <c r="AK501" i="1"/>
  <c r="AJ501" i="1"/>
  <c r="AI501" i="1"/>
  <c r="AH501" i="1"/>
  <c r="AG501" i="1"/>
  <c r="AF501" i="1"/>
  <c r="AE501" i="1"/>
  <c r="AD501" i="1"/>
  <c r="AC501" i="1"/>
  <c r="AB501" i="1"/>
  <c r="AA501" i="1"/>
  <c r="Z501" i="1"/>
  <c r="Y501" i="1"/>
  <c r="X501" i="1"/>
  <c r="W501" i="1"/>
  <c r="V501" i="1"/>
  <c r="U501" i="1"/>
  <c r="T501" i="1"/>
  <c r="S501" i="1"/>
  <c r="R501" i="1"/>
  <c r="Q501" i="1"/>
  <c r="P501" i="1"/>
  <c r="O501" i="1"/>
  <c r="N501" i="1"/>
  <c r="M501" i="1"/>
  <c r="L501" i="1"/>
  <c r="AQ500" i="1"/>
  <c r="AP500" i="1"/>
  <c r="AO500" i="1"/>
  <c r="AN500" i="1"/>
  <c r="AM500" i="1"/>
  <c r="AL500" i="1"/>
  <c r="AK500" i="1"/>
  <c r="AJ500" i="1"/>
  <c r="AI500" i="1"/>
  <c r="AH500" i="1"/>
  <c r="AG500" i="1"/>
  <c r="AF500" i="1"/>
  <c r="AE500" i="1"/>
  <c r="AD500" i="1"/>
  <c r="AC500" i="1"/>
  <c r="AB500" i="1"/>
  <c r="AA500" i="1"/>
  <c r="Z500" i="1"/>
  <c r="Y500" i="1"/>
  <c r="X500" i="1"/>
  <c r="W500" i="1"/>
  <c r="V500" i="1"/>
  <c r="U500" i="1"/>
  <c r="T500" i="1"/>
  <c r="S500" i="1"/>
  <c r="R500" i="1"/>
  <c r="Q500" i="1"/>
  <c r="P500" i="1"/>
  <c r="O500" i="1"/>
  <c r="N500" i="1"/>
  <c r="M500" i="1"/>
  <c r="L500" i="1"/>
  <c r="AQ499" i="1"/>
  <c r="AP499" i="1"/>
  <c r="AO499" i="1"/>
  <c r="AN499" i="1"/>
  <c r="AM499" i="1"/>
  <c r="AL499" i="1"/>
  <c r="AK499" i="1"/>
  <c r="AJ499" i="1"/>
  <c r="AI499" i="1"/>
  <c r="AH499" i="1"/>
  <c r="AG499" i="1"/>
  <c r="AF499" i="1"/>
  <c r="AE499" i="1"/>
  <c r="AD499" i="1"/>
  <c r="AC499" i="1"/>
  <c r="AB499" i="1"/>
  <c r="AA499" i="1"/>
  <c r="Z499" i="1"/>
  <c r="Y499" i="1"/>
  <c r="X499" i="1"/>
  <c r="W499" i="1"/>
  <c r="V499" i="1"/>
  <c r="U499" i="1"/>
  <c r="T499" i="1"/>
  <c r="S499" i="1"/>
  <c r="R499" i="1"/>
  <c r="Q499" i="1"/>
  <c r="P499" i="1"/>
  <c r="O499" i="1"/>
  <c r="N499" i="1"/>
  <c r="M499" i="1"/>
  <c r="L499" i="1"/>
  <c r="AQ498" i="1"/>
  <c r="AP498" i="1"/>
  <c r="AO498" i="1"/>
  <c r="AN498" i="1"/>
  <c r="AM498" i="1"/>
  <c r="AL498" i="1"/>
  <c r="AK498" i="1"/>
  <c r="AJ498" i="1"/>
  <c r="AI498" i="1"/>
  <c r="AH498" i="1"/>
  <c r="AG498" i="1"/>
  <c r="AF498" i="1"/>
  <c r="AE498" i="1"/>
  <c r="AD498" i="1"/>
  <c r="AC498" i="1"/>
  <c r="AB498" i="1"/>
  <c r="AA498" i="1"/>
  <c r="Z498" i="1"/>
  <c r="Y498" i="1"/>
  <c r="X498" i="1"/>
  <c r="W498" i="1"/>
  <c r="V498" i="1"/>
  <c r="U498" i="1"/>
  <c r="T498" i="1"/>
  <c r="S498" i="1"/>
  <c r="R498" i="1"/>
  <c r="Q498" i="1"/>
  <c r="P498" i="1"/>
  <c r="O498" i="1"/>
  <c r="N498" i="1"/>
  <c r="M498" i="1"/>
  <c r="L498" i="1"/>
  <c r="AQ497" i="1"/>
  <c r="AP497" i="1"/>
  <c r="AO497" i="1"/>
  <c r="AN497" i="1"/>
  <c r="AM497" i="1"/>
  <c r="AL497" i="1"/>
  <c r="AK497" i="1"/>
  <c r="AJ497" i="1"/>
  <c r="AI497" i="1"/>
  <c r="AH497" i="1"/>
  <c r="AG497" i="1"/>
  <c r="AF497" i="1"/>
  <c r="AE497" i="1"/>
  <c r="AD497" i="1"/>
  <c r="AC497" i="1"/>
  <c r="AB497" i="1"/>
  <c r="AA497" i="1"/>
  <c r="Z497" i="1"/>
  <c r="Y497" i="1"/>
  <c r="X497" i="1"/>
  <c r="W497" i="1"/>
  <c r="V497" i="1"/>
  <c r="U497" i="1"/>
  <c r="T497" i="1"/>
  <c r="S497" i="1"/>
  <c r="R497" i="1"/>
  <c r="Q497" i="1"/>
  <c r="P497" i="1"/>
  <c r="O497" i="1"/>
  <c r="N497" i="1"/>
  <c r="M497" i="1"/>
  <c r="L497" i="1"/>
  <c r="AQ496" i="1"/>
  <c r="AP496" i="1"/>
  <c r="AO496" i="1"/>
  <c r="AN496" i="1"/>
  <c r="AM496" i="1"/>
  <c r="AL496" i="1"/>
  <c r="AK496" i="1"/>
  <c r="AJ496" i="1"/>
  <c r="AI496" i="1"/>
  <c r="AH496" i="1"/>
  <c r="AG496" i="1"/>
  <c r="AF496" i="1"/>
  <c r="AE496" i="1"/>
  <c r="AD496" i="1"/>
  <c r="AC496" i="1"/>
  <c r="AB496" i="1"/>
  <c r="AA496" i="1"/>
  <c r="Z496" i="1"/>
  <c r="Y496" i="1"/>
  <c r="X496" i="1"/>
  <c r="W496" i="1"/>
  <c r="V496" i="1"/>
  <c r="U496" i="1"/>
  <c r="T496" i="1"/>
  <c r="S496" i="1"/>
  <c r="R496" i="1"/>
  <c r="Q496" i="1"/>
  <c r="P496" i="1"/>
  <c r="O496" i="1"/>
  <c r="N496" i="1"/>
  <c r="M496" i="1"/>
  <c r="L496" i="1"/>
  <c r="AQ495" i="1"/>
  <c r="AP495" i="1"/>
  <c r="AO495" i="1"/>
  <c r="AN495" i="1"/>
  <c r="AM495" i="1"/>
  <c r="AL495" i="1"/>
  <c r="AK495" i="1"/>
  <c r="AJ495" i="1"/>
  <c r="AI495" i="1"/>
  <c r="AH495" i="1"/>
  <c r="AG495" i="1"/>
  <c r="AF495" i="1"/>
  <c r="AE495" i="1"/>
  <c r="AD495" i="1"/>
  <c r="AC495" i="1"/>
  <c r="AB495" i="1"/>
  <c r="AA495" i="1"/>
  <c r="Z495" i="1"/>
  <c r="Y495" i="1"/>
  <c r="X495" i="1"/>
  <c r="W495" i="1"/>
  <c r="V495" i="1"/>
  <c r="U495" i="1"/>
  <c r="T495" i="1"/>
  <c r="S495" i="1"/>
  <c r="R495" i="1"/>
  <c r="Q495" i="1"/>
  <c r="P495" i="1"/>
  <c r="O495" i="1"/>
  <c r="N495" i="1"/>
  <c r="M495" i="1"/>
  <c r="L495" i="1"/>
  <c r="AQ494" i="1"/>
  <c r="AP494" i="1"/>
  <c r="AO494" i="1"/>
  <c r="AN494" i="1"/>
  <c r="AM494" i="1"/>
  <c r="AL494" i="1"/>
  <c r="AK494" i="1"/>
  <c r="AJ494" i="1"/>
  <c r="AI494" i="1"/>
  <c r="AH494" i="1"/>
  <c r="AG494" i="1"/>
  <c r="AF494" i="1"/>
  <c r="AE494" i="1"/>
  <c r="AD494" i="1"/>
  <c r="AC494" i="1"/>
  <c r="AB494" i="1"/>
  <c r="AA494" i="1"/>
  <c r="Z494" i="1"/>
  <c r="Y494" i="1"/>
  <c r="X494" i="1"/>
  <c r="W494" i="1"/>
  <c r="V494" i="1"/>
  <c r="U494" i="1"/>
  <c r="T494" i="1"/>
  <c r="S494" i="1"/>
  <c r="R494" i="1"/>
  <c r="Q494" i="1"/>
  <c r="P494" i="1"/>
  <c r="O494" i="1"/>
  <c r="N494" i="1"/>
  <c r="M494" i="1"/>
  <c r="L494" i="1"/>
  <c r="AQ493" i="1"/>
  <c r="AP493" i="1"/>
  <c r="AO493" i="1"/>
  <c r="AN493" i="1"/>
  <c r="AM493" i="1"/>
  <c r="AL493" i="1"/>
  <c r="AK493" i="1"/>
  <c r="AJ493" i="1"/>
  <c r="AI493" i="1"/>
  <c r="AH493" i="1"/>
  <c r="AG493" i="1"/>
  <c r="AF493" i="1"/>
  <c r="AE493" i="1"/>
  <c r="AD493" i="1"/>
  <c r="AC493" i="1"/>
  <c r="AB493" i="1"/>
  <c r="AA493" i="1"/>
  <c r="Z493" i="1"/>
  <c r="Y493" i="1"/>
  <c r="X493" i="1"/>
  <c r="W493" i="1"/>
  <c r="V493" i="1"/>
  <c r="U493" i="1"/>
  <c r="T493" i="1"/>
  <c r="S493" i="1"/>
  <c r="R493" i="1"/>
  <c r="Q493" i="1"/>
  <c r="P493" i="1"/>
  <c r="O493" i="1"/>
  <c r="N493" i="1"/>
  <c r="M493" i="1"/>
  <c r="L493" i="1"/>
  <c r="AQ492" i="1"/>
  <c r="AP492" i="1"/>
  <c r="AO492" i="1"/>
  <c r="AN492" i="1"/>
  <c r="AM492" i="1"/>
  <c r="AL492" i="1"/>
  <c r="AK492" i="1"/>
  <c r="AJ492" i="1"/>
  <c r="AI492" i="1"/>
  <c r="AH492" i="1"/>
  <c r="AG492" i="1"/>
  <c r="AF492" i="1"/>
  <c r="AE492" i="1"/>
  <c r="AD492" i="1"/>
  <c r="AC492" i="1"/>
  <c r="AB492" i="1"/>
  <c r="AA492" i="1"/>
  <c r="Z492" i="1"/>
  <c r="Y492" i="1"/>
  <c r="X492" i="1"/>
  <c r="W492" i="1"/>
  <c r="V492" i="1"/>
  <c r="U492" i="1"/>
  <c r="T492" i="1"/>
  <c r="S492" i="1"/>
  <c r="R492" i="1"/>
  <c r="Q492" i="1"/>
  <c r="P492" i="1"/>
  <c r="O492" i="1"/>
  <c r="N492" i="1"/>
  <c r="M492" i="1"/>
  <c r="L492" i="1"/>
  <c r="AQ491" i="1"/>
  <c r="AP491" i="1"/>
  <c r="AO491" i="1"/>
  <c r="AN491" i="1"/>
  <c r="AM491" i="1"/>
  <c r="AL491" i="1"/>
  <c r="AK491" i="1"/>
  <c r="AJ491" i="1"/>
  <c r="AI491" i="1"/>
  <c r="AH491" i="1"/>
  <c r="AG491" i="1"/>
  <c r="AF491" i="1"/>
  <c r="AE491" i="1"/>
  <c r="AD491" i="1"/>
  <c r="AC491" i="1"/>
  <c r="AB491" i="1"/>
  <c r="AA491" i="1"/>
  <c r="Z491" i="1"/>
  <c r="Y491" i="1"/>
  <c r="X491" i="1"/>
  <c r="W491" i="1"/>
  <c r="V491" i="1"/>
  <c r="U491" i="1"/>
  <c r="T491" i="1"/>
  <c r="S491" i="1"/>
  <c r="R491" i="1"/>
  <c r="Q491" i="1"/>
  <c r="P491" i="1"/>
  <c r="O491" i="1"/>
  <c r="N491" i="1"/>
  <c r="M491" i="1"/>
  <c r="L491" i="1"/>
  <c r="AQ490" i="1"/>
  <c r="AP490" i="1"/>
  <c r="AO490" i="1"/>
  <c r="AN490" i="1"/>
  <c r="AM490" i="1"/>
  <c r="AL490" i="1"/>
  <c r="AK490" i="1"/>
  <c r="AJ490" i="1"/>
  <c r="AI490" i="1"/>
  <c r="AH490" i="1"/>
  <c r="AG490" i="1"/>
  <c r="AF490" i="1"/>
  <c r="AE490" i="1"/>
  <c r="AD490" i="1"/>
  <c r="AC490" i="1"/>
  <c r="AB490" i="1"/>
  <c r="AA490" i="1"/>
  <c r="Z490" i="1"/>
  <c r="Y490" i="1"/>
  <c r="X490" i="1"/>
  <c r="W490" i="1"/>
  <c r="V490" i="1"/>
  <c r="U490" i="1"/>
  <c r="T490" i="1"/>
  <c r="S490" i="1"/>
  <c r="R490" i="1"/>
  <c r="Q490" i="1"/>
  <c r="P490" i="1"/>
  <c r="O490" i="1"/>
  <c r="N490" i="1"/>
  <c r="M490" i="1"/>
  <c r="L490" i="1"/>
  <c r="AQ489" i="1"/>
  <c r="AP489" i="1"/>
  <c r="AO489" i="1"/>
  <c r="AN489" i="1"/>
  <c r="AM489" i="1"/>
  <c r="AL489" i="1"/>
  <c r="AK489" i="1"/>
  <c r="AJ489" i="1"/>
  <c r="AI489" i="1"/>
  <c r="AH489" i="1"/>
  <c r="AG489" i="1"/>
  <c r="AF489" i="1"/>
  <c r="AE489" i="1"/>
  <c r="AD489" i="1"/>
  <c r="AC489" i="1"/>
  <c r="AB489" i="1"/>
  <c r="AA489" i="1"/>
  <c r="Z489" i="1"/>
  <c r="Y489" i="1"/>
  <c r="X489" i="1"/>
  <c r="W489" i="1"/>
  <c r="V489" i="1"/>
  <c r="U489" i="1"/>
  <c r="T489" i="1"/>
  <c r="S489" i="1"/>
  <c r="R489" i="1"/>
  <c r="Q489" i="1"/>
  <c r="P489" i="1"/>
  <c r="O489" i="1"/>
  <c r="N489" i="1"/>
  <c r="M489" i="1"/>
  <c r="L489" i="1"/>
  <c r="AO221" i="1"/>
  <c r="AN221" i="1"/>
  <c r="AG221" i="1"/>
  <c r="AF221" i="1"/>
  <c r="Z221" i="1"/>
  <c r="Y221" i="1"/>
  <c r="X221" i="1"/>
  <c r="W221" i="1"/>
  <c r="S221" i="1"/>
  <c r="Q221" i="1"/>
  <c r="P221" i="1"/>
  <c r="AN220" i="1"/>
  <c r="AM220" i="1"/>
  <c r="AL220" i="1"/>
  <c r="AI220" i="1"/>
  <c r="AG220" i="1"/>
  <c r="AF220" i="1"/>
  <c r="AE220" i="1"/>
  <c r="X220" i="1"/>
  <c r="W220" i="1"/>
  <c r="R220" i="1"/>
  <c r="P220" i="1"/>
  <c r="O220" i="1"/>
  <c r="L220" i="1"/>
  <c r="AO219" i="1"/>
  <c r="AM219" i="1"/>
  <c r="AK219" i="1"/>
  <c r="AG219" i="1"/>
  <c r="AF219" i="1"/>
  <c r="AE219" i="1"/>
  <c r="Y219" i="1"/>
  <c r="X219" i="1"/>
  <c r="W219" i="1"/>
  <c r="Q219" i="1"/>
  <c r="O219" i="1"/>
  <c r="AO218" i="1"/>
  <c r="AN218" i="1"/>
  <c r="AM218" i="1"/>
  <c r="AL218" i="1"/>
  <c r="AG218" i="1"/>
  <c r="AF218" i="1"/>
  <c r="AD218" i="1"/>
  <c r="AC218" i="1"/>
  <c r="Y218" i="1"/>
  <c r="X218" i="1"/>
  <c r="V218" i="1"/>
  <c r="Q218" i="1"/>
  <c r="P218" i="1"/>
  <c r="N218" i="1"/>
  <c r="M218" i="1"/>
  <c r="L218" i="1"/>
  <c r="AN217" i="1"/>
  <c r="AM217" i="1"/>
  <c r="AK217" i="1"/>
  <c r="AF217" i="1"/>
  <c r="AE217" i="1"/>
  <c r="AC217" i="1"/>
  <c r="AA217" i="1"/>
  <c r="X217" i="1"/>
  <c r="W217" i="1"/>
  <c r="U217" i="1"/>
  <c r="S217" i="1"/>
  <c r="P217" i="1"/>
  <c r="O217" i="1"/>
  <c r="N217" i="1"/>
  <c r="M217" i="1"/>
  <c r="AM216" i="1"/>
  <c r="AL216" i="1"/>
  <c r="AK216" i="1"/>
  <c r="AJ216" i="1"/>
  <c r="AE216" i="1"/>
  <c r="AD216" i="1"/>
  <c r="AB216" i="1"/>
  <c r="W216" i="1"/>
  <c r="V216" i="1"/>
  <c r="T216" i="1"/>
  <c r="O216" i="1"/>
  <c r="N216" i="1"/>
  <c r="L216" i="1"/>
  <c r="AQ215" i="1"/>
  <c r="AM215" i="1"/>
  <c r="AL215" i="1"/>
  <c r="AK215" i="1"/>
  <c r="AI215" i="1"/>
  <c r="AG215" i="1"/>
  <c r="AE215" i="1"/>
  <c r="AD215" i="1"/>
  <c r="AC215" i="1"/>
  <c r="AA215" i="1"/>
  <c r="W215" i="1"/>
  <c r="V215" i="1"/>
  <c r="U215" i="1"/>
  <c r="S215" i="1"/>
  <c r="O215" i="1"/>
  <c r="N215" i="1"/>
  <c r="M215" i="1"/>
  <c r="L215" i="1"/>
  <c r="AP214" i="1"/>
  <c r="AN214" i="1"/>
  <c r="AL214" i="1"/>
  <c r="AK214" i="1"/>
  <c r="AJ214" i="1"/>
  <c r="AH214" i="1"/>
  <c r="AD214" i="1"/>
  <c r="AC214" i="1"/>
  <c r="AB214" i="1"/>
  <c r="Z214" i="1"/>
  <c r="V214" i="1"/>
  <c r="U214" i="1"/>
  <c r="T214" i="1"/>
  <c r="S214" i="1"/>
  <c r="R214" i="1"/>
  <c r="N214" i="1"/>
  <c r="M214" i="1"/>
  <c r="AQ213" i="1"/>
  <c r="AO213" i="1"/>
  <c r="AJ213" i="1"/>
  <c r="AI213" i="1"/>
  <c r="AH213" i="1"/>
  <c r="AG213" i="1"/>
  <c r="AB213" i="1"/>
  <c r="AA213" i="1"/>
  <c r="Y213" i="1"/>
  <c r="W213" i="1"/>
  <c r="V213" i="1"/>
  <c r="T213" i="1"/>
  <c r="S213" i="1"/>
  <c r="Q213" i="1"/>
  <c r="L213" i="1"/>
  <c r="AQ212" i="1"/>
  <c r="AP212" i="1"/>
  <c r="AO212" i="1"/>
  <c r="AN212" i="1"/>
  <c r="AM212" i="1"/>
  <c r="AI212" i="1"/>
  <c r="AH212" i="1"/>
  <c r="AF212" i="1"/>
  <c r="AA212" i="1"/>
  <c r="Z212" i="1"/>
  <c r="X212" i="1"/>
  <c r="W212" i="1"/>
  <c r="S212" i="1"/>
  <c r="R212" i="1"/>
  <c r="P212" i="1"/>
  <c r="N212" i="1"/>
  <c r="L212" i="1"/>
  <c r="AP211" i="1"/>
  <c r="AO211" i="1"/>
  <c r="AM211" i="1"/>
  <c r="AH211" i="1"/>
  <c r="AG211" i="1"/>
  <c r="AE211" i="1"/>
  <c r="AD211" i="1"/>
  <c r="Z211" i="1"/>
  <c r="Y211" i="1"/>
  <c r="X211" i="1"/>
  <c r="W211" i="1"/>
  <c r="U211" i="1"/>
  <c r="R211" i="1"/>
  <c r="Q211" i="1"/>
  <c r="O211" i="1"/>
  <c r="N211" i="1"/>
  <c r="L211" i="1"/>
  <c r="AO210" i="1"/>
  <c r="AN210" i="1"/>
  <c r="AL210" i="1"/>
  <c r="AG210" i="1"/>
  <c r="AF210" i="1"/>
  <c r="AD210" i="1"/>
  <c r="Y210" i="1"/>
  <c r="X210" i="1"/>
  <c r="V210" i="1"/>
  <c r="Q210" i="1"/>
  <c r="P210" i="1"/>
  <c r="N210" i="1"/>
  <c r="L210" i="1"/>
  <c r="AN209" i="1"/>
  <c r="AM209" i="1"/>
  <c r="AK209" i="1"/>
  <c r="AF209" i="1"/>
  <c r="AE209" i="1"/>
  <c r="AD209" i="1"/>
  <c r="AC209" i="1"/>
  <c r="AA209" i="1"/>
  <c r="X209" i="1"/>
  <c r="W209" i="1"/>
  <c r="U209" i="1"/>
  <c r="P209" i="1"/>
  <c r="O209" i="1"/>
  <c r="M209" i="1"/>
  <c r="AQ208" i="1"/>
  <c r="AM208" i="1"/>
  <c r="AL208" i="1"/>
  <c r="AJ208" i="1"/>
  <c r="AE208" i="1"/>
  <c r="AD208" i="1"/>
  <c r="AC208" i="1"/>
  <c r="AB208" i="1"/>
  <c r="Z208" i="1"/>
  <c r="W208" i="1"/>
  <c r="V208" i="1"/>
  <c r="T208" i="1"/>
  <c r="S208" i="1"/>
  <c r="O208" i="1"/>
  <c r="N208" i="1"/>
  <c r="AQ207" i="1"/>
  <c r="AO207" i="1"/>
  <c r="AL207" i="1"/>
  <c r="AK207" i="1"/>
  <c r="AJ207" i="1"/>
  <c r="AI207" i="1"/>
  <c r="AH207" i="1"/>
  <c r="AD207" i="1"/>
  <c r="AC207" i="1"/>
  <c r="AA207" i="1"/>
  <c r="V207" i="1"/>
  <c r="U207" i="1"/>
  <c r="S207" i="1"/>
  <c r="R207" i="1"/>
  <c r="N207" i="1"/>
  <c r="M207" i="1"/>
  <c r="L207" i="1"/>
  <c r="AP206" i="1"/>
  <c r="AL206" i="1"/>
  <c r="AK206" i="1"/>
  <c r="AJ206" i="1"/>
  <c r="AH206" i="1"/>
  <c r="AF206" i="1"/>
  <c r="AD206" i="1"/>
  <c r="AC206" i="1"/>
  <c r="AB206" i="1"/>
  <c r="Z206" i="1"/>
  <c r="Y206" i="1"/>
  <c r="V206" i="1"/>
  <c r="U206" i="1"/>
  <c r="T206" i="1"/>
  <c r="S206" i="1"/>
  <c r="R206" i="1"/>
  <c r="Q206" i="1"/>
  <c r="N206" i="1"/>
  <c r="M206" i="1"/>
  <c r="AQ205" i="1"/>
  <c r="AP205" i="1"/>
  <c r="AO205" i="1"/>
  <c r="AK205" i="1"/>
  <c r="AJ205" i="1"/>
  <c r="AI205" i="1"/>
  <c r="AG205" i="1"/>
  <c r="AC205" i="1"/>
  <c r="AB205" i="1"/>
  <c r="AA205" i="1"/>
  <c r="Y205" i="1"/>
  <c r="U205" i="1"/>
  <c r="T205" i="1"/>
  <c r="S205" i="1"/>
  <c r="R205" i="1"/>
  <c r="Q205" i="1"/>
  <c r="O205" i="1"/>
  <c r="M205" i="1"/>
  <c r="AQ204" i="1"/>
  <c r="AP204" i="1"/>
  <c r="AO204" i="1"/>
  <c r="AN204" i="1"/>
  <c r="AL204" i="1"/>
  <c r="AK204" i="1"/>
  <c r="AI204" i="1"/>
  <c r="AH204" i="1"/>
  <c r="AF204" i="1"/>
  <c r="AA204" i="1"/>
  <c r="Z204" i="1"/>
  <c r="X204" i="1"/>
  <c r="U204" i="1"/>
  <c r="S204" i="1"/>
  <c r="R204" i="1"/>
  <c r="P204" i="1"/>
  <c r="N204" i="1"/>
  <c r="M204" i="1"/>
  <c r="AQ203" i="1"/>
  <c r="AP203" i="1"/>
  <c r="AO203" i="1"/>
  <c r="AM203" i="1"/>
  <c r="AL203" i="1"/>
  <c r="AI203" i="1"/>
  <c r="AH203" i="1"/>
  <c r="AG203" i="1"/>
  <c r="AE203" i="1"/>
  <c r="AD203" i="1"/>
  <c r="AC203" i="1"/>
  <c r="AA203" i="1"/>
  <c r="Z203" i="1"/>
  <c r="Y203" i="1"/>
  <c r="W203" i="1"/>
  <c r="V203" i="1"/>
  <c r="S203" i="1"/>
  <c r="R203" i="1"/>
  <c r="Q203" i="1"/>
  <c r="P203" i="1"/>
  <c r="O203" i="1"/>
  <c r="N203" i="1"/>
  <c r="L203" i="1"/>
  <c r="AO202" i="1"/>
  <c r="AN202" i="1"/>
  <c r="AL202" i="1"/>
  <c r="AK202" i="1"/>
  <c r="AG202" i="1"/>
  <c r="AF202" i="1"/>
  <c r="AE202" i="1"/>
  <c r="AD202" i="1"/>
  <c r="AC202" i="1"/>
  <c r="AB202" i="1"/>
  <c r="Y202" i="1"/>
  <c r="X202" i="1"/>
  <c r="V202" i="1"/>
  <c r="U202" i="1"/>
  <c r="Q202" i="1"/>
  <c r="P202" i="1"/>
  <c r="N202" i="1"/>
  <c r="M202" i="1"/>
  <c r="L202" i="1"/>
  <c r="AQ201" i="1"/>
  <c r="AN201" i="1"/>
  <c r="AM201" i="1"/>
  <c r="AL201" i="1"/>
  <c r="AK201" i="1"/>
  <c r="AJ201" i="1"/>
  <c r="AF201" i="1"/>
  <c r="AE201" i="1"/>
  <c r="AC201" i="1"/>
  <c r="AB201" i="1"/>
  <c r="X201" i="1"/>
  <c r="W201" i="1"/>
  <c r="U201" i="1"/>
  <c r="T201" i="1"/>
  <c r="P201" i="1"/>
  <c r="O201" i="1"/>
  <c r="M201" i="1"/>
  <c r="L201" i="1"/>
  <c r="AQ200" i="1"/>
  <c r="AP200" i="1"/>
  <c r="AO200" i="1"/>
  <c r="AN200" i="1"/>
  <c r="AM200" i="1"/>
  <c r="AL200" i="1"/>
  <c r="AK200" i="1"/>
  <c r="AJ200" i="1"/>
  <c r="AI200" i="1"/>
  <c r="AH200" i="1"/>
  <c r="AG200" i="1"/>
  <c r="AF200" i="1"/>
  <c r="AE200" i="1"/>
  <c r="AD200" i="1"/>
  <c r="AC200" i="1"/>
  <c r="AB200" i="1"/>
  <c r="AA200" i="1"/>
  <c r="Z200" i="1"/>
  <c r="Y200" i="1"/>
  <c r="X200" i="1"/>
  <c r="W200" i="1"/>
  <c r="V200" i="1"/>
  <c r="U200" i="1"/>
  <c r="T200" i="1"/>
  <c r="S200" i="1"/>
  <c r="R200" i="1"/>
  <c r="Q200" i="1"/>
  <c r="P200" i="1"/>
  <c r="O200" i="1"/>
  <c r="N200" i="1"/>
  <c r="M200" i="1"/>
  <c r="L200" i="1"/>
  <c r="AQ199" i="1"/>
  <c r="AP199" i="1"/>
  <c r="AO199" i="1"/>
  <c r="AN199" i="1"/>
  <c r="AM199" i="1"/>
  <c r="AL199" i="1"/>
  <c r="AK199" i="1"/>
  <c r="AJ199" i="1"/>
  <c r="AI199" i="1"/>
  <c r="AH199" i="1"/>
  <c r="AG199" i="1"/>
  <c r="AF199" i="1"/>
  <c r="AE199" i="1"/>
  <c r="AD199" i="1"/>
  <c r="AC199" i="1"/>
  <c r="AB199" i="1"/>
  <c r="AA199" i="1"/>
  <c r="Z199" i="1"/>
  <c r="Y199" i="1"/>
  <c r="X199" i="1"/>
  <c r="W199" i="1"/>
  <c r="V199" i="1"/>
  <c r="U199" i="1"/>
  <c r="T199" i="1"/>
  <c r="S199" i="1"/>
  <c r="R199" i="1"/>
  <c r="Q199" i="1"/>
  <c r="P199" i="1"/>
  <c r="O199" i="1"/>
  <c r="N199" i="1"/>
  <c r="M199" i="1"/>
  <c r="L199" i="1"/>
  <c r="AQ198" i="1"/>
  <c r="AP198" i="1"/>
  <c r="AO198" i="1"/>
  <c r="AN198" i="1"/>
  <c r="AM198" i="1"/>
  <c r="AL198" i="1"/>
  <c r="AK198" i="1"/>
  <c r="AJ198" i="1"/>
  <c r="AI198" i="1"/>
  <c r="AH198" i="1"/>
  <c r="AG198" i="1"/>
  <c r="AF198" i="1"/>
  <c r="AE198" i="1"/>
  <c r="AD198" i="1"/>
  <c r="AC198" i="1"/>
  <c r="AB198" i="1"/>
  <c r="AA198" i="1"/>
  <c r="Z198" i="1"/>
  <c r="Y198" i="1"/>
  <c r="X198" i="1"/>
  <c r="W198" i="1"/>
  <c r="V198" i="1"/>
  <c r="U198" i="1"/>
  <c r="T198" i="1"/>
  <c r="S198" i="1"/>
  <c r="R198" i="1"/>
  <c r="Q198" i="1"/>
  <c r="P198" i="1"/>
  <c r="O198" i="1"/>
  <c r="N198" i="1"/>
  <c r="M198" i="1"/>
  <c r="L198" i="1"/>
  <c r="AQ197" i="1"/>
  <c r="AP197" i="1"/>
  <c r="AO197" i="1"/>
  <c r="AN197" i="1"/>
  <c r="AM197" i="1"/>
  <c r="AL197" i="1"/>
  <c r="AK197" i="1"/>
  <c r="AJ197" i="1"/>
  <c r="AI197" i="1"/>
  <c r="AH197" i="1"/>
  <c r="AG197" i="1"/>
  <c r="AF197" i="1"/>
  <c r="AE197" i="1"/>
  <c r="AD197" i="1"/>
  <c r="AC197" i="1"/>
  <c r="AB197" i="1"/>
  <c r="AA197" i="1"/>
  <c r="Z197" i="1"/>
  <c r="Y197" i="1"/>
  <c r="X197" i="1"/>
  <c r="W197" i="1"/>
  <c r="V197" i="1"/>
  <c r="U197" i="1"/>
  <c r="T197" i="1"/>
  <c r="S197" i="1"/>
  <c r="R197" i="1"/>
  <c r="Q197" i="1"/>
  <c r="P197" i="1"/>
  <c r="O197" i="1"/>
  <c r="N197" i="1"/>
  <c r="M197" i="1"/>
  <c r="L197" i="1"/>
  <c r="AQ196" i="1"/>
  <c r="AP196" i="1"/>
  <c r="AO196" i="1"/>
  <c r="AN196" i="1"/>
  <c r="AM196" i="1"/>
  <c r="AL196" i="1"/>
  <c r="AK196" i="1"/>
  <c r="AJ196" i="1"/>
  <c r="AI196" i="1"/>
  <c r="AH196" i="1"/>
  <c r="AG196" i="1"/>
  <c r="AF196" i="1"/>
  <c r="AE196" i="1"/>
  <c r="AD196" i="1"/>
  <c r="AC196" i="1"/>
  <c r="AB196" i="1"/>
  <c r="AA196" i="1"/>
  <c r="Z196" i="1"/>
  <c r="Y196" i="1"/>
  <c r="X196" i="1"/>
  <c r="W196" i="1"/>
  <c r="V196" i="1"/>
  <c r="U196" i="1"/>
  <c r="T196" i="1"/>
  <c r="S196" i="1"/>
  <c r="R196" i="1"/>
  <c r="Q196" i="1"/>
  <c r="P196" i="1"/>
  <c r="O196" i="1"/>
  <c r="N196" i="1"/>
  <c r="M196" i="1"/>
  <c r="L196" i="1"/>
  <c r="AQ195" i="1"/>
  <c r="AP195" i="1"/>
  <c r="AO195" i="1"/>
  <c r="AN195" i="1"/>
  <c r="AM195" i="1"/>
  <c r="AL195" i="1"/>
  <c r="AK195" i="1"/>
  <c r="AJ195" i="1"/>
  <c r="AI195" i="1"/>
  <c r="AH195" i="1"/>
  <c r="AG195" i="1"/>
  <c r="AF195" i="1"/>
  <c r="AE195" i="1"/>
  <c r="AD195" i="1"/>
  <c r="AC195" i="1"/>
  <c r="AB195" i="1"/>
  <c r="AA195" i="1"/>
  <c r="Z195" i="1"/>
  <c r="Y195" i="1"/>
  <c r="X195" i="1"/>
  <c r="W195" i="1"/>
  <c r="V195" i="1"/>
  <c r="U195" i="1"/>
  <c r="T195" i="1"/>
  <c r="S195" i="1"/>
  <c r="R195" i="1"/>
  <c r="Q195" i="1"/>
  <c r="P195" i="1"/>
  <c r="O195" i="1"/>
  <c r="N195" i="1"/>
  <c r="M195" i="1"/>
  <c r="L195" i="1"/>
  <c r="AQ194" i="1"/>
  <c r="AP194" i="1"/>
  <c r="AO194" i="1"/>
  <c r="AN194" i="1"/>
  <c r="AM194" i="1"/>
  <c r="AL194" i="1"/>
  <c r="AK194" i="1"/>
  <c r="AJ194" i="1"/>
  <c r="AI194" i="1"/>
  <c r="AH194" i="1"/>
  <c r="AG194" i="1"/>
  <c r="AF194" i="1"/>
  <c r="AE194" i="1"/>
  <c r="AD194" i="1"/>
  <c r="AC194" i="1"/>
  <c r="AB194" i="1"/>
  <c r="AA194" i="1"/>
  <c r="Z194" i="1"/>
  <c r="Y194" i="1"/>
  <c r="X194" i="1"/>
  <c r="W194" i="1"/>
  <c r="V194" i="1"/>
  <c r="U194" i="1"/>
  <c r="T194" i="1"/>
  <c r="S194" i="1"/>
  <c r="R194" i="1"/>
  <c r="Q194" i="1"/>
  <c r="P194" i="1"/>
  <c r="O194" i="1"/>
  <c r="N194" i="1"/>
  <c r="M194" i="1"/>
  <c r="L194" i="1"/>
  <c r="AQ193" i="1"/>
  <c r="AP193" i="1"/>
  <c r="AO193" i="1"/>
  <c r="AN193" i="1"/>
  <c r="AM193" i="1"/>
  <c r="AL193" i="1"/>
  <c r="AK193" i="1"/>
  <c r="AJ193" i="1"/>
  <c r="AI193" i="1"/>
  <c r="AH193" i="1"/>
  <c r="AG193" i="1"/>
  <c r="AF193" i="1"/>
  <c r="AE193" i="1"/>
  <c r="AD193" i="1"/>
  <c r="AC193" i="1"/>
  <c r="AB193" i="1"/>
  <c r="AA193" i="1"/>
  <c r="Z193" i="1"/>
  <c r="Y193" i="1"/>
  <c r="X193" i="1"/>
  <c r="W193" i="1"/>
  <c r="V193" i="1"/>
  <c r="U193" i="1"/>
  <c r="T193" i="1"/>
  <c r="S193" i="1"/>
  <c r="R193" i="1"/>
  <c r="Q193" i="1"/>
  <c r="P193" i="1"/>
  <c r="O193" i="1"/>
  <c r="N193" i="1"/>
  <c r="M193" i="1"/>
  <c r="L193" i="1"/>
  <c r="AQ192" i="1"/>
  <c r="AP192" i="1"/>
  <c r="AO192" i="1"/>
  <c r="AN192" i="1"/>
  <c r="AM192" i="1"/>
  <c r="AL192" i="1"/>
  <c r="AK192" i="1"/>
  <c r="AJ192" i="1"/>
  <c r="AI192" i="1"/>
  <c r="AH192" i="1"/>
  <c r="AG192" i="1"/>
  <c r="AF192" i="1"/>
  <c r="AE192" i="1"/>
  <c r="AD192" i="1"/>
  <c r="AC192" i="1"/>
  <c r="AB192" i="1"/>
  <c r="AA192" i="1"/>
  <c r="Z192" i="1"/>
  <c r="Y192" i="1"/>
  <c r="X192" i="1"/>
  <c r="W192" i="1"/>
  <c r="V192" i="1"/>
  <c r="U192" i="1"/>
  <c r="T192" i="1"/>
  <c r="S192" i="1"/>
  <c r="R192" i="1"/>
  <c r="Q192" i="1"/>
  <c r="P192" i="1"/>
  <c r="O192" i="1"/>
  <c r="N192" i="1"/>
  <c r="M192" i="1"/>
  <c r="L192" i="1"/>
  <c r="AQ191" i="1"/>
  <c r="AP191" i="1"/>
  <c r="AO191" i="1"/>
  <c r="AN191" i="1"/>
  <c r="AM191" i="1"/>
  <c r="AL191" i="1"/>
  <c r="AK191" i="1"/>
  <c r="AJ191" i="1"/>
  <c r="AI191" i="1"/>
  <c r="AH191" i="1"/>
  <c r="AG191" i="1"/>
  <c r="AF191" i="1"/>
  <c r="AE191" i="1"/>
  <c r="AD191" i="1"/>
  <c r="AC191" i="1"/>
  <c r="AB191" i="1"/>
  <c r="AA191" i="1"/>
  <c r="Z191" i="1"/>
  <c r="Y191" i="1"/>
  <c r="X191" i="1"/>
  <c r="W191" i="1"/>
  <c r="V191" i="1"/>
  <c r="U191" i="1"/>
  <c r="T191" i="1"/>
  <c r="S191" i="1"/>
  <c r="R191" i="1"/>
  <c r="Q191" i="1"/>
  <c r="P191" i="1"/>
  <c r="O191" i="1"/>
  <c r="N191" i="1"/>
  <c r="M191" i="1"/>
  <c r="L191" i="1"/>
  <c r="AQ190" i="1"/>
  <c r="AP190" i="1"/>
  <c r="AO190" i="1"/>
  <c r="AN190" i="1"/>
  <c r="AM190" i="1"/>
  <c r="AL190" i="1"/>
  <c r="AK190" i="1"/>
  <c r="AJ190" i="1"/>
  <c r="AI190" i="1"/>
  <c r="AH190" i="1"/>
  <c r="AG190" i="1"/>
  <c r="AF190" i="1"/>
  <c r="AE190" i="1"/>
  <c r="AD190" i="1"/>
  <c r="AC190" i="1"/>
  <c r="AB190" i="1"/>
  <c r="AA190" i="1"/>
  <c r="Z190" i="1"/>
  <c r="Y190" i="1"/>
  <c r="X190" i="1"/>
  <c r="W190" i="1"/>
  <c r="V190" i="1"/>
  <c r="U190" i="1"/>
  <c r="T190" i="1"/>
  <c r="S190" i="1"/>
  <c r="R190" i="1"/>
  <c r="Q190" i="1"/>
  <c r="P190" i="1"/>
  <c r="O190" i="1"/>
  <c r="N190" i="1"/>
  <c r="M190" i="1"/>
  <c r="L190" i="1"/>
  <c r="AQ189" i="1"/>
  <c r="AP189" i="1"/>
  <c r="AO189" i="1"/>
  <c r="AN189" i="1"/>
  <c r="AM189" i="1"/>
  <c r="AL189" i="1"/>
  <c r="AK189" i="1"/>
  <c r="AJ189" i="1"/>
  <c r="AI189" i="1"/>
  <c r="AH189" i="1"/>
  <c r="AG189" i="1"/>
  <c r="AF189" i="1"/>
  <c r="AE189" i="1"/>
  <c r="AD189" i="1"/>
  <c r="AC189" i="1"/>
  <c r="AB189" i="1"/>
  <c r="AA189" i="1"/>
  <c r="Z189" i="1"/>
  <c r="Y189" i="1"/>
  <c r="X189" i="1"/>
  <c r="W189" i="1"/>
  <c r="V189" i="1"/>
  <c r="U189" i="1"/>
  <c r="T189" i="1"/>
  <c r="S189" i="1"/>
  <c r="R189" i="1"/>
  <c r="Q189" i="1"/>
  <c r="P189" i="1"/>
  <c r="O189" i="1"/>
  <c r="N189" i="1"/>
  <c r="M189" i="1"/>
  <c r="L189" i="1"/>
  <c r="AQ188" i="1"/>
  <c r="AP188" i="1"/>
  <c r="AO188" i="1"/>
  <c r="AN188" i="1"/>
  <c r="AM188" i="1"/>
  <c r="AL188" i="1"/>
  <c r="AK188" i="1"/>
  <c r="AJ188" i="1"/>
  <c r="AI188" i="1"/>
  <c r="AH188" i="1"/>
  <c r="AG188" i="1"/>
  <c r="AF188" i="1"/>
  <c r="AE188" i="1"/>
  <c r="AD188" i="1"/>
  <c r="AC188" i="1"/>
  <c r="AB188" i="1"/>
  <c r="AA188" i="1"/>
  <c r="Z188" i="1"/>
  <c r="Y188" i="1"/>
  <c r="X188" i="1"/>
  <c r="W188" i="1"/>
  <c r="V188" i="1"/>
  <c r="U188" i="1"/>
  <c r="T188" i="1"/>
  <c r="S188" i="1"/>
  <c r="R188" i="1"/>
  <c r="Q188" i="1"/>
  <c r="P188" i="1"/>
  <c r="O188" i="1"/>
  <c r="N188" i="1"/>
  <c r="M188" i="1"/>
  <c r="L188" i="1"/>
  <c r="AQ187" i="1"/>
  <c r="AP187" i="1"/>
  <c r="AO187" i="1"/>
  <c r="AN187" i="1"/>
  <c r="AM187" i="1"/>
  <c r="AL187" i="1"/>
  <c r="AK187" i="1"/>
  <c r="AJ187" i="1"/>
  <c r="AI187" i="1"/>
  <c r="AH187" i="1"/>
  <c r="AG187" i="1"/>
  <c r="AF187" i="1"/>
  <c r="AE187" i="1"/>
  <c r="AD187" i="1"/>
  <c r="AC187" i="1"/>
  <c r="AB187" i="1"/>
  <c r="AA187" i="1"/>
  <c r="Z187" i="1"/>
  <c r="Y187" i="1"/>
  <c r="X187" i="1"/>
  <c r="W187" i="1"/>
  <c r="V187" i="1"/>
  <c r="U187" i="1"/>
  <c r="T187" i="1"/>
  <c r="S187" i="1"/>
  <c r="R187" i="1"/>
  <c r="Q187" i="1"/>
  <c r="P187" i="1"/>
  <c r="O187" i="1"/>
  <c r="N187" i="1"/>
  <c r="M187" i="1"/>
  <c r="L187" i="1"/>
  <c r="AQ186" i="1"/>
  <c r="AP186" i="1"/>
  <c r="AO186" i="1"/>
  <c r="AN186" i="1"/>
  <c r="AM186" i="1"/>
  <c r="AL186" i="1"/>
  <c r="AK186" i="1"/>
  <c r="AJ186" i="1"/>
  <c r="AI186" i="1"/>
  <c r="AH186" i="1"/>
  <c r="AG186" i="1"/>
  <c r="AF186" i="1"/>
  <c r="AE186" i="1"/>
  <c r="AD186" i="1"/>
  <c r="AC186" i="1"/>
  <c r="AB186" i="1"/>
  <c r="AA186" i="1"/>
  <c r="Z186" i="1"/>
  <c r="Y186" i="1"/>
  <c r="X186" i="1"/>
  <c r="W186" i="1"/>
  <c r="V186" i="1"/>
  <c r="U186" i="1"/>
  <c r="T186" i="1"/>
  <c r="S186" i="1"/>
  <c r="R186" i="1"/>
  <c r="Q186" i="1"/>
  <c r="P186" i="1"/>
  <c r="O186" i="1"/>
  <c r="N186" i="1"/>
  <c r="M186" i="1"/>
  <c r="L186" i="1"/>
  <c r="AQ185" i="1"/>
  <c r="AP185" i="1"/>
  <c r="AO185" i="1"/>
  <c r="AN185" i="1"/>
  <c r="AM185" i="1"/>
  <c r="AL185" i="1"/>
  <c r="AK185" i="1"/>
  <c r="AJ185" i="1"/>
  <c r="AI185" i="1"/>
  <c r="AH185" i="1"/>
  <c r="AG185" i="1"/>
  <c r="AF185" i="1"/>
  <c r="AE185" i="1"/>
  <c r="AD185" i="1"/>
  <c r="AC185" i="1"/>
  <c r="AB185" i="1"/>
  <c r="AA185" i="1"/>
  <c r="Z185" i="1"/>
  <c r="Y185" i="1"/>
  <c r="X185" i="1"/>
  <c r="W185" i="1"/>
  <c r="V185" i="1"/>
  <c r="U185" i="1"/>
  <c r="T185" i="1"/>
  <c r="S185" i="1"/>
  <c r="R185" i="1"/>
  <c r="Q185" i="1"/>
  <c r="P185" i="1"/>
  <c r="O185" i="1"/>
  <c r="N185" i="1"/>
  <c r="M185" i="1"/>
  <c r="L185" i="1"/>
  <c r="AQ184" i="1"/>
  <c r="AP184" i="1"/>
  <c r="AO184" i="1"/>
  <c r="AN184" i="1"/>
  <c r="AM184" i="1"/>
  <c r="AL184" i="1"/>
  <c r="AK184" i="1"/>
  <c r="AJ184" i="1"/>
  <c r="AI184" i="1"/>
  <c r="AH184" i="1"/>
  <c r="AG184" i="1"/>
  <c r="AF184" i="1"/>
  <c r="AE184" i="1"/>
  <c r="AD184" i="1"/>
  <c r="AC184" i="1"/>
  <c r="AB184" i="1"/>
  <c r="AA184" i="1"/>
  <c r="Z184" i="1"/>
  <c r="Y184" i="1"/>
  <c r="X184" i="1"/>
  <c r="W184" i="1"/>
  <c r="V184" i="1"/>
  <c r="U184" i="1"/>
  <c r="T184" i="1"/>
  <c r="S184" i="1"/>
  <c r="R184" i="1"/>
  <c r="Q184" i="1"/>
  <c r="P184" i="1"/>
  <c r="O184" i="1"/>
  <c r="N184" i="1"/>
  <c r="M184" i="1"/>
  <c r="L184" i="1"/>
  <c r="AQ183" i="1"/>
  <c r="AP183" i="1"/>
  <c r="AO183" i="1"/>
  <c r="AN183" i="1"/>
  <c r="AM183" i="1"/>
  <c r="AL183" i="1"/>
  <c r="AK183" i="1"/>
  <c r="AJ183" i="1"/>
  <c r="AI183" i="1"/>
  <c r="AH183" i="1"/>
  <c r="AG183" i="1"/>
  <c r="AF183" i="1"/>
  <c r="AE183" i="1"/>
  <c r="AD183" i="1"/>
  <c r="AC183" i="1"/>
  <c r="AB183" i="1"/>
  <c r="AA183" i="1"/>
  <c r="Z183" i="1"/>
  <c r="Y183" i="1"/>
  <c r="X183" i="1"/>
  <c r="W183" i="1"/>
  <c r="V183" i="1"/>
  <c r="U183" i="1"/>
  <c r="T183" i="1"/>
  <c r="S183" i="1"/>
  <c r="R183" i="1"/>
  <c r="Q183" i="1"/>
  <c r="P183" i="1"/>
  <c r="O183" i="1"/>
  <c r="N183" i="1"/>
  <c r="M183" i="1"/>
  <c r="L183" i="1"/>
  <c r="AQ182" i="1"/>
  <c r="AP182" i="1"/>
  <c r="AO182" i="1"/>
  <c r="AN182" i="1"/>
  <c r="AM182" i="1"/>
  <c r="AL182" i="1"/>
  <c r="AK182" i="1"/>
  <c r="AJ182" i="1"/>
  <c r="AI182" i="1"/>
  <c r="AH182" i="1"/>
  <c r="AG182" i="1"/>
  <c r="AF182" i="1"/>
  <c r="AE182" i="1"/>
  <c r="AD182" i="1"/>
  <c r="AC182" i="1"/>
  <c r="AB182" i="1"/>
  <c r="AA182" i="1"/>
  <c r="Z182" i="1"/>
  <c r="Y182" i="1"/>
  <c r="X182" i="1"/>
  <c r="W182" i="1"/>
  <c r="V182" i="1"/>
  <c r="U182" i="1"/>
  <c r="T182" i="1"/>
  <c r="S182" i="1"/>
  <c r="R182" i="1"/>
  <c r="Q182" i="1"/>
  <c r="P182" i="1"/>
  <c r="O182" i="1"/>
  <c r="N182" i="1"/>
  <c r="M182" i="1"/>
  <c r="L182" i="1"/>
  <c r="AQ181" i="1"/>
  <c r="AP181" i="1"/>
  <c r="AO181" i="1"/>
  <c r="AN181" i="1"/>
  <c r="AM181" i="1"/>
  <c r="AL181" i="1"/>
  <c r="AK181" i="1"/>
  <c r="AJ181" i="1"/>
  <c r="AI181" i="1"/>
  <c r="AH181" i="1"/>
  <c r="AG181" i="1"/>
  <c r="AF181" i="1"/>
  <c r="AE181" i="1"/>
  <c r="AD181" i="1"/>
  <c r="AC181" i="1"/>
  <c r="AB181" i="1"/>
  <c r="AA181" i="1"/>
  <c r="Z181" i="1"/>
  <c r="Y181" i="1"/>
  <c r="X181" i="1"/>
  <c r="W181" i="1"/>
  <c r="V181" i="1"/>
  <c r="U181" i="1"/>
  <c r="T181" i="1"/>
  <c r="S181" i="1"/>
  <c r="R181" i="1"/>
  <c r="Q181" i="1"/>
  <c r="P181" i="1"/>
  <c r="O181" i="1"/>
  <c r="N181" i="1"/>
  <c r="M181" i="1"/>
  <c r="L181" i="1"/>
  <c r="AQ180" i="1"/>
  <c r="AP180" i="1"/>
  <c r="AO180" i="1"/>
  <c r="AN180" i="1"/>
  <c r="AM180" i="1"/>
  <c r="AL180" i="1"/>
  <c r="AK180" i="1"/>
  <c r="AJ180" i="1"/>
  <c r="AI180" i="1"/>
  <c r="AH180" i="1"/>
  <c r="AG180" i="1"/>
  <c r="AF180" i="1"/>
  <c r="AE180" i="1"/>
  <c r="AD180" i="1"/>
  <c r="AC180" i="1"/>
  <c r="AB180" i="1"/>
  <c r="AA180" i="1"/>
  <c r="Z180" i="1"/>
  <c r="Y180" i="1"/>
  <c r="X180" i="1"/>
  <c r="W180" i="1"/>
  <c r="V180" i="1"/>
  <c r="U180" i="1"/>
  <c r="T180" i="1"/>
  <c r="S180" i="1"/>
  <c r="R180" i="1"/>
  <c r="Q180" i="1"/>
  <c r="P180" i="1"/>
  <c r="O180" i="1"/>
  <c r="N180" i="1"/>
  <c r="M180" i="1"/>
  <c r="L180" i="1"/>
  <c r="AQ81" i="1"/>
  <c r="AP81" i="1"/>
  <c r="AO81" i="1"/>
  <c r="AN81" i="1"/>
  <c r="AM81" i="1"/>
  <c r="AL81" i="1"/>
  <c r="AK81" i="1"/>
  <c r="AJ81" i="1"/>
  <c r="AI81" i="1"/>
  <c r="AH81" i="1"/>
  <c r="AG81" i="1"/>
  <c r="AF81" i="1"/>
  <c r="AE81" i="1"/>
  <c r="AD81" i="1"/>
  <c r="AC81" i="1"/>
  <c r="AB81" i="1"/>
  <c r="AA81" i="1"/>
  <c r="Z81" i="1"/>
  <c r="Y81" i="1"/>
  <c r="X81" i="1"/>
  <c r="W81" i="1"/>
  <c r="V81" i="1"/>
  <c r="U81" i="1"/>
  <c r="T81" i="1"/>
  <c r="S81" i="1"/>
  <c r="R81" i="1"/>
  <c r="Q81" i="1"/>
  <c r="P81" i="1"/>
  <c r="O81" i="1"/>
  <c r="N81" i="1"/>
  <c r="M81" i="1"/>
  <c r="L81" i="1"/>
  <c r="AQ80" i="1"/>
  <c r="AP80" i="1"/>
  <c r="AO80" i="1"/>
  <c r="AN80" i="1"/>
  <c r="AM80" i="1"/>
  <c r="AL80" i="1"/>
  <c r="AK80" i="1"/>
  <c r="AJ80" i="1"/>
  <c r="AI80" i="1"/>
  <c r="AH80" i="1"/>
  <c r="AG80" i="1"/>
  <c r="AF80" i="1"/>
  <c r="AE80" i="1"/>
  <c r="AD80" i="1"/>
  <c r="AC80" i="1"/>
  <c r="AB80" i="1"/>
  <c r="AA80" i="1"/>
  <c r="Z80" i="1"/>
  <c r="Y80" i="1"/>
  <c r="X80" i="1"/>
  <c r="W80" i="1"/>
  <c r="V80" i="1"/>
  <c r="U80" i="1"/>
  <c r="T80" i="1"/>
  <c r="S80" i="1"/>
  <c r="R80" i="1"/>
  <c r="Q80" i="1"/>
  <c r="P80" i="1"/>
  <c r="O80" i="1"/>
  <c r="N80" i="1"/>
  <c r="M80" i="1"/>
  <c r="L80" i="1"/>
  <c r="AQ79" i="1"/>
  <c r="AP79" i="1"/>
  <c r="AO79" i="1"/>
  <c r="AN79" i="1"/>
  <c r="AM79" i="1"/>
  <c r="AL79" i="1"/>
  <c r="AK79" i="1"/>
  <c r="AJ79" i="1"/>
  <c r="AI79" i="1"/>
  <c r="AH79" i="1"/>
  <c r="AG79" i="1"/>
  <c r="AF79" i="1"/>
  <c r="AE79" i="1"/>
  <c r="AD79" i="1"/>
  <c r="AC79" i="1"/>
  <c r="AB79" i="1"/>
  <c r="AA79" i="1"/>
  <c r="Z79" i="1"/>
  <c r="Y79" i="1"/>
  <c r="X79" i="1"/>
  <c r="W79" i="1"/>
  <c r="V79" i="1"/>
  <c r="U79" i="1"/>
  <c r="T79" i="1"/>
  <c r="S79" i="1"/>
  <c r="R79" i="1"/>
  <c r="Q79" i="1"/>
  <c r="P79" i="1"/>
  <c r="O79" i="1"/>
  <c r="N79" i="1"/>
  <c r="M79" i="1"/>
  <c r="L79" i="1"/>
  <c r="AQ78" i="1"/>
  <c r="AP78" i="1"/>
  <c r="AO78" i="1"/>
  <c r="AN78" i="1"/>
  <c r="AM78" i="1"/>
  <c r="AL78" i="1"/>
  <c r="AK78" i="1"/>
  <c r="AJ78" i="1"/>
  <c r="AI78" i="1"/>
  <c r="AH78" i="1"/>
  <c r="AG78" i="1"/>
  <c r="AF78" i="1"/>
  <c r="AE78" i="1"/>
  <c r="AD78" i="1"/>
  <c r="AC78" i="1"/>
  <c r="AB78" i="1"/>
  <c r="AA78" i="1"/>
  <c r="Z78" i="1"/>
  <c r="Y78" i="1"/>
  <c r="X78" i="1"/>
  <c r="W78" i="1"/>
  <c r="V78" i="1"/>
  <c r="U78" i="1"/>
  <c r="T78" i="1"/>
  <c r="S78" i="1"/>
  <c r="R78" i="1"/>
  <c r="Q78" i="1"/>
  <c r="P78" i="1"/>
  <c r="O78" i="1"/>
  <c r="N78" i="1"/>
  <c r="M78" i="1"/>
  <c r="L78" i="1"/>
  <c r="AQ77" i="1"/>
  <c r="AP77" i="1"/>
  <c r="AO77" i="1"/>
  <c r="AN77" i="1"/>
  <c r="AM77" i="1"/>
  <c r="AL77" i="1"/>
  <c r="AK77" i="1"/>
  <c r="AJ77" i="1"/>
  <c r="AI77" i="1"/>
  <c r="AH77" i="1"/>
  <c r="AG77" i="1"/>
  <c r="AF77" i="1"/>
  <c r="AE77" i="1"/>
  <c r="AD77" i="1"/>
  <c r="AC77" i="1"/>
  <c r="AB77" i="1"/>
  <c r="AA77" i="1"/>
  <c r="Z77" i="1"/>
  <c r="Y77" i="1"/>
  <c r="X77" i="1"/>
  <c r="W77" i="1"/>
  <c r="V77" i="1"/>
  <c r="U77" i="1"/>
  <c r="T77" i="1"/>
  <c r="S77" i="1"/>
  <c r="R77" i="1"/>
  <c r="Q77" i="1"/>
  <c r="P77" i="1"/>
  <c r="O77" i="1"/>
  <c r="N77" i="1"/>
  <c r="M77" i="1"/>
  <c r="L77" i="1"/>
  <c r="N40" i="1" s="1"/>
  <c r="AQ76" i="1"/>
  <c r="AP76" i="1"/>
  <c r="AO76" i="1"/>
  <c r="AN76" i="1"/>
  <c r="AM76" i="1"/>
  <c r="AL76" i="1"/>
  <c r="AK76" i="1"/>
  <c r="AJ76" i="1"/>
  <c r="AI76" i="1"/>
  <c r="AH76" i="1"/>
  <c r="AG76" i="1"/>
  <c r="AF76" i="1"/>
  <c r="AE76" i="1"/>
  <c r="AD76" i="1"/>
  <c r="AC76" i="1"/>
  <c r="AB76" i="1"/>
  <c r="AA76" i="1"/>
  <c r="Z76" i="1"/>
  <c r="Y76" i="1"/>
  <c r="X76" i="1"/>
  <c r="W76" i="1"/>
  <c r="V76" i="1"/>
  <c r="U76" i="1"/>
  <c r="T76" i="1"/>
  <c r="S76" i="1"/>
  <c r="R76" i="1"/>
  <c r="Q76" i="1"/>
  <c r="P76" i="1"/>
  <c r="O76" i="1"/>
  <c r="N76" i="1"/>
  <c r="M76" i="1"/>
  <c r="L76" i="1"/>
  <c r="AQ75" i="1"/>
  <c r="AP75" i="1"/>
  <c r="AO75" i="1"/>
  <c r="AN75" i="1"/>
  <c r="AM75" i="1"/>
  <c r="AL75" i="1"/>
  <c r="AK75" i="1"/>
  <c r="AJ75" i="1"/>
  <c r="AI75" i="1"/>
  <c r="AH75" i="1"/>
  <c r="AG75" i="1"/>
  <c r="AF75" i="1"/>
  <c r="AE75" i="1"/>
  <c r="AD75" i="1"/>
  <c r="AC75" i="1"/>
  <c r="AB75" i="1"/>
  <c r="AA75" i="1"/>
  <c r="Z75" i="1"/>
  <c r="Y75" i="1"/>
  <c r="X75" i="1"/>
  <c r="W75" i="1"/>
  <c r="V75" i="1"/>
  <c r="U75" i="1"/>
  <c r="T75" i="1"/>
  <c r="S75" i="1"/>
  <c r="R75" i="1"/>
  <c r="Q75" i="1"/>
  <c r="P75" i="1"/>
  <c r="O75" i="1"/>
  <c r="N75" i="1"/>
  <c r="M75" i="1"/>
  <c r="L75" i="1"/>
  <c r="N39" i="1" s="1"/>
  <c r="AQ74" i="1"/>
  <c r="AP74" i="1"/>
  <c r="AO74" i="1"/>
  <c r="AN74" i="1"/>
  <c r="AM74" i="1"/>
  <c r="AL74" i="1"/>
  <c r="AK74" i="1"/>
  <c r="AJ74" i="1"/>
  <c r="AI74" i="1"/>
  <c r="AH74" i="1"/>
  <c r="AG74" i="1"/>
  <c r="AF74" i="1"/>
  <c r="AE74" i="1"/>
  <c r="AD74" i="1"/>
  <c r="AC74" i="1"/>
  <c r="AB74" i="1"/>
  <c r="AA74" i="1"/>
  <c r="Z74" i="1"/>
  <c r="Y74" i="1"/>
  <c r="X74" i="1"/>
  <c r="W74" i="1"/>
  <c r="V74" i="1"/>
  <c r="U74" i="1"/>
  <c r="T74" i="1"/>
  <c r="S74" i="1"/>
  <c r="R74" i="1"/>
  <c r="Q74" i="1"/>
  <c r="P74" i="1"/>
  <c r="O74" i="1"/>
  <c r="N74" i="1"/>
  <c r="M74" i="1"/>
  <c r="L74" i="1"/>
  <c r="AQ73" i="1"/>
  <c r="AP73" i="1"/>
  <c r="AO73" i="1"/>
  <c r="AN73" i="1"/>
  <c r="AM73" i="1"/>
  <c r="AL73" i="1"/>
  <c r="AK73" i="1"/>
  <c r="AJ73" i="1"/>
  <c r="AI73" i="1"/>
  <c r="AH73" i="1"/>
  <c r="AG73" i="1"/>
  <c r="AF73" i="1"/>
  <c r="AE73" i="1"/>
  <c r="AD73" i="1"/>
  <c r="AC73" i="1"/>
  <c r="AB73" i="1"/>
  <c r="AA73" i="1"/>
  <c r="Z73" i="1"/>
  <c r="Y73" i="1"/>
  <c r="X73" i="1"/>
  <c r="W73" i="1"/>
  <c r="V73" i="1"/>
  <c r="U73" i="1"/>
  <c r="T73" i="1"/>
  <c r="S73" i="1"/>
  <c r="R73" i="1"/>
  <c r="Q73" i="1"/>
  <c r="P73" i="1"/>
  <c r="O73" i="1"/>
  <c r="N73" i="1"/>
  <c r="M73" i="1"/>
  <c r="L73" i="1"/>
  <c r="N38" i="1" s="1"/>
  <c r="AQ72" i="1"/>
  <c r="AP72" i="1"/>
  <c r="AO72" i="1"/>
  <c r="AN72" i="1"/>
  <c r="AM72" i="1"/>
  <c r="AL72" i="1"/>
  <c r="AK72" i="1"/>
  <c r="AJ72" i="1"/>
  <c r="AI72" i="1"/>
  <c r="AH72" i="1"/>
  <c r="AG72" i="1"/>
  <c r="AF72" i="1"/>
  <c r="AE72" i="1"/>
  <c r="AD72" i="1"/>
  <c r="AC72" i="1"/>
  <c r="AB72" i="1"/>
  <c r="AA72" i="1"/>
  <c r="Z72" i="1"/>
  <c r="Y72" i="1"/>
  <c r="X72" i="1"/>
  <c r="W72" i="1"/>
  <c r="V72" i="1"/>
  <c r="U72" i="1"/>
  <c r="T72" i="1"/>
  <c r="S72" i="1"/>
  <c r="R72" i="1"/>
  <c r="Q72" i="1"/>
  <c r="P72" i="1"/>
  <c r="O72" i="1"/>
  <c r="N72" i="1"/>
  <c r="M72" i="1"/>
  <c r="L72" i="1"/>
  <c r="AQ71" i="1"/>
  <c r="AP71" i="1"/>
  <c r="AO71" i="1"/>
  <c r="AN71" i="1"/>
  <c r="AM71" i="1"/>
  <c r="AL71" i="1"/>
  <c r="AK71" i="1"/>
  <c r="AJ71" i="1"/>
  <c r="AI71" i="1"/>
  <c r="AH71" i="1"/>
  <c r="AG71" i="1"/>
  <c r="AF71" i="1"/>
  <c r="AE71" i="1"/>
  <c r="AD71" i="1"/>
  <c r="AC71" i="1"/>
  <c r="AB71" i="1"/>
  <c r="AA71" i="1"/>
  <c r="Z71" i="1"/>
  <c r="Y71" i="1"/>
  <c r="X71" i="1"/>
  <c r="W71" i="1"/>
  <c r="V71" i="1"/>
  <c r="U71" i="1"/>
  <c r="T71" i="1"/>
  <c r="S71" i="1"/>
  <c r="R71" i="1"/>
  <c r="Q71" i="1"/>
  <c r="P71" i="1"/>
  <c r="O71" i="1"/>
  <c r="N71" i="1"/>
  <c r="M71" i="1"/>
  <c r="L71" i="1"/>
  <c r="AQ70" i="1"/>
  <c r="AP70" i="1"/>
  <c r="AO70" i="1"/>
  <c r="AN70" i="1"/>
  <c r="AM70" i="1"/>
  <c r="AL70" i="1"/>
  <c r="AK70" i="1"/>
  <c r="AJ70" i="1"/>
  <c r="AI70" i="1"/>
  <c r="AH70" i="1"/>
  <c r="AG70" i="1"/>
  <c r="AF70" i="1"/>
  <c r="AE70" i="1"/>
  <c r="AD70" i="1"/>
  <c r="AC70" i="1"/>
  <c r="AB70" i="1"/>
  <c r="AA70" i="1"/>
  <c r="Z70" i="1"/>
  <c r="Y70" i="1"/>
  <c r="X70" i="1"/>
  <c r="W70" i="1"/>
  <c r="V70" i="1"/>
  <c r="U70" i="1"/>
  <c r="T70" i="1"/>
  <c r="S70" i="1"/>
  <c r="R70" i="1"/>
  <c r="Q70" i="1"/>
  <c r="P70" i="1"/>
  <c r="O70" i="1"/>
  <c r="N70" i="1"/>
  <c r="M70" i="1"/>
  <c r="L70" i="1"/>
  <c r="N37" i="1" s="1"/>
  <c r="AQ69" i="1"/>
  <c r="AP69" i="1"/>
  <c r="AO69" i="1"/>
  <c r="AN69" i="1"/>
  <c r="AM69" i="1"/>
  <c r="AL69" i="1"/>
  <c r="AK69" i="1"/>
  <c r="AJ69" i="1"/>
  <c r="AI69" i="1"/>
  <c r="AH69" i="1"/>
  <c r="AG69" i="1"/>
  <c r="AF69" i="1"/>
  <c r="AE69" i="1"/>
  <c r="AD69" i="1"/>
  <c r="AC69" i="1"/>
  <c r="AB69" i="1"/>
  <c r="AA69" i="1"/>
  <c r="Z69" i="1"/>
  <c r="Y69" i="1"/>
  <c r="X69" i="1"/>
  <c r="W69" i="1"/>
  <c r="V69" i="1"/>
  <c r="U69" i="1"/>
  <c r="T69" i="1"/>
  <c r="S69" i="1"/>
  <c r="R69" i="1"/>
  <c r="Q69" i="1"/>
  <c r="P69" i="1"/>
  <c r="O69" i="1"/>
  <c r="N69" i="1"/>
  <c r="M69" i="1"/>
  <c r="L69" i="1"/>
  <c r="AQ68" i="1"/>
  <c r="AP68" i="1"/>
  <c r="AO68" i="1"/>
  <c r="AN68" i="1"/>
  <c r="AM68" i="1"/>
  <c r="AL68" i="1"/>
  <c r="AK68" i="1"/>
  <c r="AJ68" i="1"/>
  <c r="AI68" i="1"/>
  <c r="AH68" i="1"/>
  <c r="AG68" i="1"/>
  <c r="AF68" i="1"/>
  <c r="AE68" i="1"/>
  <c r="AD68" i="1"/>
  <c r="AC68" i="1"/>
  <c r="AB68" i="1"/>
  <c r="AA68" i="1"/>
  <c r="Z68" i="1"/>
  <c r="Y68" i="1"/>
  <c r="X68" i="1"/>
  <c r="W68" i="1"/>
  <c r="V68" i="1"/>
  <c r="U68" i="1"/>
  <c r="T68" i="1"/>
  <c r="S68" i="1"/>
  <c r="R68" i="1"/>
  <c r="Q68" i="1"/>
  <c r="P68" i="1"/>
  <c r="O68" i="1"/>
  <c r="N68" i="1"/>
  <c r="M68" i="1"/>
  <c r="L68" i="1"/>
  <c r="AQ67" i="1"/>
  <c r="AP67" i="1"/>
  <c r="AO67" i="1"/>
  <c r="AN67" i="1"/>
  <c r="AM67" i="1"/>
  <c r="AL67" i="1"/>
  <c r="AK67" i="1"/>
  <c r="AJ67" i="1"/>
  <c r="AI67" i="1"/>
  <c r="AH67" i="1"/>
  <c r="AG67" i="1"/>
  <c r="AF67" i="1"/>
  <c r="AE67" i="1"/>
  <c r="AD67" i="1"/>
  <c r="AC67" i="1"/>
  <c r="AB67" i="1"/>
  <c r="AA67" i="1"/>
  <c r="Z67" i="1"/>
  <c r="Y67" i="1"/>
  <c r="X67" i="1"/>
  <c r="W67" i="1"/>
  <c r="V67" i="1"/>
  <c r="U67" i="1"/>
  <c r="T67" i="1"/>
  <c r="S67" i="1"/>
  <c r="R67" i="1"/>
  <c r="Q67" i="1"/>
  <c r="P67" i="1"/>
  <c r="O67" i="1"/>
  <c r="N67" i="1"/>
  <c r="M67" i="1"/>
  <c r="L67" i="1"/>
  <c r="N36" i="1" s="1"/>
  <c r="N49" i="1" s="1"/>
  <c r="AQ66" i="1"/>
  <c r="AP66" i="1"/>
  <c r="AO66" i="1"/>
  <c r="AN66" i="1"/>
  <c r="AM66" i="1"/>
  <c r="AL66" i="1"/>
  <c r="AK66" i="1"/>
  <c r="AJ66" i="1"/>
  <c r="AI66" i="1"/>
  <c r="AH66" i="1"/>
  <c r="AG66" i="1"/>
  <c r="AF66" i="1"/>
  <c r="AE66" i="1"/>
  <c r="AD66" i="1"/>
  <c r="AC66" i="1"/>
  <c r="AB66" i="1"/>
  <c r="AA66" i="1"/>
  <c r="Z66" i="1"/>
  <c r="Y66" i="1"/>
  <c r="X66" i="1"/>
  <c r="W66" i="1"/>
  <c r="V66" i="1"/>
  <c r="U66" i="1"/>
  <c r="T66" i="1"/>
  <c r="S66" i="1"/>
  <c r="R66" i="1"/>
  <c r="Q66" i="1"/>
  <c r="P66" i="1"/>
  <c r="O66" i="1"/>
  <c r="N66" i="1"/>
  <c r="M66" i="1"/>
  <c r="L66" i="1"/>
  <c r="AQ65" i="1"/>
  <c r="AP65" i="1"/>
  <c r="AO65" i="1"/>
  <c r="AN65" i="1"/>
  <c r="AM65" i="1"/>
  <c r="AL65" i="1"/>
  <c r="AK65" i="1"/>
  <c r="AJ65" i="1"/>
  <c r="AI65" i="1"/>
  <c r="AH65" i="1"/>
  <c r="AG65" i="1"/>
  <c r="AF65" i="1"/>
  <c r="AE65" i="1"/>
  <c r="AD65" i="1"/>
  <c r="AC65" i="1"/>
  <c r="AB65" i="1"/>
  <c r="AA65" i="1"/>
  <c r="Z65" i="1"/>
  <c r="Y65" i="1"/>
  <c r="X65" i="1"/>
  <c r="W65" i="1"/>
  <c r="V65" i="1"/>
  <c r="U65" i="1"/>
  <c r="T65" i="1"/>
  <c r="S65" i="1"/>
  <c r="R65" i="1"/>
  <c r="Q65" i="1"/>
  <c r="P65" i="1"/>
  <c r="O65" i="1"/>
  <c r="N65" i="1"/>
  <c r="M65" i="1"/>
  <c r="L65" i="1"/>
  <c r="N35" i="1" s="1"/>
  <c r="L55" i="1" s="1"/>
  <c r="AQ64" i="1"/>
  <c r="AP64" i="1"/>
  <c r="AO64" i="1"/>
  <c r="AN64" i="1"/>
  <c r="AM64" i="1"/>
  <c r="AL64" i="1"/>
  <c r="AK64" i="1"/>
  <c r="AJ64" i="1"/>
  <c r="AI64" i="1"/>
  <c r="AH64" i="1"/>
  <c r="AG64" i="1"/>
  <c r="AF64" i="1"/>
  <c r="AE64" i="1"/>
  <c r="AD64" i="1"/>
  <c r="AC64" i="1"/>
  <c r="AB64" i="1"/>
  <c r="AA64" i="1"/>
  <c r="Z64" i="1"/>
  <c r="Y64" i="1"/>
  <c r="X64" i="1"/>
  <c r="W64" i="1"/>
  <c r="V64" i="1"/>
  <c r="U64" i="1"/>
  <c r="T64" i="1"/>
  <c r="S64" i="1"/>
  <c r="R64" i="1"/>
  <c r="Q64" i="1"/>
  <c r="P64" i="1"/>
  <c r="O64" i="1"/>
  <c r="N64" i="1"/>
  <c r="M64" i="1"/>
  <c r="L64" i="1"/>
  <c r="AQ63" i="1"/>
  <c r="AP63" i="1"/>
  <c r="AO63" i="1"/>
  <c r="AN63" i="1"/>
  <c r="AM63" i="1"/>
  <c r="AL63" i="1"/>
  <c r="AK63" i="1"/>
  <c r="AJ63" i="1"/>
  <c r="AI63" i="1"/>
  <c r="AH63" i="1"/>
  <c r="AG63" i="1"/>
  <c r="AF63" i="1"/>
  <c r="AE63" i="1"/>
  <c r="AD63" i="1"/>
  <c r="AC63" i="1"/>
  <c r="AB63" i="1"/>
  <c r="AA63" i="1"/>
  <c r="Z63" i="1"/>
  <c r="Y63" i="1"/>
  <c r="X63" i="1"/>
  <c r="W63" i="1"/>
  <c r="V63" i="1"/>
  <c r="U63" i="1"/>
  <c r="T63" i="1"/>
  <c r="S63" i="1"/>
  <c r="R63" i="1"/>
  <c r="Q63" i="1"/>
  <c r="P63" i="1"/>
  <c r="O63" i="1"/>
  <c r="N63" i="1"/>
  <c r="M63" i="1"/>
  <c r="L63" i="1"/>
  <c r="N34" i="1" s="1"/>
  <c r="AQ62" i="1"/>
  <c r="AP62" i="1"/>
  <c r="AO62" i="1"/>
  <c r="AN62" i="1"/>
  <c r="AM62" i="1"/>
  <c r="AL62" i="1"/>
  <c r="AK62" i="1"/>
  <c r="AJ62" i="1"/>
  <c r="AI62" i="1"/>
  <c r="AH62" i="1"/>
  <c r="AG62" i="1"/>
  <c r="AF62" i="1"/>
  <c r="AE62" i="1"/>
  <c r="AD62" i="1"/>
  <c r="AC62" i="1"/>
  <c r="AB62" i="1"/>
  <c r="AA62" i="1"/>
  <c r="Z62" i="1"/>
  <c r="Y62" i="1"/>
  <c r="X62" i="1"/>
  <c r="W62" i="1"/>
  <c r="V62" i="1"/>
  <c r="U62" i="1"/>
  <c r="T62" i="1"/>
  <c r="S62" i="1"/>
  <c r="R62" i="1"/>
  <c r="Q62" i="1"/>
  <c r="P62" i="1"/>
  <c r="O62" i="1"/>
  <c r="N62" i="1"/>
  <c r="M62" i="1"/>
  <c r="L62" i="1"/>
  <c r="AQ61" i="1"/>
  <c r="AP61" i="1"/>
  <c r="AO61" i="1"/>
  <c r="AN61" i="1"/>
  <c r="AM61" i="1"/>
  <c r="AL61" i="1"/>
  <c r="AK61" i="1"/>
  <c r="AJ61" i="1"/>
  <c r="AI61" i="1"/>
  <c r="AH61" i="1"/>
  <c r="AG61" i="1"/>
  <c r="AF61" i="1"/>
  <c r="AE61" i="1"/>
  <c r="AD61" i="1"/>
  <c r="AC61" i="1"/>
  <c r="AB61" i="1"/>
  <c r="AA61" i="1"/>
  <c r="Z61" i="1"/>
  <c r="Y61" i="1"/>
  <c r="X61" i="1"/>
  <c r="W61" i="1"/>
  <c r="V61" i="1"/>
  <c r="U61" i="1"/>
  <c r="T61" i="1"/>
  <c r="S61" i="1"/>
  <c r="R61" i="1"/>
  <c r="Q61" i="1"/>
  <c r="P61" i="1"/>
  <c r="O61" i="1"/>
  <c r="N61" i="1"/>
  <c r="M61" i="1"/>
  <c r="L61" i="1"/>
  <c r="AQ60" i="1"/>
  <c r="AP60" i="1"/>
  <c r="AO60" i="1"/>
  <c r="AN60" i="1"/>
  <c r="AM60" i="1"/>
  <c r="AL60" i="1"/>
  <c r="AK60" i="1"/>
  <c r="AJ60" i="1"/>
  <c r="AI60" i="1"/>
  <c r="AH60" i="1"/>
  <c r="AG60" i="1"/>
  <c r="AF60" i="1"/>
  <c r="AE60" i="1"/>
  <c r="AD60" i="1"/>
  <c r="AC60" i="1"/>
  <c r="AB60" i="1"/>
  <c r="AA60" i="1"/>
  <c r="Z60" i="1"/>
  <c r="Y60" i="1"/>
  <c r="X60" i="1"/>
  <c r="W60" i="1"/>
  <c r="V60" i="1"/>
  <c r="U60" i="1"/>
  <c r="T60" i="1"/>
  <c r="S60" i="1"/>
  <c r="R60" i="1"/>
  <c r="Q60" i="1"/>
  <c r="P60" i="1"/>
  <c r="O60" i="1"/>
  <c r="N60" i="1"/>
  <c r="M60" i="1"/>
  <c r="L60" i="1"/>
  <c r="N33" i="1" s="1"/>
  <c r="AQ59" i="1"/>
  <c r="AP59" i="1"/>
  <c r="AO59" i="1"/>
  <c r="AN59" i="1"/>
  <c r="AM59" i="1"/>
  <c r="AL59" i="1"/>
  <c r="AK59" i="1"/>
  <c r="AJ59" i="1"/>
  <c r="AI59" i="1"/>
  <c r="AH59" i="1"/>
  <c r="AG59" i="1"/>
  <c r="AF59" i="1"/>
  <c r="AE59" i="1"/>
  <c r="AD59" i="1"/>
  <c r="AC59" i="1"/>
  <c r="AB59" i="1"/>
  <c r="AA59" i="1"/>
  <c r="Z59" i="1"/>
  <c r="Y59" i="1"/>
  <c r="X59" i="1"/>
  <c r="W59" i="1"/>
  <c r="V59" i="1"/>
  <c r="U59" i="1"/>
  <c r="T59" i="1"/>
  <c r="S59" i="1"/>
  <c r="R59" i="1"/>
  <c r="Q59" i="1"/>
  <c r="P59" i="1"/>
  <c r="O59" i="1"/>
  <c r="N59" i="1"/>
  <c r="M59" i="1"/>
  <c r="L59" i="1"/>
  <c r="AQ58" i="1"/>
  <c r="AP58" i="1"/>
  <c r="AO58" i="1"/>
  <c r="AN58" i="1"/>
  <c r="AM58" i="1"/>
  <c r="AL58" i="1"/>
  <c r="AK58" i="1"/>
  <c r="AJ58" i="1"/>
  <c r="AI58" i="1"/>
  <c r="AH58" i="1"/>
  <c r="AG58" i="1"/>
  <c r="AF58" i="1"/>
  <c r="AE58" i="1"/>
  <c r="AD58" i="1"/>
  <c r="AC58" i="1"/>
  <c r="AB58" i="1"/>
  <c r="AA58" i="1"/>
  <c r="Z58" i="1"/>
  <c r="Y58" i="1"/>
  <c r="X58" i="1"/>
  <c r="W58" i="1"/>
  <c r="V58" i="1"/>
  <c r="U58" i="1"/>
  <c r="T58" i="1"/>
  <c r="S58" i="1"/>
  <c r="R58" i="1"/>
  <c r="Q58" i="1"/>
  <c r="P58" i="1"/>
  <c r="O58" i="1"/>
  <c r="N58" i="1"/>
  <c r="M58" i="1"/>
  <c r="L58" i="1"/>
  <c r="N31" i="1" s="1"/>
  <c r="N55" i="1"/>
  <c r="N54" i="1"/>
  <c r="N53" i="1"/>
  <c r="N41" i="1"/>
  <c r="N32" i="1"/>
  <c r="S27" i="1"/>
  <c r="R27" i="1"/>
  <c r="T26" i="1"/>
  <c r="T25" i="1"/>
  <c r="T24" i="1"/>
  <c r="T23" i="1"/>
  <c r="T22" i="1"/>
  <c r="T21" i="1"/>
  <c r="T20" i="1"/>
  <c r="T19" i="1"/>
  <c r="T18" i="1"/>
  <c r="T17" i="1"/>
  <c r="T16" i="1"/>
  <c r="T15" i="1"/>
  <c r="T14" i="1"/>
  <c r="T13" i="1"/>
  <c r="AH345" i="1" l="1"/>
  <c r="AO342" i="1"/>
  <c r="AG342" i="1"/>
  <c r="S340" i="1"/>
  <c r="AO350" i="1"/>
  <c r="AP339" i="1"/>
  <c r="Z345" i="1"/>
  <c r="AA348" i="1"/>
  <c r="AE336" i="1"/>
  <c r="S348" i="1"/>
  <c r="AL349" i="1"/>
  <c r="N347" i="1"/>
  <c r="W344" i="1"/>
  <c r="AD341" i="1"/>
  <c r="AK338" i="1"/>
  <c r="AD349" i="1"/>
  <c r="AK346" i="1"/>
  <c r="O344" i="1"/>
  <c r="V341" i="1"/>
  <c r="AC338" i="1"/>
  <c r="P349" i="1"/>
  <c r="Y346" i="1"/>
  <c r="AF343" i="1"/>
  <c r="AM340" i="1"/>
  <c r="Q338" i="1"/>
  <c r="L346" i="1"/>
  <c r="AM348" i="1"/>
  <c r="Q346" i="1"/>
  <c r="X343" i="1"/>
  <c r="AE340" i="1"/>
  <c r="AN337" i="1"/>
  <c r="AC350" i="1"/>
  <c r="AJ347" i="1"/>
  <c r="AQ344" i="1"/>
  <c r="U342" i="1"/>
  <c r="AB339" i="1"/>
  <c r="U350" i="1"/>
  <c r="AB347" i="1"/>
  <c r="AI344" i="1"/>
  <c r="M342" i="1"/>
  <c r="T339" i="1"/>
  <c r="L338" i="1"/>
  <c r="AG350" i="1"/>
  <c r="M350" i="1"/>
  <c r="V349" i="1"/>
  <c r="AE348" i="1"/>
  <c r="AP347" i="1"/>
  <c r="T347" i="1"/>
  <c r="AC346" i="1"/>
  <c r="AN345" i="1"/>
  <c r="R345" i="1"/>
  <c r="AA344" i="1"/>
  <c r="AL343" i="1"/>
  <c r="P343" i="1"/>
  <c r="Y342" i="1"/>
  <c r="AJ341" i="1"/>
  <c r="N341" i="1"/>
  <c r="W340" i="1"/>
  <c r="AH339" i="1"/>
  <c r="AQ338" i="1"/>
  <c r="U338" i="1"/>
  <c r="P337" i="1"/>
  <c r="AE350" i="1"/>
  <c r="AN349" i="1"/>
  <c r="T349" i="1"/>
  <c r="AC348" i="1"/>
  <c r="AL347" i="1"/>
  <c r="R347" i="1"/>
  <c r="AA346" i="1"/>
  <c r="AJ345" i="1"/>
  <c r="P345" i="1"/>
  <c r="Y344" i="1"/>
  <c r="AH343" i="1"/>
  <c r="N343" i="1"/>
  <c r="W342" i="1"/>
  <c r="AF341" i="1"/>
  <c r="AQ340" i="1"/>
  <c r="U340" i="1"/>
  <c r="AD339" i="1"/>
  <c r="AO338" i="1"/>
  <c r="S338" i="1"/>
  <c r="AM336" i="1"/>
  <c r="L350" i="1"/>
  <c r="Y350" i="1"/>
  <c r="AJ349" i="1"/>
  <c r="N349" i="1"/>
  <c r="W348" i="1"/>
  <c r="AH347" i="1"/>
  <c r="AQ346" i="1"/>
  <c r="U346" i="1"/>
  <c r="AF345" i="1"/>
  <c r="AO344" i="1"/>
  <c r="S344" i="1"/>
  <c r="AD343" i="1"/>
  <c r="AM342" i="1"/>
  <c r="Q342" i="1"/>
  <c r="AB341" i="1"/>
  <c r="AK340" i="1"/>
  <c r="O340" i="1"/>
  <c r="Z339" i="1"/>
  <c r="AI338" i="1"/>
  <c r="M338" i="1"/>
  <c r="W336" i="1"/>
  <c r="L348" i="1"/>
  <c r="W350" i="1"/>
  <c r="AF349" i="1"/>
  <c r="AQ348" i="1"/>
  <c r="U348" i="1"/>
  <c r="AD347" i="1"/>
  <c r="AO346" i="1"/>
  <c r="S346" i="1"/>
  <c r="AB345" i="1"/>
  <c r="AM344" i="1"/>
  <c r="Q344" i="1"/>
  <c r="Z343" i="1"/>
  <c r="AK342" i="1"/>
  <c r="O342" i="1"/>
  <c r="X341" i="1"/>
  <c r="AI340" i="1"/>
  <c r="M340" i="1"/>
  <c r="V339" i="1"/>
  <c r="AG338" i="1"/>
  <c r="AP337" i="1"/>
  <c r="O336" i="1"/>
  <c r="L342" i="1"/>
  <c r="AM350" i="1"/>
  <c r="Q350" i="1"/>
  <c r="AB349" i="1"/>
  <c r="AK348" i="1"/>
  <c r="O348" i="1"/>
  <c r="Z347" i="1"/>
  <c r="AI346" i="1"/>
  <c r="M346" i="1"/>
  <c r="X345" i="1"/>
  <c r="AG344" i="1"/>
  <c r="AP343" i="1"/>
  <c r="V343" i="1"/>
  <c r="AE342" i="1"/>
  <c r="AN341" i="1"/>
  <c r="T341" i="1"/>
  <c r="AC340" i="1"/>
  <c r="AL339" i="1"/>
  <c r="R339" i="1"/>
  <c r="AA338" i="1"/>
  <c r="AF337" i="1"/>
  <c r="L340" i="1"/>
  <c r="AK350" i="1"/>
  <c r="O350" i="1"/>
  <c r="X349" i="1"/>
  <c r="AI348" i="1"/>
  <c r="M348" i="1"/>
  <c r="V347" i="1"/>
  <c r="AG346" i="1"/>
  <c r="AP345" i="1"/>
  <c r="T345" i="1"/>
  <c r="AE344" i="1"/>
  <c r="AN343" i="1"/>
  <c r="R343" i="1"/>
  <c r="AC342" i="1"/>
  <c r="AL341" i="1"/>
  <c r="P341" i="1"/>
  <c r="AA340" i="1"/>
  <c r="AJ339" i="1"/>
  <c r="N339" i="1"/>
  <c r="Y338" i="1"/>
  <c r="X337" i="1"/>
  <c r="U54" i="1"/>
  <c r="L345" i="1"/>
  <c r="L337" i="1"/>
  <c r="AJ350" i="1"/>
  <c r="AB350" i="1"/>
  <c r="T350" i="1"/>
  <c r="AQ349" i="1"/>
  <c r="AI349" i="1"/>
  <c r="AA349" i="1"/>
  <c r="S349" i="1"/>
  <c r="AP348" i="1"/>
  <c r="AH348" i="1"/>
  <c r="Z348" i="1"/>
  <c r="R348" i="1"/>
  <c r="AO347" i="1"/>
  <c r="AG347" i="1"/>
  <c r="Y347" i="1"/>
  <c r="Q347" i="1"/>
  <c r="AN346" i="1"/>
  <c r="AF346" i="1"/>
  <c r="X346" i="1"/>
  <c r="P346" i="1"/>
  <c r="AM345" i="1"/>
  <c r="AE345" i="1"/>
  <c r="W345" i="1"/>
  <c r="O345" i="1"/>
  <c r="AL344" i="1"/>
  <c r="AD344" i="1"/>
  <c r="V344" i="1"/>
  <c r="N344" i="1"/>
  <c r="AK343" i="1"/>
  <c r="AC343" i="1"/>
  <c r="U343" i="1"/>
  <c r="M343" i="1"/>
  <c r="AJ342" i="1"/>
  <c r="AB342" i="1"/>
  <c r="T342" i="1"/>
  <c r="AQ341" i="1"/>
  <c r="AI341" i="1"/>
  <c r="AA341" i="1"/>
  <c r="S341" i="1"/>
  <c r="AP340" i="1"/>
  <c r="AH340" i="1"/>
  <c r="Z340" i="1"/>
  <c r="R340" i="1"/>
  <c r="AO339" i="1"/>
  <c r="AG339" i="1"/>
  <c r="Y339" i="1"/>
  <c r="Q339" i="1"/>
  <c r="AN338" i="1"/>
  <c r="AF338" i="1"/>
  <c r="X338" i="1"/>
  <c r="P338" i="1"/>
  <c r="AM337" i="1"/>
  <c r="AE337" i="1"/>
  <c r="W337" i="1"/>
  <c r="O337" i="1"/>
  <c r="AL336" i="1"/>
  <c r="AD336" i="1"/>
  <c r="V336" i="1"/>
  <c r="N336" i="1"/>
  <c r="L344" i="1"/>
  <c r="L336" i="1"/>
  <c r="AQ350" i="1"/>
  <c r="AI350" i="1"/>
  <c r="AA350" i="1"/>
  <c r="S350" i="1"/>
  <c r="AP349" i="1"/>
  <c r="AH349" i="1"/>
  <c r="Z349" i="1"/>
  <c r="R349" i="1"/>
  <c r="AO348" i="1"/>
  <c r="AG348" i="1"/>
  <c r="Y348" i="1"/>
  <c r="Q348" i="1"/>
  <c r="AN347" i="1"/>
  <c r="AF347" i="1"/>
  <c r="X347" i="1"/>
  <c r="P347" i="1"/>
  <c r="AM346" i="1"/>
  <c r="AE346" i="1"/>
  <c r="W346" i="1"/>
  <c r="O346" i="1"/>
  <c r="AL345" i="1"/>
  <c r="AD345" i="1"/>
  <c r="V345" i="1"/>
  <c r="N345" i="1"/>
  <c r="AK344" i="1"/>
  <c r="AC344" i="1"/>
  <c r="U344" i="1"/>
  <c r="M344" i="1"/>
  <c r="AJ343" i="1"/>
  <c r="AB343" i="1"/>
  <c r="T343" i="1"/>
  <c r="AQ342" i="1"/>
  <c r="AI342" i="1"/>
  <c r="AA342" i="1"/>
  <c r="S342" i="1"/>
  <c r="AP341" i="1"/>
  <c r="AH341" i="1"/>
  <c r="Z341" i="1"/>
  <c r="R341" i="1"/>
  <c r="AO340" i="1"/>
  <c r="AG340" i="1"/>
  <c r="Y340" i="1"/>
  <c r="Q340" i="1"/>
  <c r="AN339" i="1"/>
  <c r="AF339" i="1"/>
  <c r="X339" i="1"/>
  <c r="P339" i="1"/>
  <c r="AM338" i="1"/>
  <c r="AE338" i="1"/>
  <c r="W338" i="1"/>
  <c r="O338" i="1"/>
  <c r="AL337" i="1"/>
  <c r="AD337" i="1"/>
  <c r="V337" i="1"/>
  <c r="N337" i="1"/>
  <c r="AK336" i="1"/>
  <c r="AC336" i="1"/>
  <c r="U336" i="1"/>
  <c r="M336" i="1"/>
  <c r="L343" i="1"/>
  <c r="AP350" i="1"/>
  <c r="AH350" i="1"/>
  <c r="Z350" i="1"/>
  <c r="R350" i="1"/>
  <c r="AO349" i="1"/>
  <c r="AG349" i="1"/>
  <c r="Y349" i="1"/>
  <c r="Q349" i="1"/>
  <c r="AN348" i="1"/>
  <c r="AF348" i="1"/>
  <c r="X348" i="1"/>
  <c r="P348" i="1"/>
  <c r="AM347" i="1"/>
  <c r="AE347" i="1"/>
  <c r="W347" i="1"/>
  <c r="O347" i="1"/>
  <c r="AL346" i="1"/>
  <c r="AD346" i="1"/>
  <c r="V346" i="1"/>
  <c r="N346" i="1"/>
  <c r="AK345" i="1"/>
  <c r="AC345" i="1"/>
  <c r="U345" i="1"/>
  <c r="M345" i="1"/>
  <c r="AJ344" i="1"/>
  <c r="AB344" i="1"/>
  <c r="T344" i="1"/>
  <c r="AQ343" i="1"/>
  <c r="AI343" i="1"/>
  <c r="AA343" i="1"/>
  <c r="S343" i="1"/>
  <c r="AP342" i="1"/>
  <c r="AH342" i="1"/>
  <c r="Z342" i="1"/>
  <c r="R342" i="1"/>
  <c r="AO341" i="1"/>
  <c r="AG341" i="1"/>
  <c r="Y341" i="1"/>
  <c r="Q341" i="1"/>
  <c r="AN340" i="1"/>
  <c r="AF340" i="1"/>
  <c r="X340" i="1"/>
  <c r="P340" i="1"/>
  <c r="AM339" i="1"/>
  <c r="AE339" i="1"/>
  <c r="W339" i="1"/>
  <c r="O339" i="1"/>
  <c r="AL338" i="1"/>
  <c r="AD338" i="1"/>
  <c r="V338" i="1"/>
  <c r="N338" i="1"/>
  <c r="AK337" i="1"/>
  <c r="AC337" i="1"/>
  <c r="U337" i="1"/>
  <c r="M337" i="1"/>
  <c r="AJ336" i="1"/>
  <c r="AB336" i="1"/>
  <c r="T336" i="1"/>
  <c r="AJ337" i="1"/>
  <c r="AB337" i="1"/>
  <c r="T337" i="1"/>
  <c r="AQ336" i="1"/>
  <c r="AI336" i="1"/>
  <c r="AA336" i="1"/>
  <c r="S336" i="1"/>
  <c r="L349" i="1"/>
  <c r="L341" i="1"/>
  <c r="AN350" i="1"/>
  <c r="AF350" i="1"/>
  <c r="X350" i="1"/>
  <c r="P350" i="1"/>
  <c r="AM349" i="1"/>
  <c r="AE349" i="1"/>
  <c r="W349" i="1"/>
  <c r="O349" i="1"/>
  <c r="AL348" i="1"/>
  <c r="AD348" i="1"/>
  <c r="V348" i="1"/>
  <c r="N348" i="1"/>
  <c r="AK347" i="1"/>
  <c r="AC347" i="1"/>
  <c r="U347" i="1"/>
  <c r="M347" i="1"/>
  <c r="AJ346" i="1"/>
  <c r="AB346" i="1"/>
  <c r="T346" i="1"/>
  <c r="AQ345" i="1"/>
  <c r="AI345" i="1"/>
  <c r="AA345" i="1"/>
  <c r="S345" i="1"/>
  <c r="AP344" i="1"/>
  <c r="AH344" i="1"/>
  <c r="Z344" i="1"/>
  <c r="R344" i="1"/>
  <c r="AO343" i="1"/>
  <c r="AG343" i="1"/>
  <c r="Y343" i="1"/>
  <c r="Q343" i="1"/>
  <c r="AN342" i="1"/>
  <c r="AF342" i="1"/>
  <c r="X342" i="1"/>
  <c r="P342" i="1"/>
  <c r="AM341" i="1"/>
  <c r="AE341" i="1"/>
  <c r="W341" i="1"/>
  <c r="O341" i="1"/>
  <c r="AL340" i="1"/>
  <c r="AD340" i="1"/>
  <c r="V340" i="1"/>
  <c r="N340" i="1"/>
  <c r="AK339" i="1"/>
  <c r="AC339" i="1"/>
  <c r="U339" i="1"/>
  <c r="M339" i="1"/>
  <c r="AJ338" i="1"/>
  <c r="AB338" i="1"/>
  <c r="T338" i="1"/>
  <c r="AQ337" i="1"/>
  <c r="AI337" i="1"/>
  <c r="AA337" i="1"/>
  <c r="S337" i="1"/>
  <c r="AP336" i="1"/>
  <c r="AH336" i="1"/>
  <c r="Z336" i="1"/>
  <c r="R336" i="1"/>
  <c r="AH337" i="1"/>
  <c r="Z337" i="1"/>
  <c r="R337" i="1"/>
  <c r="AO336" i="1"/>
  <c r="AG336" i="1"/>
  <c r="Y336" i="1"/>
  <c r="Q336" i="1"/>
  <c r="L347" i="1"/>
  <c r="L339" i="1"/>
  <c r="AL350" i="1"/>
  <c r="AD350" i="1"/>
  <c r="V350" i="1"/>
  <c r="N350" i="1"/>
  <c r="AK349" i="1"/>
  <c r="AC349" i="1"/>
  <c r="U349" i="1"/>
  <c r="M349" i="1"/>
  <c r="AJ348" i="1"/>
  <c r="AB348" i="1"/>
  <c r="T348" i="1"/>
  <c r="AQ347" i="1"/>
  <c r="AI347" i="1"/>
  <c r="AA347" i="1"/>
  <c r="S347" i="1"/>
  <c r="AP346" i="1"/>
  <c r="AH346" i="1"/>
  <c r="Z346" i="1"/>
  <c r="R346" i="1"/>
  <c r="AO345" i="1"/>
  <c r="AG345" i="1"/>
  <c r="Y345" i="1"/>
  <c r="Q345" i="1"/>
  <c r="AN344" i="1"/>
  <c r="AF344" i="1"/>
  <c r="X344" i="1"/>
  <c r="P344" i="1"/>
  <c r="AM343" i="1"/>
  <c r="AE343" i="1"/>
  <c r="W343" i="1"/>
  <c r="O343" i="1"/>
  <c r="AL342" i="1"/>
  <c r="AD342" i="1"/>
  <c r="V342" i="1"/>
  <c r="N342" i="1"/>
  <c r="AK341" i="1"/>
  <c r="AC341" i="1"/>
  <c r="U341" i="1"/>
  <c r="M341" i="1"/>
  <c r="AJ340" i="1"/>
  <c r="AB340" i="1"/>
  <c r="T340" i="1"/>
  <c r="AQ339" i="1"/>
  <c r="AI339" i="1"/>
  <c r="AA339" i="1"/>
  <c r="S339" i="1"/>
  <c r="AP338" i="1"/>
  <c r="AH338" i="1"/>
  <c r="Z338" i="1"/>
  <c r="R338" i="1"/>
  <c r="AO337" i="1"/>
  <c r="AG337" i="1"/>
  <c r="Y337" i="1"/>
  <c r="Q337" i="1"/>
  <c r="AN336" i="1"/>
  <c r="AF336" i="1"/>
  <c r="X336" i="1"/>
  <c r="P336" i="1"/>
  <c r="AD82" i="1"/>
  <c r="V84" i="1"/>
  <c r="O82" i="1"/>
  <c r="W82" i="1"/>
  <c r="AE82" i="1"/>
  <c r="AM82" i="1"/>
  <c r="O83" i="1"/>
  <c r="W83" i="1"/>
  <c r="AE83" i="1"/>
  <c r="AM83" i="1"/>
  <c r="O84" i="1"/>
  <c r="W84" i="1"/>
  <c r="AE84" i="1"/>
  <c r="AM84" i="1"/>
  <c r="V82" i="1"/>
  <c r="AD83" i="1"/>
  <c r="AD84" i="1"/>
  <c r="T54" i="1"/>
  <c r="P82" i="1"/>
  <c r="X82" i="1"/>
  <c r="AF82" i="1"/>
  <c r="AN82" i="1"/>
  <c r="P83" i="1"/>
  <c r="X83" i="1"/>
  <c r="AF83" i="1"/>
  <c r="AN83" i="1"/>
  <c r="P84" i="1"/>
  <c r="X84" i="1"/>
  <c r="AF84" i="1"/>
  <c r="AN84" i="1"/>
  <c r="N83" i="1"/>
  <c r="N84" i="1"/>
  <c r="V54" i="1"/>
  <c r="Q82" i="1"/>
  <c r="Y82" i="1"/>
  <c r="AG82" i="1"/>
  <c r="AO82" i="1"/>
  <c r="Q83" i="1"/>
  <c r="Y83" i="1"/>
  <c r="AG83" i="1"/>
  <c r="AO83" i="1"/>
  <c r="Q84" i="1"/>
  <c r="Y84" i="1"/>
  <c r="AG84" i="1"/>
  <c r="AO84" i="1"/>
  <c r="V83" i="1"/>
  <c r="AL84" i="1"/>
  <c r="W54" i="1"/>
  <c r="R82" i="1"/>
  <c r="Z82" i="1"/>
  <c r="AH82" i="1"/>
  <c r="AP82" i="1"/>
  <c r="R83" i="1"/>
  <c r="Z83" i="1"/>
  <c r="AH83" i="1"/>
  <c r="AP83" i="1"/>
  <c r="R84" i="1"/>
  <c r="Z84" i="1"/>
  <c r="AH84" i="1"/>
  <c r="AP84" i="1"/>
  <c r="Z85" i="1"/>
  <c r="R86" i="1"/>
  <c r="AP86" i="1"/>
  <c r="Z87" i="1"/>
  <c r="AH87" i="1"/>
  <c r="N82" i="1"/>
  <c r="S82" i="1"/>
  <c r="AA82" i="1"/>
  <c r="AI82" i="1"/>
  <c r="AQ82" i="1"/>
  <c r="S83" i="1"/>
  <c r="AA83" i="1"/>
  <c r="AI83" i="1"/>
  <c r="AQ83" i="1"/>
  <c r="S84" i="1"/>
  <c r="AA84" i="1"/>
  <c r="AI84" i="1"/>
  <c r="AQ84" i="1"/>
  <c r="S54" i="1"/>
  <c r="L82" i="1"/>
  <c r="T82" i="1"/>
  <c r="AB82" i="1"/>
  <c r="AJ82" i="1"/>
  <c r="L83" i="1"/>
  <c r="N46" i="1" s="1"/>
  <c r="T83" i="1"/>
  <c r="AB83" i="1"/>
  <c r="AJ83" i="1"/>
  <c r="L84" i="1"/>
  <c r="T84" i="1"/>
  <c r="AB84" i="1"/>
  <c r="AJ84" i="1"/>
  <c r="M82" i="1"/>
  <c r="U82" i="1"/>
  <c r="AC82" i="1"/>
  <c r="AK82" i="1"/>
  <c r="M83" i="1"/>
  <c r="U83" i="1"/>
  <c r="AC83" i="1"/>
  <c r="AK83" i="1"/>
  <c r="M84" i="1"/>
  <c r="U84" i="1"/>
  <c r="AC84" i="1"/>
  <c r="AK84" i="1"/>
  <c r="AL82" i="1"/>
  <c r="AL83" i="1"/>
  <c r="O53" i="1"/>
  <c r="O54" i="1"/>
  <c r="O55" i="1"/>
  <c r="AH637" i="1"/>
  <c r="AH635" i="1"/>
  <c r="AH638" i="1"/>
  <c r="AH634" i="1"/>
  <c r="AH633" i="1"/>
  <c r="AH636" i="1"/>
  <c r="AH645" i="1"/>
  <c r="AH644" i="1"/>
  <c r="AH643" i="1"/>
  <c r="AH642" i="1"/>
  <c r="AH641" i="1"/>
  <c r="AH640" i="1"/>
  <c r="R54" i="1"/>
  <c r="S636" i="1"/>
  <c r="S634" i="1"/>
  <c r="S637" i="1"/>
  <c r="S638" i="1"/>
  <c r="S635" i="1"/>
  <c r="S633" i="1"/>
  <c r="AA636" i="1"/>
  <c r="AA634" i="1"/>
  <c r="AA637" i="1"/>
  <c r="AA635" i="1"/>
  <c r="AA633" i="1"/>
  <c r="AA638" i="1"/>
  <c r="AI636" i="1"/>
  <c r="AI634" i="1"/>
  <c r="AI637" i="1"/>
  <c r="AI638" i="1"/>
  <c r="AI633" i="1"/>
  <c r="AI635" i="1"/>
  <c r="AQ636" i="1"/>
  <c r="AQ634" i="1"/>
  <c r="AQ635" i="1"/>
  <c r="AQ637" i="1"/>
  <c r="AQ638" i="1"/>
  <c r="AQ633" i="1"/>
  <c r="S642" i="1"/>
  <c r="S641" i="1"/>
  <c r="S640" i="1"/>
  <c r="S643" i="1"/>
  <c r="S644" i="1"/>
  <c r="S645" i="1"/>
  <c r="AA640" i="1"/>
  <c r="AA645" i="1"/>
  <c r="AA642" i="1"/>
  <c r="AA644" i="1"/>
  <c r="AA643" i="1"/>
  <c r="AA641" i="1"/>
  <c r="AI645" i="1"/>
  <c r="AI641" i="1"/>
  <c r="AI643" i="1"/>
  <c r="AI642" i="1"/>
  <c r="AI640" i="1"/>
  <c r="AI644" i="1"/>
  <c r="AQ643" i="1"/>
  <c r="AQ640" i="1"/>
  <c r="AQ641" i="1"/>
  <c r="AQ645" i="1"/>
  <c r="AQ644" i="1"/>
  <c r="AQ642" i="1"/>
  <c r="S652" i="1"/>
  <c r="S651" i="1"/>
  <c r="S650" i="1"/>
  <c r="S648" i="1"/>
  <c r="S649" i="1"/>
  <c r="S647" i="1"/>
  <c r="AA648" i="1"/>
  <c r="AA651" i="1"/>
  <c r="AA649" i="1"/>
  <c r="AA652" i="1"/>
  <c r="AA647" i="1"/>
  <c r="AA650" i="1"/>
  <c r="AI652" i="1"/>
  <c r="AI651" i="1"/>
  <c r="AI648" i="1"/>
  <c r="AI649" i="1"/>
  <c r="AI650" i="1"/>
  <c r="AI647" i="1"/>
  <c r="AQ650" i="1"/>
  <c r="AQ649" i="1"/>
  <c r="AQ651" i="1"/>
  <c r="AQ652" i="1"/>
  <c r="AQ648" i="1"/>
  <c r="AQ647" i="1"/>
  <c r="S85" i="1"/>
  <c r="AA85" i="1"/>
  <c r="AI85" i="1"/>
  <c r="AQ85" i="1"/>
  <c r="S86" i="1"/>
  <c r="AA86" i="1"/>
  <c r="AI86" i="1"/>
  <c r="AQ86" i="1"/>
  <c r="S87" i="1"/>
  <c r="AA87" i="1"/>
  <c r="AI87" i="1"/>
  <c r="AQ87" i="1"/>
  <c r="Z645" i="1"/>
  <c r="Z644" i="1"/>
  <c r="Z643" i="1"/>
  <c r="Z642" i="1"/>
  <c r="Z641" i="1"/>
  <c r="Z640" i="1"/>
  <c r="AP648" i="1"/>
  <c r="AP651" i="1"/>
  <c r="AP647" i="1"/>
  <c r="AP649" i="1"/>
  <c r="AP652" i="1"/>
  <c r="AP650" i="1"/>
  <c r="AH86" i="1"/>
  <c r="AP87" i="1"/>
  <c r="L635" i="1"/>
  <c r="L633" i="1"/>
  <c r="L638" i="1"/>
  <c r="L637" i="1"/>
  <c r="L634" i="1"/>
  <c r="L636" i="1"/>
  <c r="T635" i="1"/>
  <c r="T633" i="1"/>
  <c r="T638" i="1"/>
  <c r="T634" i="1"/>
  <c r="T636" i="1"/>
  <c r="T637" i="1"/>
  <c r="AB635" i="1"/>
  <c r="AB633" i="1"/>
  <c r="AB636" i="1"/>
  <c r="AB638" i="1"/>
  <c r="AB634" i="1"/>
  <c r="AB637" i="1"/>
  <c r="AJ635" i="1"/>
  <c r="AJ633" i="1"/>
  <c r="AJ638" i="1"/>
  <c r="AJ636" i="1"/>
  <c r="AJ634" i="1"/>
  <c r="AJ637" i="1"/>
  <c r="L645" i="1"/>
  <c r="L644" i="1"/>
  <c r="L643" i="1"/>
  <c r="L642" i="1"/>
  <c r="L641" i="1"/>
  <c r="L640" i="1"/>
  <c r="T645" i="1"/>
  <c r="T641" i="1"/>
  <c r="T643" i="1"/>
  <c r="T644" i="1"/>
  <c r="T640" i="1"/>
  <c r="T642" i="1"/>
  <c r="AB643" i="1"/>
  <c r="AB645" i="1"/>
  <c r="AB641" i="1"/>
  <c r="AB644" i="1"/>
  <c r="AB642" i="1"/>
  <c r="AB640" i="1"/>
  <c r="AJ645" i="1"/>
  <c r="AJ644" i="1"/>
  <c r="AJ643" i="1"/>
  <c r="AJ642" i="1"/>
  <c r="AJ641" i="1"/>
  <c r="AJ640" i="1"/>
  <c r="L652" i="1"/>
  <c r="L651" i="1"/>
  <c r="L650" i="1"/>
  <c r="L649" i="1"/>
  <c r="L648" i="1"/>
  <c r="L647" i="1"/>
  <c r="T648" i="1"/>
  <c r="T650" i="1"/>
  <c r="T647" i="1"/>
  <c r="T651" i="1"/>
  <c r="T652" i="1"/>
  <c r="T649" i="1"/>
  <c r="AB652" i="1"/>
  <c r="AB651" i="1"/>
  <c r="AB648" i="1"/>
  <c r="AB647" i="1"/>
  <c r="AB649" i="1"/>
  <c r="AB650" i="1"/>
  <c r="AJ652" i="1"/>
  <c r="AJ651" i="1"/>
  <c r="AJ650" i="1"/>
  <c r="AJ649" i="1"/>
  <c r="AJ648" i="1"/>
  <c r="AJ647" i="1"/>
  <c r="L85" i="1"/>
  <c r="T85" i="1"/>
  <c r="AB85" i="1"/>
  <c r="AJ85" i="1"/>
  <c r="L86" i="1"/>
  <c r="T86" i="1"/>
  <c r="AB86" i="1"/>
  <c r="AJ86" i="1"/>
  <c r="L87" i="1"/>
  <c r="T87" i="1"/>
  <c r="AB87" i="1"/>
  <c r="AJ87" i="1"/>
  <c r="Z637" i="1"/>
  <c r="Z635" i="1"/>
  <c r="Z638" i="1"/>
  <c r="Z634" i="1"/>
  <c r="Z636" i="1"/>
  <c r="Z633" i="1"/>
  <c r="R652" i="1"/>
  <c r="R647" i="1"/>
  <c r="R649" i="1"/>
  <c r="R651" i="1"/>
  <c r="R650" i="1"/>
  <c r="R648" i="1"/>
  <c r="AH85" i="1"/>
  <c r="L53" i="1"/>
  <c r="M634" i="1"/>
  <c r="M637" i="1"/>
  <c r="M638" i="1"/>
  <c r="M635" i="1"/>
  <c r="M636" i="1"/>
  <c r="M633" i="1"/>
  <c r="U634" i="1"/>
  <c r="U633" i="1"/>
  <c r="U635" i="1"/>
  <c r="U636" i="1"/>
  <c r="U638" i="1"/>
  <c r="U637" i="1"/>
  <c r="AC634" i="1"/>
  <c r="AC635" i="1"/>
  <c r="AC633" i="1"/>
  <c r="AC636" i="1"/>
  <c r="AC638" i="1"/>
  <c r="AC637" i="1"/>
  <c r="AK634" i="1"/>
  <c r="AK637" i="1"/>
  <c r="AK635" i="1"/>
  <c r="AK636" i="1"/>
  <c r="AK633" i="1"/>
  <c r="AK638" i="1"/>
  <c r="M643" i="1"/>
  <c r="M645" i="1"/>
  <c r="M641" i="1"/>
  <c r="M640" i="1"/>
  <c r="M642" i="1"/>
  <c r="M644" i="1"/>
  <c r="U643" i="1"/>
  <c r="U640" i="1"/>
  <c r="U641" i="1"/>
  <c r="U642" i="1"/>
  <c r="U644" i="1"/>
  <c r="U645" i="1"/>
  <c r="AC644" i="1"/>
  <c r="AC641" i="1"/>
  <c r="AC643" i="1"/>
  <c r="AC645" i="1"/>
  <c r="AC640" i="1"/>
  <c r="AC642" i="1"/>
  <c r="AK645" i="1"/>
  <c r="AK642" i="1"/>
  <c r="AK644" i="1"/>
  <c r="AK643" i="1"/>
  <c r="AK641" i="1"/>
  <c r="AK640" i="1"/>
  <c r="M652" i="1"/>
  <c r="M648" i="1"/>
  <c r="M650" i="1"/>
  <c r="M651" i="1"/>
  <c r="M649" i="1"/>
  <c r="M647" i="1"/>
  <c r="U650" i="1"/>
  <c r="U647" i="1"/>
  <c r="U652" i="1"/>
  <c r="U648" i="1"/>
  <c r="U651" i="1"/>
  <c r="U649" i="1"/>
  <c r="AC652" i="1"/>
  <c r="AC651" i="1"/>
  <c r="AC650" i="1"/>
  <c r="AC648" i="1"/>
  <c r="AC649" i="1"/>
  <c r="AC647" i="1"/>
  <c r="AK652" i="1"/>
  <c r="AK651" i="1"/>
  <c r="AK647" i="1"/>
  <c r="AK648" i="1"/>
  <c r="AK649" i="1"/>
  <c r="AK650" i="1"/>
  <c r="M85" i="1"/>
  <c r="U85" i="1"/>
  <c r="AC85" i="1"/>
  <c r="AK85" i="1"/>
  <c r="M86" i="1"/>
  <c r="U86" i="1"/>
  <c r="AC86" i="1"/>
  <c r="AK86" i="1"/>
  <c r="M87" i="1"/>
  <c r="U87" i="1"/>
  <c r="AC87" i="1"/>
  <c r="AK87" i="1"/>
  <c r="R637" i="1"/>
  <c r="R635" i="1"/>
  <c r="R634" i="1"/>
  <c r="R633" i="1"/>
  <c r="R638" i="1"/>
  <c r="R636" i="1"/>
  <c r="AP643" i="1"/>
  <c r="AP645" i="1"/>
  <c r="AP641" i="1"/>
  <c r="AP640" i="1"/>
  <c r="AP642" i="1"/>
  <c r="AP644" i="1"/>
  <c r="R85" i="1"/>
  <c r="Z86" i="1"/>
  <c r="N633" i="1"/>
  <c r="N638" i="1"/>
  <c r="N636" i="1"/>
  <c r="N637" i="1"/>
  <c r="N635" i="1"/>
  <c r="N634" i="1"/>
  <c r="V633" i="1"/>
  <c r="V638" i="1"/>
  <c r="V636" i="1"/>
  <c r="V637" i="1"/>
  <c r="V634" i="1"/>
  <c r="V635" i="1"/>
  <c r="AD633" i="1"/>
  <c r="AD634" i="1"/>
  <c r="AD636" i="1"/>
  <c r="AD637" i="1"/>
  <c r="AD635" i="1"/>
  <c r="AD638" i="1"/>
  <c r="AL633" i="1"/>
  <c r="AL636" i="1"/>
  <c r="AL634" i="1"/>
  <c r="AL638" i="1"/>
  <c r="AL637" i="1"/>
  <c r="AL635" i="1"/>
  <c r="N645" i="1"/>
  <c r="N644" i="1"/>
  <c r="N643" i="1"/>
  <c r="N642" i="1"/>
  <c r="N641" i="1"/>
  <c r="N640" i="1"/>
  <c r="V645" i="1"/>
  <c r="V644" i="1"/>
  <c r="V643" i="1"/>
  <c r="V642" i="1"/>
  <c r="V641" i="1"/>
  <c r="V640" i="1"/>
  <c r="AD642" i="1"/>
  <c r="AD644" i="1"/>
  <c r="AD640" i="1"/>
  <c r="AD641" i="1"/>
  <c r="AD645" i="1"/>
  <c r="AD643" i="1"/>
  <c r="AL644" i="1"/>
  <c r="AL640" i="1"/>
  <c r="AL642" i="1"/>
  <c r="AL645" i="1"/>
  <c r="AL643" i="1"/>
  <c r="AL641" i="1"/>
  <c r="N652" i="1"/>
  <c r="N651" i="1"/>
  <c r="N650" i="1"/>
  <c r="N649" i="1"/>
  <c r="N648" i="1"/>
  <c r="N647" i="1"/>
  <c r="V652" i="1"/>
  <c r="V651" i="1"/>
  <c r="V650" i="1"/>
  <c r="V649" i="1"/>
  <c r="V648" i="1"/>
  <c r="V647" i="1"/>
  <c r="AD647" i="1"/>
  <c r="AD650" i="1"/>
  <c r="AD649" i="1"/>
  <c r="AD652" i="1"/>
  <c r="AD648" i="1"/>
  <c r="AD651" i="1"/>
  <c r="AL652" i="1"/>
  <c r="AL651" i="1"/>
  <c r="AL650" i="1"/>
  <c r="AL649" i="1"/>
  <c r="AL647" i="1"/>
  <c r="AL648" i="1"/>
  <c r="N85" i="1"/>
  <c r="V85" i="1"/>
  <c r="AD85" i="1"/>
  <c r="AL85" i="1"/>
  <c r="N86" i="1"/>
  <c r="V86" i="1"/>
  <c r="AD86" i="1"/>
  <c r="AL86" i="1"/>
  <c r="N87" i="1"/>
  <c r="V87" i="1"/>
  <c r="AD87" i="1"/>
  <c r="AL87" i="1"/>
  <c r="AP637" i="1"/>
  <c r="AP635" i="1"/>
  <c r="AP633" i="1"/>
  <c r="AP638" i="1"/>
  <c r="AP636" i="1"/>
  <c r="AP634" i="1"/>
  <c r="AH652" i="1"/>
  <c r="AH651" i="1"/>
  <c r="AH650" i="1"/>
  <c r="AH649" i="1"/>
  <c r="AH648" i="1"/>
  <c r="AH647" i="1"/>
  <c r="AP85" i="1"/>
  <c r="R87" i="1"/>
  <c r="O638" i="1"/>
  <c r="O637" i="1"/>
  <c r="O635" i="1"/>
  <c r="O636" i="1"/>
  <c r="O634" i="1"/>
  <c r="O633" i="1"/>
  <c r="W638" i="1"/>
  <c r="W637" i="1"/>
  <c r="W635" i="1"/>
  <c r="W634" i="1"/>
  <c r="W633" i="1"/>
  <c r="W636" i="1"/>
  <c r="AE638" i="1"/>
  <c r="AE637" i="1"/>
  <c r="AE633" i="1"/>
  <c r="AE634" i="1"/>
  <c r="AE635" i="1"/>
  <c r="AE636" i="1"/>
  <c r="AM638" i="1"/>
  <c r="AM635" i="1"/>
  <c r="AM637" i="1"/>
  <c r="AM634" i="1"/>
  <c r="AM636" i="1"/>
  <c r="AM633" i="1"/>
  <c r="O645" i="1"/>
  <c r="O644" i="1"/>
  <c r="O643" i="1"/>
  <c r="O642" i="1"/>
  <c r="O641" i="1"/>
  <c r="O640" i="1"/>
  <c r="W645" i="1"/>
  <c r="W644" i="1"/>
  <c r="W643" i="1"/>
  <c r="W642" i="1"/>
  <c r="W641" i="1"/>
  <c r="W640" i="1"/>
  <c r="AE645" i="1"/>
  <c r="AE644" i="1"/>
  <c r="AE643" i="1"/>
  <c r="AE642" i="1"/>
  <c r="AE641" i="1"/>
  <c r="AE640" i="1"/>
  <c r="AM645" i="1"/>
  <c r="AM644" i="1"/>
  <c r="AM643" i="1"/>
  <c r="AM642" i="1"/>
  <c r="AM641" i="1"/>
  <c r="AM640" i="1"/>
  <c r="O652" i="1"/>
  <c r="O651" i="1"/>
  <c r="O650" i="1"/>
  <c r="O649" i="1"/>
  <c r="O648" i="1"/>
  <c r="O647" i="1"/>
  <c r="W652" i="1"/>
  <c r="W651" i="1"/>
  <c r="W650" i="1"/>
  <c r="W649" i="1"/>
  <c r="W648" i="1"/>
  <c r="W647" i="1"/>
  <c r="AE652" i="1"/>
  <c r="AE651" i="1"/>
  <c r="AE650" i="1"/>
  <c r="AE649" i="1"/>
  <c r="AE648" i="1"/>
  <c r="AE647" i="1"/>
  <c r="AM652" i="1"/>
  <c r="AM651" i="1"/>
  <c r="AM650" i="1"/>
  <c r="AM649" i="1"/>
  <c r="AM648" i="1"/>
  <c r="AM647" i="1"/>
  <c r="O85" i="1"/>
  <c r="W85" i="1"/>
  <c r="AE85" i="1"/>
  <c r="AM85" i="1"/>
  <c r="O86" i="1"/>
  <c r="W86" i="1"/>
  <c r="AE86" i="1"/>
  <c r="AM86" i="1"/>
  <c r="O87" i="1"/>
  <c r="W87" i="1"/>
  <c r="AE87" i="1"/>
  <c r="AM87" i="1"/>
  <c r="R642" i="1"/>
  <c r="R644" i="1"/>
  <c r="R640" i="1"/>
  <c r="R645" i="1"/>
  <c r="R641" i="1"/>
  <c r="R643" i="1"/>
  <c r="Z652" i="1"/>
  <c r="Z651" i="1"/>
  <c r="Z650" i="1"/>
  <c r="Z649" i="1"/>
  <c r="Z648" i="1"/>
  <c r="Z647" i="1"/>
  <c r="L54" i="1"/>
  <c r="P637" i="1"/>
  <c r="P636" i="1"/>
  <c r="P634" i="1"/>
  <c r="P633" i="1"/>
  <c r="P638" i="1"/>
  <c r="P635" i="1"/>
  <c r="X637" i="1"/>
  <c r="X636" i="1"/>
  <c r="X633" i="1"/>
  <c r="X634" i="1"/>
  <c r="X635" i="1"/>
  <c r="X638" i="1"/>
  <c r="AF637" i="1"/>
  <c r="AF633" i="1"/>
  <c r="AF634" i="1"/>
  <c r="AF635" i="1"/>
  <c r="AF638" i="1"/>
  <c r="AF636" i="1"/>
  <c r="AN637" i="1"/>
  <c r="AN634" i="1"/>
  <c r="AN633" i="1"/>
  <c r="AN636" i="1"/>
  <c r="AN635" i="1"/>
  <c r="AN638" i="1"/>
  <c r="P645" i="1"/>
  <c r="P642" i="1"/>
  <c r="P643" i="1"/>
  <c r="P640" i="1"/>
  <c r="P641" i="1"/>
  <c r="P644" i="1"/>
  <c r="X644" i="1"/>
  <c r="X640" i="1"/>
  <c r="X642" i="1"/>
  <c r="X643" i="1"/>
  <c r="X641" i="1"/>
  <c r="X645" i="1"/>
  <c r="AF645" i="1"/>
  <c r="AF643" i="1"/>
  <c r="AF644" i="1"/>
  <c r="AF642" i="1"/>
  <c r="AF641" i="1"/>
  <c r="AF640" i="1"/>
  <c r="AN643" i="1"/>
  <c r="AN644" i="1"/>
  <c r="AN641" i="1"/>
  <c r="AN640" i="1"/>
  <c r="AN645" i="1"/>
  <c r="AN642" i="1"/>
  <c r="P651" i="1"/>
  <c r="P649" i="1"/>
  <c r="P648" i="1"/>
  <c r="P652" i="1"/>
  <c r="P650" i="1"/>
  <c r="P647" i="1"/>
  <c r="X651" i="1"/>
  <c r="X649" i="1"/>
  <c r="X652" i="1"/>
  <c r="X647" i="1"/>
  <c r="X650" i="1"/>
  <c r="X648" i="1"/>
  <c r="AF652" i="1"/>
  <c r="AF649" i="1"/>
  <c r="AF647" i="1"/>
  <c r="AF650" i="1"/>
  <c r="AF648" i="1"/>
  <c r="AF651" i="1"/>
  <c r="AN652" i="1"/>
  <c r="AN651" i="1"/>
  <c r="AN650" i="1"/>
  <c r="AN647" i="1"/>
  <c r="AN648" i="1"/>
  <c r="AN649" i="1"/>
  <c r="P85" i="1"/>
  <c r="X85" i="1"/>
  <c r="AF85" i="1"/>
  <c r="AN85" i="1"/>
  <c r="P86" i="1"/>
  <c r="X86" i="1"/>
  <c r="AF86" i="1"/>
  <c r="AN86" i="1"/>
  <c r="P87" i="1"/>
  <c r="X87" i="1"/>
  <c r="AF87" i="1"/>
  <c r="AN87" i="1"/>
  <c r="Q638" i="1"/>
  <c r="Q636" i="1"/>
  <c r="Q635" i="1"/>
  <c r="Q634" i="1"/>
  <c r="Q633" i="1"/>
  <c r="Q637" i="1"/>
  <c r="Y638" i="1"/>
  <c r="Y636" i="1"/>
  <c r="Y635" i="1"/>
  <c r="Y637" i="1"/>
  <c r="Y633" i="1"/>
  <c r="Y634" i="1"/>
  <c r="AG638" i="1"/>
  <c r="AG636" i="1"/>
  <c r="AG635" i="1"/>
  <c r="AG637" i="1"/>
  <c r="AG633" i="1"/>
  <c r="AG634" i="1"/>
  <c r="AO638" i="1"/>
  <c r="AO636" i="1"/>
  <c r="AO635" i="1"/>
  <c r="AO637" i="1"/>
  <c r="AO633" i="1"/>
  <c r="AO634" i="1"/>
  <c r="Q645" i="1"/>
  <c r="Q644" i="1"/>
  <c r="Q643" i="1"/>
  <c r="Q642" i="1"/>
  <c r="Q641" i="1"/>
  <c r="Q640" i="1"/>
  <c r="Y645" i="1"/>
  <c r="Y644" i="1"/>
  <c r="Y643" i="1"/>
  <c r="Y642" i="1"/>
  <c r="Y641" i="1"/>
  <c r="Y640" i="1"/>
  <c r="AG645" i="1"/>
  <c r="AG644" i="1"/>
  <c r="AG643" i="1"/>
  <c r="AG642" i="1"/>
  <c r="AG641" i="1"/>
  <c r="AG640" i="1"/>
  <c r="AO645" i="1"/>
  <c r="AO644" i="1"/>
  <c r="AO643" i="1"/>
  <c r="AO642" i="1"/>
  <c r="AO641" i="1"/>
  <c r="AO640" i="1"/>
  <c r="Q652" i="1"/>
  <c r="Q651" i="1"/>
  <c r="Q650" i="1"/>
  <c r="Q649" i="1"/>
  <c r="Q648" i="1"/>
  <c r="Q647" i="1"/>
  <c r="Y652" i="1"/>
  <c r="Y651" i="1"/>
  <c r="Y650" i="1"/>
  <c r="Y649" i="1"/>
  <c r="Y648" i="1"/>
  <c r="Y647" i="1"/>
  <c r="AG652" i="1"/>
  <c r="AG651" i="1"/>
  <c r="AG650" i="1"/>
  <c r="AG649" i="1"/>
  <c r="AG648" i="1"/>
  <c r="AG647" i="1"/>
  <c r="AO652" i="1"/>
  <c r="AO651" i="1"/>
  <c r="AO650" i="1"/>
  <c r="AO649" i="1"/>
  <c r="AO648" i="1"/>
  <c r="AO647" i="1"/>
  <c r="Q85" i="1"/>
  <c r="Y85" i="1"/>
  <c r="AG85" i="1"/>
  <c r="AO85" i="1"/>
  <c r="Q86" i="1"/>
  <c r="Y86" i="1"/>
  <c r="AG86" i="1"/>
  <c r="AO86" i="1"/>
  <c r="Q87" i="1"/>
  <c r="Y87" i="1"/>
  <c r="AG87" i="1"/>
  <c r="AO87" i="1"/>
  <c r="N44" i="1" l="1"/>
  <c r="N45" i="1" s="1"/>
  <c r="AD628" i="1"/>
  <c r="AD631" i="1" s="1"/>
  <c r="AE626" i="1"/>
  <c r="AE629" i="1" s="1"/>
  <c r="P627" i="1"/>
  <c r="P630" i="1" s="1"/>
  <c r="P626" i="1"/>
  <c r="P629" i="1" s="1"/>
  <c r="R628" i="1"/>
  <c r="R631" i="1" s="1"/>
  <c r="AJ626" i="1"/>
  <c r="AJ629" i="1" s="1"/>
  <c r="AO626" i="1"/>
  <c r="AO629" i="1" s="1"/>
  <c r="W628" i="1"/>
  <c r="W631" i="1" s="1"/>
  <c r="W627" i="1"/>
  <c r="W630" i="1" s="1"/>
  <c r="AP628" i="1"/>
  <c r="AP631" i="1" s="1"/>
  <c r="AQ627" i="1"/>
  <c r="AQ630" i="1" s="1"/>
  <c r="AD626" i="1"/>
  <c r="AD629" i="1" s="1"/>
  <c r="M628" i="1"/>
  <c r="M631" i="1" s="1"/>
  <c r="M626" i="1"/>
  <c r="M629" i="1" s="1"/>
  <c r="Z627" i="1"/>
  <c r="Z630" i="1" s="1"/>
  <c r="AI628" i="1"/>
  <c r="AI631" i="1" s="1"/>
  <c r="AF628" i="1"/>
  <c r="AF631" i="1" s="1"/>
  <c r="AH626" i="1"/>
  <c r="AH629" i="1" s="1"/>
  <c r="Q628" i="1"/>
  <c r="Q631" i="1" s="1"/>
  <c r="P628" i="1"/>
  <c r="P631" i="1" s="1"/>
  <c r="AF626" i="1"/>
  <c r="AF629" i="1" s="1"/>
  <c r="O628" i="1"/>
  <c r="O631" i="1" s="1"/>
  <c r="O627" i="1"/>
  <c r="O630" i="1" s="1"/>
  <c r="AL628" i="1"/>
  <c r="AL631" i="1" s="1"/>
  <c r="AD627" i="1"/>
  <c r="AD630" i="1" s="1"/>
  <c r="U628" i="1"/>
  <c r="U631" i="1" s="1"/>
  <c r="U627" i="1"/>
  <c r="U630" i="1" s="1"/>
  <c r="L628" i="1"/>
  <c r="L631" i="1" s="1"/>
  <c r="AB626" i="1"/>
  <c r="AB629" i="1" s="1"/>
  <c r="Q626" i="1"/>
  <c r="Q629" i="1" s="1"/>
  <c r="AN626" i="1"/>
  <c r="AN629" i="1" s="1"/>
  <c r="N628" i="1"/>
  <c r="N631" i="1" s="1"/>
  <c r="N627" i="1"/>
  <c r="N630" i="1" s="1"/>
  <c r="AK626" i="1"/>
  <c r="AK629" i="1" s="1"/>
  <c r="AC626" i="1"/>
  <c r="AC629" i="1" s="1"/>
  <c r="N47" i="1"/>
  <c r="AA628" i="1"/>
  <c r="AA631" i="1" s="1"/>
  <c r="S627" i="1"/>
  <c r="S630" i="1" s="1"/>
  <c r="AA626" i="1"/>
  <c r="AA629" i="1" s="1"/>
  <c r="AH627" i="1"/>
  <c r="AH630" i="1" s="1"/>
  <c r="Y627" i="1"/>
  <c r="Y630" i="1" s="1"/>
  <c r="AI627" i="1"/>
  <c r="AI630" i="1" s="1"/>
  <c r="AL627" i="1"/>
  <c r="AL630" i="1" s="1"/>
  <c r="AK628" i="1"/>
  <c r="AK631" i="1" s="1"/>
  <c r="T627" i="1"/>
  <c r="T630" i="1" s="1"/>
  <c r="AG628" i="1"/>
  <c r="AG631" i="1" s="1"/>
  <c r="AG627" i="1"/>
  <c r="AG630" i="1" s="1"/>
  <c r="X628" i="1"/>
  <c r="X631" i="1" s="1"/>
  <c r="AF627" i="1"/>
  <c r="AF630" i="1" s="1"/>
  <c r="R627" i="1"/>
  <c r="R630" i="1" s="1"/>
  <c r="AE628" i="1"/>
  <c r="AE631" i="1" s="1"/>
  <c r="AE627" i="1"/>
  <c r="AE630" i="1" s="1"/>
  <c r="AH628" i="1"/>
  <c r="AH631" i="1" s="1"/>
  <c r="AL626" i="1"/>
  <c r="AL629" i="1" s="1"/>
  <c r="M627" i="1"/>
  <c r="M630" i="1" s="1"/>
  <c r="N43" i="1"/>
  <c r="Z626" i="1"/>
  <c r="Z629" i="1" s="1"/>
  <c r="AB627" i="1"/>
  <c r="AB630" i="1" s="1"/>
  <c r="L626" i="1"/>
  <c r="L629" i="1" s="1"/>
  <c r="AQ628" i="1"/>
  <c r="AQ631" i="1" s="1"/>
  <c r="AQ626" i="1"/>
  <c r="AQ629" i="1" s="1"/>
  <c r="Z628" i="1"/>
  <c r="Z631" i="1" s="1"/>
  <c r="V628" i="1"/>
  <c r="V631" i="1" s="1"/>
  <c r="AI626" i="1"/>
  <c r="AI629" i="1" s="1"/>
  <c r="AG626" i="1"/>
  <c r="AG629" i="1" s="1"/>
  <c r="X626" i="1"/>
  <c r="X629" i="1" s="1"/>
  <c r="AP626" i="1"/>
  <c r="AP629" i="1" s="1"/>
  <c r="R626" i="1"/>
  <c r="R629" i="1" s="1"/>
  <c r="T628" i="1"/>
  <c r="T631" i="1" s="1"/>
  <c r="AA627" i="1"/>
  <c r="AA630" i="1" s="1"/>
  <c r="Y628" i="1"/>
  <c r="Y631" i="1" s="1"/>
  <c r="Y626" i="1"/>
  <c r="Y629" i="1" s="1"/>
  <c r="W626" i="1"/>
  <c r="W629" i="1" s="1"/>
  <c r="V627" i="1"/>
  <c r="V630" i="1" s="1"/>
  <c r="AO628" i="1"/>
  <c r="AO631" i="1" s="1"/>
  <c r="AO627" i="1"/>
  <c r="AO630" i="1" s="1"/>
  <c r="X627" i="1"/>
  <c r="X630" i="1" s="1"/>
  <c r="AM628" i="1"/>
  <c r="AM631" i="1" s="1"/>
  <c r="AM627" i="1"/>
  <c r="AM630" i="1" s="1"/>
  <c r="AM626" i="1"/>
  <c r="AM629" i="1" s="1"/>
  <c r="N626" i="1"/>
  <c r="N629" i="1" s="1"/>
  <c r="AC628" i="1"/>
  <c r="AC631" i="1" s="1"/>
  <c r="AJ628" i="1"/>
  <c r="AJ631" i="1" s="1"/>
  <c r="AB628" i="1"/>
  <c r="AB631" i="1" s="1"/>
  <c r="AJ627" i="1"/>
  <c r="AJ630" i="1" s="1"/>
  <c r="T626" i="1"/>
  <c r="T629" i="1" s="1"/>
  <c r="S628" i="1"/>
  <c r="S631" i="1" s="1"/>
  <c r="S626" i="1"/>
  <c r="S629" i="1" s="1"/>
  <c r="AP627" i="1"/>
  <c r="AP630" i="1" s="1"/>
  <c r="AC627" i="1"/>
  <c r="AC630" i="1" s="1"/>
  <c r="Q627" i="1"/>
  <c r="Q630" i="1" s="1"/>
  <c r="AN628" i="1"/>
  <c r="AN631" i="1" s="1"/>
  <c r="AN627" i="1"/>
  <c r="AN630" i="1" s="1"/>
  <c r="O626" i="1"/>
  <c r="O629" i="1" s="1"/>
  <c r="V626" i="1"/>
  <c r="V629" i="1" s="1"/>
  <c r="AK627" i="1"/>
  <c r="AK630" i="1" s="1"/>
  <c r="U626" i="1"/>
  <c r="U629" i="1" s="1"/>
  <c r="L627" i="1"/>
  <c r="L630" i="1" s="1"/>
  <c r="AA618" i="1" l="1"/>
  <c r="Y595" i="1"/>
  <c r="AK579" i="1"/>
  <c r="M616" i="1"/>
  <c r="V614" i="1"/>
  <c r="AB578" i="1"/>
  <c r="AN583" i="1"/>
  <c r="AB604" i="1"/>
  <c r="AM615" i="1"/>
  <c r="AN618" i="1"/>
  <c r="T603" i="1"/>
  <c r="AJ610" i="1"/>
  <c r="L606" i="1"/>
  <c r="AC603" i="1"/>
  <c r="AC601" i="1"/>
  <c r="AB600" i="1"/>
  <c r="S607" i="1"/>
  <c r="U587" i="1"/>
  <c r="N584" i="1"/>
  <c r="AL605" i="1"/>
  <c r="S618" i="1"/>
  <c r="Q596" i="1"/>
  <c r="AQ610" i="1"/>
  <c r="AE603" i="1"/>
  <c r="AL612" i="1"/>
  <c r="U604" i="1"/>
  <c r="AF591" i="1"/>
  <c r="Y618" i="1"/>
  <c r="AD612" i="1"/>
  <c r="AH609" i="1"/>
  <c r="N607" i="1"/>
  <c r="AL588" i="1"/>
  <c r="AL594" i="1"/>
  <c r="AK586" i="1"/>
  <c r="AE582" i="1"/>
  <c r="AE579" i="1"/>
  <c r="AE597" i="1"/>
  <c r="AE615" i="1"/>
  <c r="AD609" i="1"/>
  <c r="AB603" i="1"/>
  <c r="AB609" i="1"/>
  <c r="AA582" i="1"/>
  <c r="AA603" i="1"/>
  <c r="AA606" i="1"/>
  <c r="AA579" i="1"/>
  <c r="U580" i="1"/>
  <c r="U616" i="1"/>
  <c r="T600" i="1"/>
  <c r="T615" i="1"/>
  <c r="T588" i="1"/>
  <c r="T618" i="1"/>
  <c r="T606" i="1"/>
  <c r="T582" i="1"/>
  <c r="T579" i="1"/>
  <c r="T594" i="1"/>
  <c r="T597" i="1"/>
  <c r="N610" i="1"/>
  <c r="N598" i="1"/>
  <c r="N580" i="1"/>
  <c r="N613" i="1"/>
  <c r="M607" i="1"/>
  <c r="M592" i="1"/>
  <c r="M598" i="1"/>
  <c r="M595" i="1"/>
  <c r="M613" i="1"/>
  <c r="V586" i="1"/>
  <c r="AB581" i="1"/>
  <c r="P581" i="1"/>
  <c r="AB599" i="1"/>
  <c r="P593" i="1"/>
  <c r="L598" i="1"/>
  <c r="P608" i="1"/>
  <c r="AB617" i="1"/>
  <c r="AH590" i="1"/>
  <c r="AH599" i="1"/>
  <c r="M612" i="1"/>
  <c r="AG606" i="1"/>
  <c r="AN587" i="1"/>
  <c r="O589" i="1"/>
  <c r="M611" i="1"/>
  <c r="AB602" i="1"/>
  <c r="AA594" i="1"/>
  <c r="AC608" i="1"/>
  <c r="P601" i="1"/>
  <c r="AI600" i="1"/>
  <c r="AC593" i="1"/>
  <c r="P586" i="1"/>
  <c r="L619" i="1"/>
  <c r="AB608" i="1"/>
  <c r="AI618" i="1"/>
  <c r="L614" i="1"/>
  <c r="AL615" i="1"/>
  <c r="AO618" i="1"/>
  <c r="Q610" i="1"/>
  <c r="AB597" i="1"/>
  <c r="AO610" i="1"/>
  <c r="AL593" i="1"/>
  <c r="L583" i="1"/>
  <c r="X614" i="1"/>
  <c r="L601" i="1"/>
  <c r="L610" i="1"/>
  <c r="V610" i="1"/>
  <c r="M602" i="1"/>
  <c r="Q599" i="1"/>
  <c r="V601" i="1"/>
  <c r="AN578" i="1"/>
  <c r="AC617" i="1"/>
  <c r="Q601" i="1"/>
  <c r="AQ588" i="1"/>
  <c r="M599" i="1"/>
  <c r="AG582" i="1"/>
  <c r="AN605" i="1"/>
  <c r="AI615" i="1"/>
  <c r="U586" i="1"/>
  <c r="AH614" i="1"/>
  <c r="AE578" i="1"/>
  <c r="S588" i="1"/>
  <c r="AG594" i="1"/>
  <c r="V580" i="1"/>
  <c r="V616" i="1"/>
  <c r="M606" i="1"/>
  <c r="AK609" i="1"/>
  <c r="AG603" i="1"/>
  <c r="U607" i="1"/>
  <c r="AI579" i="1"/>
  <c r="AC581" i="1"/>
  <c r="Q592" i="1"/>
  <c r="AB594" i="1"/>
  <c r="AL585" i="1"/>
  <c r="AN581" i="1"/>
  <c r="AH611" i="1"/>
  <c r="O586" i="1"/>
  <c r="P598" i="1"/>
  <c r="AH582" i="1"/>
  <c r="AB590" i="1"/>
  <c r="AG591" i="1"/>
  <c r="AH602" i="1"/>
  <c r="O619" i="1"/>
  <c r="AH612" i="1"/>
  <c r="AL602" i="1"/>
  <c r="V589" i="1"/>
  <c r="AF600" i="1"/>
  <c r="M581" i="1"/>
  <c r="O607" i="1"/>
  <c r="Q581" i="1"/>
  <c r="Q605" i="1"/>
  <c r="T585" i="1"/>
  <c r="T591" i="1"/>
  <c r="AK612" i="1"/>
  <c r="Q606" i="1"/>
  <c r="S594" i="1"/>
  <c r="S615" i="1"/>
  <c r="AB582" i="1"/>
  <c r="M578" i="1"/>
  <c r="M587" i="1"/>
  <c r="M580" i="1"/>
  <c r="M601" i="1"/>
  <c r="AL591" i="1"/>
  <c r="AL618" i="1"/>
  <c r="AE585" i="1"/>
  <c r="AE618" i="1"/>
  <c r="AG600" i="1"/>
  <c r="AG618" i="1"/>
  <c r="AA588" i="1"/>
  <c r="T608" i="1"/>
  <c r="U583" i="1"/>
  <c r="U601" i="1"/>
  <c r="N586" i="1"/>
  <c r="N604" i="1"/>
  <c r="AM616" i="1"/>
  <c r="AB587" i="1"/>
  <c r="AB605" i="1"/>
  <c r="AL581" i="1"/>
  <c r="AL611" i="1"/>
  <c r="AN584" i="1"/>
  <c r="AN611" i="1"/>
  <c r="AI585" i="1"/>
  <c r="T592" i="1"/>
  <c r="L604" i="1"/>
  <c r="AH617" i="1"/>
  <c r="AH593" i="1"/>
  <c r="AC599" i="1"/>
  <c r="R593" i="1"/>
  <c r="O580" i="1"/>
  <c r="O613" i="1"/>
  <c r="P599" i="1"/>
  <c r="P592" i="1"/>
  <c r="P610" i="1"/>
  <c r="Q587" i="1"/>
  <c r="Q611" i="1"/>
  <c r="Q616" i="1"/>
  <c r="AH606" i="1"/>
  <c r="AH615" i="1"/>
  <c r="M615" i="1"/>
  <c r="M603" i="1"/>
  <c r="S600" i="1"/>
  <c r="S612" i="1"/>
  <c r="Y597" i="1"/>
  <c r="S591" i="1"/>
  <c r="AB579" i="1"/>
  <c r="AB618" i="1"/>
  <c r="M605" i="1"/>
  <c r="M593" i="1"/>
  <c r="M586" i="1"/>
  <c r="M610" i="1"/>
  <c r="AL597" i="1"/>
  <c r="AL600" i="1"/>
  <c r="AE591" i="1"/>
  <c r="AG612" i="1"/>
  <c r="S614" i="1"/>
  <c r="AA600" i="1"/>
  <c r="AJ597" i="1"/>
  <c r="U598" i="1"/>
  <c r="U610" i="1"/>
  <c r="N601" i="1"/>
  <c r="N595" i="1"/>
  <c r="X606" i="1"/>
  <c r="AB584" i="1"/>
  <c r="AB611" i="1"/>
  <c r="AL596" i="1"/>
  <c r="AL608" i="1"/>
  <c r="AN596" i="1"/>
  <c r="AN614" i="1"/>
  <c r="AI582" i="1"/>
  <c r="L593" i="1"/>
  <c r="L592" i="1"/>
  <c r="AH605" i="1"/>
  <c r="AH596" i="1"/>
  <c r="AC596" i="1"/>
  <c r="V604" i="1"/>
  <c r="V595" i="1"/>
  <c r="O592" i="1"/>
  <c r="O616" i="1"/>
  <c r="P596" i="1"/>
  <c r="P583" i="1"/>
  <c r="P613" i="1"/>
  <c r="Q593" i="1"/>
  <c r="Q614" i="1"/>
  <c r="Q586" i="1"/>
  <c r="AH579" i="1"/>
  <c r="AH618" i="1"/>
  <c r="V583" i="1"/>
  <c r="AQ607" i="1"/>
  <c r="AK592" i="1"/>
  <c r="P602" i="1"/>
  <c r="P616" i="1"/>
  <c r="P604" i="1"/>
  <c r="Q602" i="1"/>
  <c r="Q607" i="1"/>
  <c r="Q598" i="1"/>
  <c r="AH585" i="1"/>
  <c r="M609" i="1"/>
  <c r="AE590" i="1"/>
  <c r="AQ600" i="1"/>
  <c r="S585" i="1"/>
  <c r="S603" i="1"/>
  <c r="M584" i="1"/>
  <c r="O583" i="1"/>
  <c r="AQ592" i="1"/>
  <c r="T612" i="1"/>
  <c r="T609" i="1"/>
  <c r="O611" i="1"/>
  <c r="S582" i="1"/>
  <c r="S606" i="1"/>
  <c r="AB591" i="1"/>
  <c r="AB606" i="1"/>
  <c r="M590" i="1"/>
  <c r="M614" i="1"/>
  <c r="M604" i="1"/>
  <c r="AL579" i="1"/>
  <c r="AE588" i="1"/>
  <c r="AE606" i="1"/>
  <c r="AG588" i="1"/>
  <c r="AG615" i="1"/>
  <c r="AA585" i="1"/>
  <c r="AA609" i="1"/>
  <c r="AJ603" i="1"/>
  <c r="U595" i="1"/>
  <c r="U613" i="1"/>
  <c r="N592" i="1"/>
  <c r="N616" i="1"/>
  <c r="AO612" i="1"/>
  <c r="AB596" i="1"/>
  <c r="AB614" i="1"/>
  <c r="AL587" i="1"/>
  <c r="W611" i="1"/>
  <c r="AN593" i="1"/>
  <c r="AI597" i="1"/>
  <c r="AI603" i="1"/>
  <c r="L589" i="1"/>
  <c r="L616" i="1"/>
  <c r="AH578" i="1"/>
  <c r="AC590" i="1"/>
  <c r="AC605" i="1"/>
  <c r="V592" i="1"/>
  <c r="V607" i="1"/>
  <c r="O598" i="1"/>
  <c r="P587" i="1"/>
  <c r="P617" i="1"/>
  <c r="P580" i="1"/>
  <c r="AG614" i="1"/>
  <c r="Q584" i="1"/>
  <c r="Q583" i="1"/>
  <c r="Q604" i="1"/>
  <c r="AH588" i="1"/>
  <c r="M594" i="1"/>
  <c r="AE587" i="1"/>
  <c r="L602" i="1"/>
  <c r="AL617" i="1"/>
  <c r="W597" i="1"/>
  <c r="S579" i="1"/>
  <c r="S609" i="1"/>
  <c r="AB588" i="1"/>
  <c r="AB612" i="1"/>
  <c r="M596" i="1"/>
  <c r="M617" i="1"/>
  <c r="M583" i="1"/>
  <c r="AL609" i="1"/>
  <c r="AL603" i="1"/>
  <c r="AE594" i="1"/>
  <c r="AE609" i="1"/>
  <c r="AG579" i="1"/>
  <c r="AG597" i="1"/>
  <c r="AA591" i="1"/>
  <c r="AA612" i="1"/>
  <c r="AJ612" i="1"/>
  <c r="U592" i="1"/>
  <c r="U619" i="1"/>
  <c r="N589" i="1"/>
  <c r="N619" i="1"/>
  <c r="S587" i="1"/>
  <c r="AB593" i="1"/>
  <c r="V615" i="1"/>
  <c r="AL599" i="1"/>
  <c r="Y593" i="1"/>
  <c r="AN599" i="1"/>
  <c r="AI594" i="1"/>
  <c r="AI606" i="1"/>
  <c r="L586" i="1"/>
  <c r="L607" i="1"/>
  <c r="AH581" i="1"/>
  <c r="AC578" i="1"/>
  <c r="AC602" i="1"/>
  <c r="V598" i="1"/>
  <c r="V619" i="1"/>
  <c r="O604" i="1"/>
  <c r="P578" i="1"/>
  <c r="P614" i="1"/>
  <c r="P589" i="1"/>
  <c r="Q578" i="1"/>
  <c r="Q590" i="1"/>
  <c r="Q589" i="1"/>
  <c r="Q619" i="1"/>
  <c r="AH591" i="1"/>
  <c r="M600" i="1"/>
  <c r="AE608" i="1"/>
  <c r="M608" i="1"/>
  <c r="AL590" i="1"/>
  <c r="S597" i="1"/>
  <c r="AB585" i="1"/>
  <c r="AB615" i="1"/>
  <c r="M619" i="1"/>
  <c r="M589" i="1"/>
  <c r="AL582" i="1"/>
  <c r="AL606" i="1"/>
  <c r="AE600" i="1"/>
  <c r="AE612" i="1"/>
  <c r="AG585" i="1"/>
  <c r="AG609" i="1"/>
  <c r="AA597" i="1"/>
  <c r="AA615" i="1"/>
  <c r="AJ588" i="1"/>
  <c r="U589" i="1"/>
  <c r="N611" i="1"/>
  <c r="N583" i="1"/>
  <c r="AM608" i="1"/>
  <c r="S608" i="1"/>
  <c r="AL578" i="1"/>
  <c r="AL614" i="1"/>
  <c r="AN617" i="1"/>
  <c r="AN602" i="1"/>
  <c r="AI591" i="1"/>
  <c r="AI612" i="1"/>
  <c r="L580" i="1"/>
  <c r="L613" i="1"/>
  <c r="AH584" i="1"/>
  <c r="AC584" i="1"/>
  <c r="AC614" i="1"/>
  <c r="V613" i="1"/>
  <c r="AP587" i="1"/>
  <c r="O601" i="1"/>
  <c r="P584" i="1"/>
  <c r="P611" i="1"/>
  <c r="P607" i="1"/>
  <c r="Q608" i="1"/>
  <c r="Q595" i="1"/>
  <c r="AI614" i="1"/>
  <c r="AH594" i="1"/>
  <c r="M579" i="1"/>
  <c r="AE611" i="1"/>
  <c r="AL584" i="1"/>
  <c r="AF615" i="1"/>
  <c r="Y612" i="1"/>
  <c r="N591" i="1"/>
  <c r="AD606" i="1"/>
  <c r="W618" i="1"/>
  <c r="AK582" i="1"/>
  <c r="AK618" i="1"/>
  <c r="AD594" i="1"/>
  <c r="W600" i="1"/>
  <c r="Y609" i="1"/>
  <c r="AF582" i="1"/>
  <c r="AF612" i="1"/>
  <c r="AJ591" i="1"/>
  <c r="N596" i="1"/>
  <c r="AM597" i="1"/>
  <c r="S581" i="1"/>
  <c r="S611" i="1"/>
  <c r="L587" i="1"/>
  <c r="AQ582" i="1"/>
  <c r="X595" i="1"/>
  <c r="AQ598" i="1"/>
  <c r="AQ589" i="1"/>
  <c r="AQ613" i="1"/>
  <c r="AK594" i="1"/>
  <c r="AD591" i="1"/>
  <c r="W594" i="1"/>
  <c r="W603" i="1"/>
  <c r="Y603" i="1"/>
  <c r="AF588" i="1"/>
  <c r="AF609" i="1"/>
  <c r="AJ609" i="1"/>
  <c r="N599" i="1"/>
  <c r="S593" i="1"/>
  <c r="S617" i="1"/>
  <c r="L578" i="1"/>
  <c r="AE593" i="1"/>
  <c r="AQ594" i="1"/>
  <c r="AD614" i="1"/>
  <c r="AA596" i="1"/>
  <c r="O609" i="1"/>
  <c r="AQ619" i="1"/>
  <c r="AQ586" i="1"/>
  <c r="AQ616" i="1"/>
  <c r="AK591" i="1"/>
  <c r="AD600" i="1"/>
  <c r="AD588" i="1"/>
  <c r="W579" i="1"/>
  <c r="W606" i="1"/>
  <c r="Y582" i="1"/>
  <c r="Y606" i="1"/>
  <c r="AF585" i="1"/>
  <c r="AF606" i="1"/>
  <c r="AJ582" i="1"/>
  <c r="N593" i="1"/>
  <c r="S599" i="1"/>
  <c r="L584" i="1"/>
  <c r="AP614" i="1"/>
  <c r="AD611" i="1"/>
  <c r="AG619" i="1"/>
  <c r="AK588" i="1"/>
  <c r="AD582" i="1"/>
  <c r="AD618" i="1"/>
  <c r="W591" i="1"/>
  <c r="W609" i="1"/>
  <c r="Y594" i="1"/>
  <c r="Y579" i="1"/>
  <c r="AF603" i="1"/>
  <c r="AF618" i="1"/>
  <c r="N587" i="1"/>
  <c r="S596" i="1"/>
  <c r="L605" i="1"/>
  <c r="AP596" i="1"/>
  <c r="AA616" i="1"/>
  <c r="AQ601" i="1"/>
  <c r="AK597" i="1"/>
  <c r="AK603" i="1"/>
  <c r="AD585" i="1"/>
  <c r="AD597" i="1"/>
  <c r="W588" i="1"/>
  <c r="W612" i="1"/>
  <c r="Y591" i="1"/>
  <c r="Y600" i="1"/>
  <c r="AF579" i="1"/>
  <c r="N602" i="1"/>
  <c r="AO579" i="1"/>
  <c r="S578" i="1"/>
  <c r="L611" i="1"/>
  <c r="L599" i="1"/>
  <c r="AH600" i="1"/>
  <c r="M618" i="1"/>
  <c r="AE602" i="1"/>
  <c r="AE614" i="1"/>
  <c r="AQ597" i="1"/>
  <c r="AK614" i="1"/>
  <c r="AQ583" i="1"/>
  <c r="AQ604" i="1"/>
  <c r="AK615" i="1"/>
  <c r="AK585" i="1"/>
  <c r="AD579" i="1"/>
  <c r="AD615" i="1"/>
  <c r="W585" i="1"/>
  <c r="W615" i="1"/>
  <c r="Y588" i="1"/>
  <c r="Y615" i="1"/>
  <c r="AF594" i="1"/>
  <c r="U593" i="1"/>
  <c r="N608" i="1"/>
  <c r="S602" i="1"/>
  <c r="L581" i="1"/>
  <c r="L608" i="1"/>
  <c r="AQ618" i="1"/>
  <c r="AK584" i="1"/>
  <c r="AE607" i="1"/>
  <c r="U597" i="1"/>
  <c r="AQ580" i="1"/>
  <c r="AQ595" i="1"/>
  <c r="AK606" i="1"/>
  <c r="AK600" i="1"/>
  <c r="AD603" i="1"/>
  <c r="W582" i="1"/>
  <c r="Y585" i="1"/>
  <c r="AF597" i="1"/>
  <c r="AJ606" i="1"/>
  <c r="U611" i="1"/>
  <c r="N581" i="1"/>
  <c r="N617" i="1"/>
  <c r="S590" i="1"/>
  <c r="S605" i="1"/>
  <c r="L596" i="1"/>
  <c r="L617" i="1"/>
  <c r="M585" i="1"/>
  <c r="AE584" i="1"/>
  <c r="AQ596" i="1"/>
  <c r="AQ615" i="1"/>
  <c r="U596" i="1"/>
  <c r="U608" i="1"/>
  <c r="AM585" i="1"/>
  <c r="AM618" i="1"/>
  <c r="AN579" i="1"/>
  <c r="AO600" i="1"/>
  <c r="AM578" i="1"/>
  <c r="AM611" i="1"/>
  <c r="AM586" i="1"/>
  <c r="AM619" i="1"/>
  <c r="AC595" i="1"/>
  <c r="AC607" i="1"/>
  <c r="V611" i="1"/>
  <c r="V581" i="1"/>
  <c r="O593" i="1"/>
  <c r="O614" i="1"/>
  <c r="AP608" i="1"/>
  <c r="AP590" i="1"/>
  <c r="AG590" i="1"/>
  <c r="AG599" i="1"/>
  <c r="AO589" i="1"/>
  <c r="AO619" i="1"/>
  <c r="T596" i="1"/>
  <c r="T611" i="1"/>
  <c r="T589" i="1"/>
  <c r="AM309" i="1"/>
  <c r="AE309" i="1"/>
  <c r="W309" i="1"/>
  <c r="O309" i="1"/>
  <c r="AM308" i="1"/>
  <c r="AE308" i="1"/>
  <c r="W308" i="1"/>
  <c r="O308" i="1"/>
  <c r="AM307" i="1"/>
  <c r="AE307" i="1"/>
  <c r="W307" i="1"/>
  <c r="O307" i="1"/>
  <c r="AM306" i="1"/>
  <c r="AE306" i="1"/>
  <c r="W306" i="1"/>
  <c r="O306" i="1"/>
  <c r="AM305" i="1"/>
  <c r="AE305" i="1"/>
  <c r="W305" i="1"/>
  <c r="O305" i="1"/>
  <c r="AM304" i="1"/>
  <c r="AE304" i="1"/>
  <c r="W304" i="1"/>
  <c r="O304" i="1"/>
  <c r="AM303" i="1"/>
  <c r="AE303" i="1"/>
  <c r="W303" i="1"/>
  <c r="O303" i="1"/>
  <c r="AM302" i="1"/>
  <c r="AE302" i="1"/>
  <c r="W302" i="1"/>
  <c r="O302" i="1"/>
  <c r="AM301" i="1"/>
  <c r="AE301" i="1"/>
  <c r="W301" i="1"/>
  <c r="O301" i="1"/>
  <c r="AM300" i="1"/>
  <c r="AE300" i="1"/>
  <c r="W300" i="1"/>
  <c r="O300" i="1"/>
  <c r="AM299" i="1"/>
  <c r="AE299" i="1"/>
  <c r="W299" i="1"/>
  <c r="O299" i="1"/>
  <c r="AM298" i="1"/>
  <c r="AE298" i="1"/>
  <c r="W298" i="1"/>
  <c r="O298" i="1"/>
  <c r="AM297" i="1"/>
  <c r="AE297" i="1"/>
  <c r="W297" i="1"/>
  <c r="O297" i="1"/>
  <c r="AM296" i="1"/>
  <c r="AE296" i="1"/>
  <c r="W296" i="1"/>
  <c r="O296" i="1"/>
  <c r="AM295" i="1"/>
  <c r="AE295" i="1"/>
  <c r="W295" i="1"/>
  <c r="O295" i="1"/>
  <c r="AM294" i="1"/>
  <c r="AE294" i="1"/>
  <c r="W294" i="1"/>
  <c r="AO309" i="1"/>
  <c r="AN309" i="1"/>
  <c r="AD309" i="1"/>
  <c r="U309" i="1"/>
  <c r="L309" i="1"/>
  <c r="AI308" i="1"/>
  <c r="AL309" i="1"/>
  <c r="AC309" i="1"/>
  <c r="T309" i="1"/>
  <c r="AQ308" i="1"/>
  <c r="Y308" i="1"/>
  <c r="P308" i="1"/>
  <c r="AL307" i="1"/>
  <c r="AC307" i="1"/>
  <c r="T307" i="1"/>
  <c r="AQ306" i="1"/>
  <c r="Y306" i="1"/>
  <c r="P306" i="1"/>
  <c r="AL305" i="1"/>
  <c r="AC305" i="1"/>
  <c r="T305" i="1"/>
  <c r="AQ304" i="1"/>
  <c r="Y304" i="1"/>
  <c r="P304" i="1"/>
  <c r="AL303" i="1"/>
  <c r="AC303" i="1"/>
  <c r="T303" i="1"/>
  <c r="AQ302" i="1"/>
  <c r="Y302" i="1"/>
  <c r="P302" i="1"/>
  <c r="AL301" i="1"/>
  <c r="AC301" i="1"/>
  <c r="T301" i="1"/>
  <c r="AQ300" i="1"/>
  <c r="Y300" i="1"/>
  <c r="P300" i="1"/>
  <c r="AL299" i="1"/>
  <c r="AC299" i="1"/>
  <c r="T299" i="1"/>
  <c r="AQ298" i="1"/>
  <c r="Y298" i="1"/>
  <c r="P298" i="1"/>
  <c r="AL297" i="1"/>
  <c r="AC297" i="1"/>
  <c r="T297" i="1"/>
  <c r="AQ296" i="1"/>
  <c r="Y296" i="1"/>
  <c r="P296" i="1"/>
  <c r="AL295" i="1"/>
  <c r="AC295" i="1"/>
  <c r="T295" i="1"/>
  <c r="AQ294" i="1"/>
  <c r="Y294" i="1"/>
  <c r="P294" i="1"/>
  <c r="AN293" i="1"/>
  <c r="AF293" i="1"/>
  <c r="X293" i="1"/>
  <c r="P293" i="1"/>
  <c r="AN292" i="1"/>
  <c r="AF292" i="1"/>
  <c r="X292" i="1"/>
  <c r="P292" i="1"/>
  <c r="AN291" i="1"/>
  <c r="AF291" i="1"/>
  <c r="X291" i="1"/>
  <c r="P291" i="1"/>
  <c r="AN290" i="1"/>
  <c r="AF290" i="1"/>
  <c r="X290" i="1"/>
  <c r="P290" i="1"/>
  <c r="AN289" i="1"/>
  <c r="AF289" i="1"/>
  <c r="X289" i="1"/>
  <c r="P289" i="1"/>
  <c r="AN288" i="1"/>
  <c r="AF288" i="1"/>
  <c r="X288" i="1"/>
  <c r="P288" i="1"/>
  <c r="AN287" i="1"/>
  <c r="AF287" i="1"/>
  <c r="X287" i="1"/>
  <c r="P287" i="1"/>
  <c r="AN286" i="1"/>
  <c r="AF286" i="1"/>
  <c r="X286" i="1"/>
  <c r="P286" i="1"/>
  <c r="AN285" i="1"/>
  <c r="AF285" i="1"/>
  <c r="X285" i="1"/>
  <c r="P285" i="1"/>
  <c r="AN284" i="1"/>
  <c r="AF284" i="1"/>
  <c r="X284" i="1"/>
  <c r="P284" i="1"/>
  <c r="AN283" i="1"/>
  <c r="AF283" i="1"/>
  <c r="X283" i="1"/>
  <c r="P283" i="1"/>
  <c r="AN282" i="1"/>
  <c r="AF282" i="1"/>
  <c r="X282" i="1"/>
  <c r="P282" i="1"/>
  <c r="AN281" i="1"/>
  <c r="AF281" i="1"/>
  <c r="X281" i="1"/>
  <c r="P281" i="1"/>
  <c r="AN280" i="1"/>
  <c r="AF280" i="1"/>
  <c r="X280" i="1"/>
  <c r="P280" i="1"/>
  <c r="AN279" i="1"/>
  <c r="AF279" i="1"/>
  <c r="X279" i="1"/>
  <c r="P279" i="1"/>
  <c r="AN278" i="1"/>
  <c r="AF278" i="1"/>
  <c r="X278" i="1"/>
  <c r="P278" i="1"/>
  <c r="AN277" i="1"/>
  <c r="AF277" i="1"/>
  <c r="X277" i="1"/>
  <c r="P277" i="1"/>
  <c r="AN276" i="1"/>
  <c r="AF276" i="1"/>
  <c r="X276" i="1"/>
  <c r="P276" i="1"/>
  <c r="AN275" i="1"/>
  <c r="AF275" i="1"/>
  <c r="X275" i="1"/>
  <c r="P275" i="1"/>
  <c r="AK309" i="1"/>
  <c r="AB309" i="1"/>
  <c r="S309" i="1"/>
  <c r="AG308" i="1"/>
  <c r="X308" i="1"/>
  <c r="N308" i="1"/>
  <c r="AK307" i="1"/>
  <c r="AB307" i="1"/>
  <c r="S307" i="1"/>
  <c r="AG306" i="1"/>
  <c r="X306" i="1"/>
  <c r="N306" i="1"/>
  <c r="AK305" i="1"/>
  <c r="AB305" i="1"/>
  <c r="S305" i="1"/>
  <c r="AG304" i="1"/>
  <c r="X304" i="1"/>
  <c r="N304" i="1"/>
  <c r="AK303" i="1"/>
  <c r="AB303" i="1"/>
  <c r="S303" i="1"/>
  <c r="AG302" i="1"/>
  <c r="X302" i="1"/>
  <c r="N302" i="1"/>
  <c r="AK301" i="1"/>
  <c r="AB301" i="1"/>
  <c r="S301" i="1"/>
  <c r="AG300" i="1"/>
  <c r="AJ309" i="1"/>
  <c r="AA309" i="1"/>
  <c r="AO308" i="1"/>
  <c r="AF308" i="1"/>
  <c r="AI309" i="1"/>
  <c r="Q309" i="1"/>
  <c r="AN308" i="1"/>
  <c r="AD308" i="1"/>
  <c r="U308" i="1"/>
  <c r="L308" i="1"/>
  <c r="AI307" i="1"/>
  <c r="Q307" i="1"/>
  <c r="AN306" i="1"/>
  <c r="AD306" i="1"/>
  <c r="U306" i="1"/>
  <c r="L306" i="1"/>
  <c r="AI305" i="1"/>
  <c r="Q305" i="1"/>
  <c r="AN304" i="1"/>
  <c r="AD304" i="1"/>
  <c r="U304" i="1"/>
  <c r="L304" i="1"/>
  <c r="AI303" i="1"/>
  <c r="Q303" i="1"/>
  <c r="AN302" i="1"/>
  <c r="AD302" i="1"/>
  <c r="U302" i="1"/>
  <c r="L302" i="1"/>
  <c r="AI301" i="1"/>
  <c r="Q301" i="1"/>
  <c r="AN300" i="1"/>
  <c r="AQ309" i="1"/>
  <c r="Y309" i="1"/>
  <c r="P309" i="1"/>
  <c r="AL308" i="1"/>
  <c r="AC308" i="1"/>
  <c r="T308" i="1"/>
  <c r="AQ307" i="1"/>
  <c r="Y307" i="1"/>
  <c r="P307" i="1"/>
  <c r="AL306" i="1"/>
  <c r="AC306" i="1"/>
  <c r="T306" i="1"/>
  <c r="AQ305" i="1"/>
  <c r="Y305" i="1"/>
  <c r="P305" i="1"/>
  <c r="AL304" i="1"/>
  <c r="AC304" i="1"/>
  <c r="T304" i="1"/>
  <c r="AQ303" i="1"/>
  <c r="Y303" i="1"/>
  <c r="P303" i="1"/>
  <c r="AL302" i="1"/>
  <c r="AC302" i="1"/>
  <c r="T302" i="1"/>
  <c r="AQ301" i="1"/>
  <c r="Y301" i="1"/>
  <c r="P301" i="1"/>
  <c r="AL300" i="1"/>
  <c r="AC300" i="1"/>
  <c r="T300" i="1"/>
  <c r="AQ299" i="1"/>
  <c r="Y299" i="1"/>
  <c r="P299" i="1"/>
  <c r="AL298" i="1"/>
  <c r="AC298" i="1"/>
  <c r="T298" i="1"/>
  <c r="AQ297" i="1"/>
  <c r="Y297" i="1"/>
  <c r="P297" i="1"/>
  <c r="AL296" i="1"/>
  <c r="AC296" i="1"/>
  <c r="T296" i="1"/>
  <c r="AQ295" i="1"/>
  <c r="Y295" i="1"/>
  <c r="P295" i="1"/>
  <c r="AL294" i="1"/>
  <c r="AC294" i="1"/>
  <c r="T294" i="1"/>
  <c r="L294" i="1"/>
  <c r="AJ293" i="1"/>
  <c r="AB293" i="1"/>
  <c r="T293" i="1"/>
  <c r="L293" i="1"/>
  <c r="AJ292" i="1"/>
  <c r="AB292" i="1"/>
  <c r="T292" i="1"/>
  <c r="L292" i="1"/>
  <c r="AJ291" i="1"/>
  <c r="AB291" i="1"/>
  <c r="T291" i="1"/>
  <c r="L291" i="1"/>
  <c r="AJ290" i="1"/>
  <c r="AB290" i="1"/>
  <c r="T290" i="1"/>
  <c r="L290" i="1"/>
  <c r="AJ289" i="1"/>
  <c r="AB289" i="1"/>
  <c r="T289" i="1"/>
  <c r="L289" i="1"/>
  <c r="AJ288" i="1"/>
  <c r="AB288" i="1"/>
  <c r="T288" i="1"/>
  <c r="L288" i="1"/>
  <c r="AJ287" i="1"/>
  <c r="AB287" i="1"/>
  <c r="T287" i="1"/>
  <c r="L287" i="1"/>
  <c r="AJ286" i="1"/>
  <c r="AB286" i="1"/>
  <c r="T286" i="1"/>
  <c r="L286" i="1"/>
  <c r="AJ285" i="1"/>
  <c r="X309" i="1"/>
  <c r="AN307" i="1"/>
  <c r="U307" i="1"/>
  <c r="AI306" i="1"/>
  <c r="Q306" i="1"/>
  <c r="AD305" i="1"/>
  <c r="L305" i="1"/>
  <c r="AN303" i="1"/>
  <c r="U303" i="1"/>
  <c r="AI302" i="1"/>
  <c r="Q302" i="1"/>
  <c r="AD301" i="1"/>
  <c r="L301" i="1"/>
  <c r="AA300" i="1"/>
  <c r="N300" i="1"/>
  <c r="AI299" i="1"/>
  <c r="V299" i="1"/>
  <c r="AD298" i="1"/>
  <c r="AK297" i="1"/>
  <c r="M297" i="1"/>
  <c r="AG296" i="1"/>
  <c r="U296" i="1"/>
  <c r="AO295" i="1"/>
  <c r="AB295" i="1"/>
  <c r="Q295" i="1"/>
  <c r="AJ294" i="1"/>
  <c r="X294" i="1"/>
  <c r="M294" i="1"/>
  <c r="W293" i="1"/>
  <c r="M293" i="1"/>
  <c r="W292" i="1"/>
  <c r="M292" i="1"/>
  <c r="W291" i="1"/>
  <c r="M291" i="1"/>
  <c r="W290" i="1"/>
  <c r="M290" i="1"/>
  <c r="W289" i="1"/>
  <c r="M289" i="1"/>
  <c r="W288" i="1"/>
  <c r="M288" i="1"/>
  <c r="W287" i="1"/>
  <c r="M287" i="1"/>
  <c r="W286" i="1"/>
  <c r="M286" i="1"/>
  <c r="Y285" i="1"/>
  <c r="O285" i="1"/>
  <c r="AL284" i="1"/>
  <c r="AC284" i="1"/>
  <c r="T284" i="1"/>
  <c r="AQ283" i="1"/>
  <c r="Y283" i="1"/>
  <c r="O283" i="1"/>
  <c r="AL282" i="1"/>
  <c r="AC282" i="1"/>
  <c r="T282" i="1"/>
  <c r="AQ281" i="1"/>
  <c r="Y281" i="1"/>
  <c r="O281" i="1"/>
  <c r="AL280" i="1"/>
  <c r="AC280" i="1"/>
  <c r="T280" i="1"/>
  <c r="AQ279" i="1"/>
  <c r="Y279" i="1"/>
  <c r="O279" i="1"/>
  <c r="AL278" i="1"/>
  <c r="AC278" i="1"/>
  <c r="T278" i="1"/>
  <c r="AQ277" i="1"/>
  <c r="Y277" i="1"/>
  <c r="O277" i="1"/>
  <c r="AL276" i="1"/>
  <c r="AC276" i="1"/>
  <c r="T276" i="1"/>
  <c r="AQ275" i="1"/>
  <c r="Y275" i="1"/>
  <c r="O275" i="1"/>
  <c r="AM274" i="1"/>
  <c r="AE274" i="1"/>
  <c r="W274" i="1"/>
  <c r="O274" i="1"/>
  <c r="AM273" i="1"/>
  <c r="AE273" i="1"/>
  <c r="W273" i="1"/>
  <c r="O273" i="1"/>
  <c r="AM272" i="1"/>
  <c r="AE272" i="1"/>
  <c r="W272" i="1"/>
  <c r="O272" i="1"/>
  <c r="AM271" i="1"/>
  <c r="AE271" i="1"/>
  <c r="W271" i="1"/>
  <c r="O271" i="1"/>
  <c r="AM270" i="1"/>
  <c r="AE270" i="1"/>
  <c r="W270" i="1"/>
  <c r="O270" i="1"/>
  <c r="AM269" i="1"/>
  <c r="AE269" i="1"/>
  <c r="W269" i="1"/>
  <c r="O269" i="1"/>
  <c r="AM268" i="1"/>
  <c r="AE268" i="1"/>
  <c r="W268" i="1"/>
  <c r="O268" i="1"/>
  <c r="AM265" i="1"/>
  <c r="AE265" i="1"/>
  <c r="W265" i="1"/>
  <c r="O265" i="1"/>
  <c r="AM264" i="1"/>
  <c r="AE264" i="1"/>
  <c r="W264" i="1"/>
  <c r="O264" i="1"/>
  <c r="AM263" i="1"/>
  <c r="AE263" i="1"/>
  <c r="W263" i="1"/>
  <c r="O263" i="1"/>
  <c r="AM262" i="1"/>
  <c r="AE262" i="1"/>
  <c r="W262" i="1"/>
  <c r="O262" i="1"/>
  <c r="N309" i="1"/>
  <c r="S308" i="1"/>
  <c r="AG307" i="1"/>
  <c r="N307" i="1"/>
  <c r="AB306" i="1"/>
  <c r="X305" i="1"/>
  <c r="AK304" i="1"/>
  <c r="S304" i="1"/>
  <c r="AG303" i="1"/>
  <c r="N303" i="1"/>
  <c r="AB302" i="1"/>
  <c r="X301" i="1"/>
  <c r="AK300" i="1"/>
  <c r="X300" i="1"/>
  <c r="L300" i="1"/>
  <c r="AF299" i="1"/>
  <c r="S299" i="1"/>
  <c r="AN298" i="1"/>
  <c r="AA298" i="1"/>
  <c r="N298" i="1"/>
  <c r="AI297" i="1"/>
  <c r="V297" i="1"/>
  <c r="AD296" i="1"/>
  <c r="AK295" i="1"/>
  <c r="M295" i="1"/>
  <c r="AG294" i="1"/>
  <c r="U294" i="1"/>
  <c r="AE293" i="1"/>
  <c r="U293" i="1"/>
  <c r="AE292" i="1"/>
  <c r="U292" i="1"/>
  <c r="AE291" i="1"/>
  <c r="U291" i="1"/>
  <c r="AE290" i="1"/>
  <c r="U290" i="1"/>
  <c r="AE289" i="1"/>
  <c r="U289" i="1"/>
  <c r="AE288" i="1"/>
  <c r="U288" i="1"/>
  <c r="AE287" i="1"/>
  <c r="U287" i="1"/>
  <c r="AE286" i="1"/>
  <c r="U286" i="1"/>
  <c r="AE285" i="1"/>
  <c r="V285" i="1"/>
  <c r="M285" i="1"/>
  <c r="AJ284" i="1"/>
  <c r="AA284" i="1"/>
  <c r="AO283" i="1"/>
  <c r="AE283" i="1"/>
  <c r="V283" i="1"/>
  <c r="M283" i="1"/>
  <c r="AJ282" i="1"/>
  <c r="AA282" i="1"/>
  <c r="AO281" i="1"/>
  <c r="AE281" i="1"/>
  <c r="V281" i="1"/>
  <c r="M281" i="1"/>
  <c r="AJ280" i="1"/>
  <c r="AA280" i="1"/>
  <c r="AO279" i="1"/>
  <c r="AE279" i="1"/>
  <c r="V279" i="1"/>
  <c r="M309" i="1"/>
  <c r="AF307" i="1"/>
  <c r="M307" i="1"/>
  <c r="AA306" i="1"/>
  <c r="AO305" i="1"/>
  <c r="V305" i="1"/>
  <c r="AJ304" i="1"/>
  <c r="AF303" i="1"/>
  <c r="M303" i="1"/>
  <c r="AA302" i="1"/>
  <c r="AO301" i="1"/>
  <c r="V301" i="1"/>
  <c r="AJ300" i="1"/>
  <c r="V300" i="1"/>
  <c r="AD299" i="1"/>
  <c r="AK298" i="1"/>
  <c r="M298" i="1"/>
  <c r="AG297" i="1"/>
  <c r="U297" i="1"/>
  <c r="AO296" i="1"/>
  <c r="AB296" i="1"/>
  <c r="Q296" i="1"/>
  <c r="AJ295" i="1"/>
  <c r="X295" i="1"/>
  <c r="L295" i="1"/>
  <c r="AF294" i="1"/>
  <c r="S294" i="1"/>
  <c r="AO293" i="1"/>
  <c r="AD293" i="1"/>
  <c r="S293" i="1"/>
  <c r="AO292" i="1"/>
  <c r="AD292" i="1"/>
  <c r="S292" i="1"/>
  <c r="AO291" i="1"/>
  <c r="AD291" i="1"/>
  <c r="S291" i="1"/>
  <c r="AO290" i="1"/>
  <c r="AD290" i="1"/>
  <c r="S290" i="1"/>
  <c r="AO289" i="1"/>
  <c r="AD289" i="1"/>
  <c r="S289" i="1"/>
  <c r="AO288" i="1"/>
  <c r="AD288" i="1"/>
  <c r="S288" i="1"/>
  <c r="AO287" i="1"/>
  <c r="AD287" i="1"/>
  <c r="S287" i="1"/>
  <c r="AO286" i="1"/>
  <c r="AD286" i="1"/>
  <c r="S286" i="1"/>
  <c r="AO285" i="1"/>
  <c r="AD285" i="1"/>
  <c r="U285" i="1"/>
  <c r="L285" i="1"/>
  <c r="AI284" i="1"/>
  <c r="Q284" i="1"/>
  <c r="AM283" i="1"/>
  <c r="AD283" i="1"/>
  <c r="U283" i="1"/>
  <c r="L283" i="1"/>
  <c r="AI282" i="1"/>
  <c r="Q282" i="1"/>
  <c r="AM281" i="1"/>
  <c r="AD281" i="1"/>
  <c r="U281" i="1"/>
  <c r="L281" i="1"/>
  <c r="AI280" i="1"/>
  <c r="Q280" i="1"/>
  <c r="AM279" i="1"/>
  <c r="AD279" i="1"/>
  <c r="U279" i="1"/>
  <c r="L279" i="1"/>
  <c r="AI278" i="1"/>
  <c r="Q278" i="1"/>
  <c r="AM277" i="1"/>
  <c r="AD277" i="1"/>
  <c r="U277" i="1"/>
  <c r="L277" i="1"/>
  <c r="AI276" i="1"/>
  <c r="Q276" i="1"/>
  <c r="AM275" i="1"/>
  <c r="AD275" i="1"/>
  <c r="U275" i="1"/>
  <c r="L275" i="1"/>
  <c r="AJ274" i="1"/>
  <c r="AB274" i="1"/>
  <c r="T274" i="1"/>
  <c r="L274" i="1"/>
  <c r="AJ273" i="1"/>
  <c r="AB273" i="1"/>
  <c r="T273" i="1"/>
  <c r="L273" i="1"/>
  <c r="AJ272" i="1"/>
  <c r="AB272" i="1"/>
  <c r="T272" i="1"/>
  <c r="L272" i="1"/>
  <c r="AJ271" i="1"/>
  <c r="AB271" i="1"/>
  <c r="T271" i="1"/>
  <c r="L271" i="1"/>
  <c r="AJ270" i="1"/>
  <c r="AB270" i="1"/>
  <c r="T270" i="1"/>
  <c r="L270" i="1"/>
  <c r="AJ269" i="1"/>
  <c r="AB269" i="1"/>
  <c r="T269" i="1"/>
  <c r="L269" i="1"/>
  <c r="AJ268" i="1"/>
  <c r="AB268" i="1"/>
  <c r="T268" i="1"/>
  <c r="L268" i="1"/>
  <c r="AJ265" i="1"/>
  <c r="AB265" i="1"/>
  <c r="T265" i="1"/>
  <c r="L265" i="1"/>
  <c r="AJ264" i="1"/>
  <c r="AB264" i="1"/>
  <c r="T264" i="1"/>
  <c r="L264" i="1"/>
  <c r="AJ263" i="1"/>
  <c r="AB263" i="1"/>
  <c r="T263" i="1"/>
  <c r="L263" i="1"/>
  <c r="AJ262" i="1"/>
  <c r="AB262" i="1"/>
  <c r="T262" i="1"/>
  <c r="L262" i="1"/>
  <c r="AB308" i="1"/>
  <c r="AA308" i="1"/>
  <c r="AP309" i="1"/>
  <c r="AG309" i="1"/>
  <c r="Q308" i="1"/>
  <c r="V307" i="1"/>
  <c r="V306" i="1"/>
  <c r="AA305" i="1"/>
  <c r="AB304" i="1"/>
  <c r="AD303" i="1"/>
  <c r="AJ302" i="1"/>
  <c r="AJ301" i="1"/>
  <c r="AO300" i="1"/>
  <c r="R300" i="1"/>
  <c r="AB299" i="1"/>
  <c r="L299" i="1"/>
  <c r="V298" i="1"/>
  <c r="AJ297" i="1"/>
  <c r="Q297" i="1"/>
  <c r="AA296" i="1"/>
  <c r="AP295" i="1"/>
  <c r="U295" i="1"/>
  <c r="AI294" i="1"/>
  <c r="O294" i="1"/>
  <c r="AC293" i="1"/>
  <c r="N293" i="1"/>
  <c r="AA292" i="1"/>
  <c r="AQ291" i="1"/>
  <c r="Z291" i="1"/>
  <c r="AM290" i="1"/>
  <c r="Y290" i="1"/>
  <c r="AL289" i="1"/>
  <c r="V289" i="1"/>
  <c r="AK288" i="1"/>
  <c r="R288" i="1"/>
  <c r="AI287" i="1"/>
  <c r="Q287" i="1"/>
  <c r="AG286" i="1"/>
  <c r="AF309" i="1"/>
  <c r="V309" i="1"/>
  <c r="AP307" i="1"/>
  <c r="L307" i="1"/>
  <c r="R306" i="1"/>
  <c r="R305" i="1"/>
  <c r="V304" i="1"/>
  <c r="X303" i="1"/>
  <c r="Z302" i="1"/>
  <c r="AF301" i="1"/>
  <c r="AF300" i="1"/>
  <c r="M300" i="1"/>
  <c r="AJ298" i="1"/>
  <c r="S298" i="1"/>
  <c r="AD297" i="1"/>
  <c r="L297" i="1"/>
  <c r="X296" i="1"/>
  <c r="AI295" i="1"/>
  <c r="AB294" i="1"/>
  <c r="AQ293" i="1"/>
  <c r="AM292" i="1"/>
  <c r="Y292" i="1"/>
  <c r="AL291" i="1"/>
  <c r="V291" i="1"/>
  <c r="AK290" i="1"/>
  <c r="AI289" i="1"/>
  <c r="Q289" i="1"/>
  <c r="AG288" i="1"/>
  <c r="O288" i="1"/>
  <c r="AC287" i="1"/>
  <c r="N287" i="1"/>
  <c r="AA286" i="1"/>
  <c r="AQ285" i="1"/>
  <c r="AA285" i="1"/>
  <c r="AQ284" i="1"/>
  <c r="AD284" i="1"/>
  <c r="N284" i="1"/>
  <c r="AG283" i="1"/>
  <c r="U282" i="1"/>
  <c r="AK281" i="1"/>
  <c r="W281" i="1"/>
  <c r="AO280" i="1"/>
  <c r="Y280" i="1"/>
  <c r="L280" i="1"/>
  <c r="AB279" i="1"/>
  <c r="N279" i="1"/>
  <c r="V278" i="1"/>
  <c r="AC277" i="1"/>
  <c r="AK276" i="1"/>
  <c r="Y276" i="1"/>
  <c r="M276" i="1"/>
  <c r="AG275" i="1"/>
  <c r="T275" i="1"/>
  <c r="AO274" i="1"/>
  <c r="AD274" i="1"/>
  <c r="S274" i="1"/>
  <c r="AO273" i="1"/>
  <c r="AD273" i="1"/>
  <c r="S273" i="1"/>
  <c r="AO272" i="1"/>
  <c r="AD272" i="1"/>
  <c r="S272" i="1"/>
  <c r="AO271" i="1"/>
  <c r="AD271" i="1"/>
  <c r="S271" i="1"/>
  <c r="AO270" i="1"/>
  <c r="AD270" i="1"/>
  <c r="S270" i="1"/>
  <c r="AO269" i="1"/>
  <c r="AD269" i="1"/>
  <c r="S269" i="1"/>
  <c r="AO268" i="1"/>
  <c r="AD268" i="1"/>
  <c r="S268" i="1"/>
  <c r="AO265" i="1"/>
  <c r="AD265" i="1"/>
  <c r="S265" i="1"/>
  <c r="AO264" i="1"/>
  <c r="AD264" i="1"/>
  <c r="S264" i="1"/>
  <c r="AO263" i="1"/>
  <c r="AD263" i="1"/>
  <c r="S263" i="1"/>
  <c r="AO262" i="1"/>
  <c r="AD262" i="1"/>
  <c r="S262" i="1"/>
  <c r="AO261" i="1"/>
  <c r="AG261" i="1"/>
  <c r="Y261" i="1"/>
  <c r="Q261" i="1"/>
  <c r="AO260" i="1"/>
  <c r="AG260" i="1"/>
  <c r="Y260" i="1"/>
  <c r="Q260" i="1"/>
  <c r="AO259" i="1"/>
  <c r="AG259" i="1"/>
  <c r="Y259" i="1"/>
  <c r="Q259" i="1"/>
  <c r="AO258" i="1"/>
  <c r="AG258" i="1"/>
  <c r="Y258" i="1"/>
  <c r="Q258" i="1"/>
  <c r="AO257" i="1"/>
  <c r="AG257" i="1"/>
  <c r="Y257" i="1"/>
  <c r="Q257" i="1"/>
  <c r="AO256" i="1"/>
  <c r="AG256" i="1"/>
  <c r="Y256" i="1"/>
  <c r="Q256" i="1"/>
  <c r="AO255" i="1"/>
  <c r="AG255" i="1"/>
  <c r="Y255" i="1"/>
  <c r="Q255" i="1"/>
  <c r="AO254" i="1"/>
  <c r="AG254" i="1"/>
  <c r="Y254" i="1"/>
  <c r="Q254" i="1"/>
  <c r="AO253" i="1"/>
  <c r="AG253" i="1"/>
  <c r="Y253" i="1"/>
  <c r="Q253" i="1"/>
  <c r="AO252" i="1"/>
  <c r="AG252" i="1"/>
  <c r="Y252" i="1"/>
  <c r="Q252" i="1"/>
  <c r="AO251" i="1"/>
  <c r="AG251" i="1"/>
  <c r="Y251" i="1"/>
  <c r="Q251" i="1"/>
  <c r="AO250" i="1"/>
  <c r="AG250" i="1"/>
  <c r="Y250" i="1"/>
  <c r="Q250" i="1"/>
  <c r="AO249" i="1"/>
  <c r="AG249" i="1"/>
  <c r="Y249" i="1"/>
  <c r="Q249" i="1"/>
  <c r="AO248" i="1"/>
  <c r="AG248" i="1"/>
  <c r="Y248" i="1"/>
  <c r="Q248" i="1"/>
  <c r="AO247" i="1"/>
  <c r="AG247" i="1"/>
  <c r="Y247" i="1"/>
  <c r="Q247" i="1"/>
  <c r="AO246" i="1"/>
  <c r="AG246" i="1"/>
  <c r="Y246" i="1"/>
  <c r="Q246" i="1"/>
  <c r="AO245" i="1"/>
  <c r="AG245" i="1"/>
  <c r="Y245" i="1"/>
  <c r="Q245" i="1"/>
  <c r="AO244" i="1"/>
  <c r="AG244" i="1"/>
  <c r="Y244" i="1"/>
  <c r="Q244" i="1"/>
  <c r="AO243" i="1"/>
  <c r="AK308" i="1"/>
  <c r="AO307" i="1"/>
  <c r="AO306" i="1"/>
  <c r="M306" i="1"/>
  <c r="N305" i="1"/>
  <c r="Q304" i="1"/>
  <c r="V303" i="1"/>
  <c r="V302" i="1"/>
  <c r="AA301" i="1"/>
  <c r="AD300" i="1"/>
  <c r="AO299" i="1"/>
  <c r="X299" i="1"/>
  <c r="AI298" i="1"/>
  <c r="Q298" i="1"/>
  <c r="AB297" i="1"/>
  <c r="AN296" i="1"/>
  <c r="V296" i="1"/>
  <c r="AG295" i="1"/>
  <c r="N295" i="1"/>
  <c r="AA294" i="1"/>
  <c r="AM293" i="1"/>
  <c r="Y293" i="1"/>
  <c r="AL292" i="1"/>
  <c r="V292" i="1"/>
  <c r="AK291" i="1"/>
  <c r="AI290" i="1"/>
  <c r="Q290" i="1"/>
  <c r="AG289" i="1"/>
  <c r="O289" i="1"/>
  <c r="AC288" i="1"/>
  <c r="N288" i="1"/>
  <c r="AA287" i="1"/>
  <c r="AQ286" i="1"/>
  <c r="AM285" i="1"/>
  <c r="AB284" i="1"/>
  <c r="M284" i="1"/>
  <c r="AC283" i="1"/>
  <c r="Q283" i="1"/>
  <c r="AG282" i="1"/>
  <c r="S282" i="1"/>
  <c r="AJ281" i="1"/>
  <c r="T281" i="1"/>
  <c r="AM280" i="1"/>
  <c r="W280" i="1"/>
  <c r="AA279" i="1"/>
  <c r="M279" i="1"/>
  <c r="AG278" i="1"/>
  <c r="U278" i="1"/>
  <c r="AO277" i="1"/>
  <c r="AB277" i="1"/>
  <c r="Q277" i="1"/>
  <c r="AJ276" i="1"/>
  <c r="W276" i="1"/>
  <c r="L276" i="1"/>
  <c r="AE275" i="1"/>
  <c r="S275" i="1"/>
  <c r="AN274" i="1"/>
  <c r="AC274" i="1"/>
  <c r="AN273" i="1"/>
  <c r="AC273" i="1"/>
  <c r="AN272" i="1"/>
  <c r="AC272" i="1"/>
  <c r="AN271" i="1"/>
  <c r="AC271" i="1"/>
  <c r="AN270" i="1"/>
  <c r="AC270" i="1"/>
  <c r="AN269" i="1"/>
  <c r="AC269" i="1"/>
  <c r="AN268" i="1"/>
  <c r="AC268" i="1"/>
  <c r="AN265" i="1"/>
  <c r="AC265" i="1"/>
  <c r="R265" i="1"/>
  <c r="AN264" i="1"/>
  <c r="AC264" i="1"/>
  <c r="R264" i="1"/>
  <c r="AN263" i="1"/>
  <c r="AC263" i="1"/>
  <c r="R263" i="1"/>
  <c r="AN262" i="1"/>
  <c r="AC262" i="1"/>
  <c r="R262" i="1"/>
  <c r="AN261" i="1"/>
  <c r="AF261" i="1"/>
  <c r="X261" i="1"/>
  <c r="P261" i="1"/>
  <c r="AN260" i="1"/>
  <c r="AF260" i="1"/>
  <c r="X260" i="1"/>
  <c r="P260" i="1"/>
  <c r="AN259" i="1"/>
  <c r="AF259" i="1"/>
  <c r="X259" i="1"/>
  <c r="P259" i="1"/>
  <c r="AN258" i="1"/>
  <c r="AF258" i="1"/>
  <c r="X258" i="1"/>
  <c r="P258" i="1"/>
  <c r="AN257" i="1"/>
  <c r="AF257" i="1"/>
  <c r="X257" i="1"/>
  <c r="P257" i="1"/>
  <c r="AN256" i="1"/>
  <c r="AF256" i="1"/>
  <c r="X256" i="1"/>
  <c r="P256" i="1"/>
  <c r="AN255" i="1"/>
  <c r="AF255" i="1"/>
  <c r="X255" i="1"/>
  <c r="P255" i="1"/>
  <c r="AN254" i="1"/>
  <c r="AF254" i="1"/>
  <c r="X254" i="1"/>
  <c r="P254" i="1"/>
  <c r="AN253" i="1"/>
  <c r="AF253" i="1"/>
  <c r="X253" i="1"/>
  <c r="P253" i="1"/>
  <c r="AN252" i="1"/>
  <c r="AF252" i="1"/>
  <c r="X252" i="1"/>
  <c r="P252" i="1"/>
  <c r="AN251" i="1"/>
  <c r="AF251" i="1"/>
  <c r="X251" i="1"/>
  <c r="P251" i="1"/>
  <c r="AN250" i="1"/>
  <c r="AF250" i="1"/>
  <c r="X250" i="1"/>
  <c r="P250" i="1"/>
  <c r="AN249" i="1"/>
  <c r="AF249" i="1"/>
  <c r="X249" i="1"/>
  <c r="P249" i="1"/>
  <c r="AN248" i="1"/>
  <c r="AF248" i="1"/>
  <c r="X248" i="1"/>
  <c r="P248" i="1"/>
  <c r="AN247" i="1"/>
  <c r="AF247" i="1"/>
  <c r="X247" i="1"/>
  <c r="P247" i="1"/>
  <c r="AN246" i="1"/>
  <c r="AF246" i="1"/>
  <c r="X246" i="1"/>
  <c r="P246" i="1"/>
  <c r="AN245" i="1"/>
  <c r="AF245" i="1"/>
  <c r="X245" i="1"/>
  <c r="AA307" i="1"/>
  <c r="AN305" i="1"/>
  <c r="AF304" i="1"/>
  <c r="L303" i="1"/>
  <c r="AG301" i="1"/>
  <c r="U300" i="1"/>
  <c r="U299" i="1"/>
  <c r="X298" i="1"/>
  <c r="X297" i="1"/>
  <c r="Z296" i="1"/>
  <c r="AA295" i="1"/>
  <c r="Z294" i="1"/>
  <c r="AG293" i="1"/>
  <c r="AI292" i="1"/>
  <c r="AM291" i="1"/>
  <c r="N291" i="1"/>
  <c r="O290" i="1"/>
  <c r="Y289" i="1"/>
  <c r="Z288" i="1"/>
  <c r="AG287" i="1"/>
  <c r="AK286" i="1"/>
  <c r="N286" i="1"/>
  <c r="T285" i="1"/>
  <c r="AH284" i="1"/>
  <c r="O284" i="1"/>
  <c r="AA283" i="1"/>
  <c r="AO282" i="1"/>
  <c r="V282" i="1"/>
  <c r="AG281" i="1"/>
  <c r="N281" i="1"/>
  <c r="AB280" i="1"/>
  <c r="AK279" i="1"/>
  <c r="S279" i="1"/>
  <c r="AJ278" i="1"/>
  <c r="R278" i="1"/>
  <c r="AI277" i="1"/>
  <c r="S277" i="1"/>
  <c r="AG276" i="1"/>
  <c r="R276" i="1"/>
  <c r="AI275" i="1"/>
  <c r="Q275" i="1"/>
  <c r="AH274" i="1"/>
  <c r="U274" i="1"/>
  <c r="AK273" i="1"/>
  <c r="X273" i="1"/>
  <c r="AP272" i="1"/>
  <c r="Z272" i="1"/>
  <c r="M272" i="1"/>
  <c r="AF271" i="1"/>
  <c r="P271" i="1"/>
  <c r="AH270" i="1"/>
  <c r="U270" i="1"/>
  <c r="AK269" i="1"/>
  <c r="X269" i="1"/>
  <c r="AP268" i="1"/>
  <c r="Z268" i="1"/>
  <c r="M268" i="1"/>
  <c r="AF265" i="1"/>
  <c r="P265" i="1"/>
  <c r="AH264" i="1"/>
  <c r="U264" i="1"/>
  <c r="AK263" i="1"/>
  <c r="X263" i="1"/>
  <c r="AP262" i="1"/>
  <c r="Z262" i="1"/>
  <c r="M262" i="1"/>
  <c r="AH261" i="1"/>
  <c r="V261" i="1"/>
  <c r="L261" i="1"/>
  <c r="AH260" i="1"/>
  <c r="V260" i="1"/>
  <c r="L260" i="1"/>
  <c r="AH259" i="1"/>
  <c r="V259" i="1"/>
  <c r="L259" i="1"/>
  <c r="AH258" i="1"/>
  <c r="V258" i="1"/>
  <c r="L258" i="1"/>
  <c r="AH257" i="1"/>
  <c r="V257" i="1"/>
  <c r="L257" i="1"/>
  <c r="AH256" i="1"/>
  <c r="V256" i="1"/>
  <c r="L256" i="1"/>
  <c r="AH255" i="1"/>
  <c r="V255" i="1"/>
  <c r="L255" i="1"/>
  <c r="AH254" i="1"/>
  <c r="V254" i="1"/>
  <c r="L254" i="1"/>
  <c r="AH253" i="1"/>
  <c r="V253" i="1"/>
  <c r="L253" i="1"/>
  <c r="AH252" i="1"/>
  <c r="V252" i="1"/>
  <c r="L252" i="1"/>
  <c r="AH251" i="1"/>
  <c r="V251" i="1"/>
  <c r="L251" i="1"/>
  <c r="AH250" i="1"/>
  <c r="V250" i="1"/>
  <c r="L250" i="1"/>
  <c r="AH249" i="1"/>
  <c r="V249" i="1"/>
  <c r="L249" i="1"/>
  <c r="AH248" i="1"/>
  <c r="V248" i="1"/>
  <c r="L248" i="1"/>
  <c r="AH247" i="1"/>
  <c r="V247" i="1"/>
  <c r="L247" i="1"/>
  <c r="AH246" i="1"/>
  <c r="V246" i="1"/>
  <c r="L246" i="1"/>
  <c r="AH245" i="1"/>
  <c r="V245" i="1"/>
  <c r="M245" i="1"/>
  <c r="AJ244" i="1"/>
  <c r="AA244" i="1"/>
  <c r="R244" i="1"/>
  <c r="AN243" i="1"/>
  <c r="AF243" i="1"/>
  <c r="X243" i="1"/>
  <c r="P243" i="1"/>
  <c r="AN242" i="1"/>
  <c r="AF242" i="1"/>
  <c r="X242" i="1"/>
  <c r="P242" i="1"/>
  <c r="AN241" i="1"/>
  <c r="AF241" i="1"/>
  <c r="X241" i="1"/>
  <c r="P241" i="1"/>
  <c r="AN240" i="1"/>
  <c r="AF240" i="1"/>
  <c r="X240" i="1"/>
  <c r="P240" i="1"/>
  <c r="AN239" i="1"/>
  <c r="AF239" i="1"/>
  <c r="X239" i="1"/>
  <c r="P239" i="1"/>
  <c r="AN238" i="1"/>
  <c r="AF238" i="1"/>
  <c r="X238" i="1"/>
  <c r="P238" i="1"/>
  <c r="AN237" i="1"/>
  <c r="AF237" i="1"/>
  <c r="X237" i="1"/>
  <c r="P237" i="1"/>
  <c r="AN236" i="1"/>
  <c r="AF236" i="1"/>
  <c r="X236" i="1"/>
  <c r="P236" i="1"/>
  <c r="AN235" i="1"/>
  <c r="AF235" i="1"/>
  <c r="X235" i="1"/>
  <c r="P235" i="1"/>
  <c r="AN234" i="1"/>
  <c r="AF234" i="1"/>
  <c r="X234" i="1"/>
  <c r="P234" i="1"/>
  <c r="AN233" i="1"/>
  <c r="AF233" i="1"/>
  <c r="X233" i="1"/>
  <c r="P233" i="1"/>
  <c r="AN232" i="1"/>
  <c r="AF232" i="1"/>
  <c r="X232" i="1"/>
  <c r="P232" i="1"/>
  <c r="AN231" i="1"/>
  <c r="R307" i="1"/>
  <c r="AG305" i="1"/>
  <c r="M304" i="1"/>
  <c r="AK302" i="1"/>
  <c r="R301" i="1"/>
  <c r="Q300" i="1"/>
  <c r="N299" i="1"/>
  <c r="L298" i="1"/>
  <c r="R297" i="1"/>
  <c r="N296" i="1"/>
  <c r="S295" i="1"/>
  <c r="R294" i="1"/>
  <c r="V293" i="1"/>
  <c r="AC292" i="1"/>
  <c r="AG291" i="1"/>
  <c r="AL290" i="1"/>
  <c r="AQ289" i="1"/>
  <c r="N289" i="1"/>
  <c r="V288" i="1"/>
  <c r="Y287" i="1"/>
  <c r="AC286" i="1"/>
  <c r="AK285" i="1"/>
  <c r="R285" i="1"/>
  <c r="AE284" i="1"/>
  <c r="AP283" i="1"/>
  <c r="W283" i="1"/>
  <c r="AK282" i="1"/>
  <c r="N282" i="1"/>
  <c r="AB281" i="1"/>
  <c r="AP280" i="1"/>
  <c r="U280" i="1"/>
  <c r="AI279" i="1"/>
  <c r="Q279" i="1"/>
  <c r="AD278" i="1"/>
  <c r="N278" i="1"/>
  <c r="AE277" i="1"/>
  <c r="M277" i="1"/>
  <c r="AD276" i="1"/>
  <c r="N276" i="1"/>
  <c r="AB275" i="1"/>
  <c r="M275" i="1"/>
  <c r="AF274" i="1"/>
  <c r="P274" i="1"/>
  <c r="AH273" i="1"/>
  <c r="U273" i="1"/>
  <c r="AK272" i="1"/>
  <c r="X272" i="1"/>
  <c r="AP271" i="1"/>
  <c r="Z271" i="1"/>
  <c r="M271" i="1"/>
  <c r="AF270" i="1"/>
  <c r="P270" i="1"/>
  <c r="AH269" i="1"/>
  <c r="U269" i="1"/>
  <c r="AK268" i="1"/>
  <c r="X268" i="1"/>
  <c r="AP265" i="1"/>
  <c r="Z265" i="1"/>
  <c r="M265" i="1"/>
  <c r="AF264" i="1"/>
  <c r="P264" i="1"/>
  <c r="AH263" i="1"/>
  <c r="U263" i="1"/>
  <c r="AK262" i="1"/>
  <c r="X262" i="1"/>
  <c r="AP261" i="1"/>
  <c r="AD261" i="1"/>
  <c r="T261" i="1"/>
  <c r="AP260" i="1"/>
  <c r="AD260" i="1"/>
  <c r="T260" i="1"/>
  <c r="AP259" i="1"/>
  <c r="AD259" i="1"/>
  <c r="T259" i="1"/>
  <c r="AP258" i="1"/>
  <c r="AD258" i="1"/>
  <c r="T258" i="1"/>
  <c r="AP257" i="1"/>
  <c r="AD257" i="1"/>
  <c r="T257" i="1"/>
  <c r="AP256" i="1"/>
  <c r="AD256" i="1"/>
  <c r="T256" i="1"/>
  <c r="AP255" i="1"/>
  <c r="AD255" i="1"/>
  <c r="T255" i="1"/>
  <c r="AP254" i="1"/>
  <c r="AD254" i="1"/>
  <c r="T254" i="1"/>
  <c r="AP253" i="1"/>
  <c r="AJ308" i="1"/>
  <c r="AK306" i="1"/>
  <c r="AF305" i="1"/>
  <c r="AP303" i="1"/>
  <c r="AF302" i="1"/>
  <c r="N301" i="1"/>
  <c r="AN299" i="1"/>
  <c r="M299" i="1"/>
  <c r="AP297" i="1"/>
  <c r="N297" i="1"/>
  <c r="M296" i="1"/>
  <c r="AP294" i="1"/>
  <c r="Q294" i="1"/>
  <c r="R293" i="1"/>
  <c r="Z292" i="1"/>
  <c r="AC291" i="1"/>
  <c r="AG290" i="1"/>
  <c r="AM289" i="1"/>
  <c r="AQ288" i="1"/>
  <c r="Q288" i="1"/>
  <c r="V287" i="1"/>
  <c r="Y286" i="1"/>
  <c r="AI285" i="1"/>
  <c r="Q285" i="1"/>
  <c r="Y284" i="1"/>
  <c r="AL283" i="1"/>
  <c r="T283" i="1"/>
  <c r="AE282" i="1"/>
  <c r="M282" i="1"/>
  <c r="AA281" i="1"/>
  <c r="AK280" i="1"/>
  <c r="S280" i="1"/>
  <c r="AG279" i="1"/>
  <c r="AQ278" i="1"/>
  <c r="AB278" i="1"/>
  <c r="M278" i="1"/>
  <c r="AA277" i="1"/>
  <c r="AQ276" i="1"/>
  <c r="AB276" i="1"/>
  <c r="AP275" i="1"/>
  <c r="AA275" i="1"/>
  <c r="AQ274" i="1"/>
  <c r="AA274" i="1"/>
  <c r="N274" i="1"/>
  <c r="AG273" i="1"/>
  <c r="Q273" i="1"/>
  <c r="AI272" i="1"/>
  <c r="V272" i="1"/>
  <c r="AL271" i="1"/>
  <c r="Y271" i="1"/>
  <c r="AQ270" i="1"/>
  <c r="AA270" i="1"/>
  <c r="N270" i="1"/>
  <c r="AG269" i="1"/>
  <c r="Q269" i="1"/>
  <c r="AI268" i="1"/>
  <c r="V268" i="1"/>
  <c r="AL265" i="1"/>
  <c r="Y265" i="1"/>
  <c r="AQ264" i="1"/>
  <c r="AA264" i="1"/>
  <c r="N264" i="1"/>
  <c r="AG263" i="1"/>
  <c r="Q263" i="1"/>
  <c r="AI262" i="1"/>
  <c r="V262" i="1"/>
  <c r="AM261" i="1"/>
  <c r="AC261" i="1"/>
  <c r="S261" i="1"/>
  <c r="AM260" i="1"/>
  <c r="AC260" i="1"/>
  <c r="S260" i="1"/>
  <c r="AM259" i="1"/>
  <c r="AC259" i="1"/>
  <c r="S259" i="1"/>
  <c r="AM258" i="1"/>
  <c r="AC258" i="1"/>
  <c r="S258" i="1"/>
  <c r="AM257" i="1"/>
  <c r="AC257" i="1"/>
  <c r="S257" i="1"/>
  <c r="AM256" i="1"/>
  <c r="AC256" i="1"/>
  <c r="S256" i="1"/>
  <c r="AM255" i="1"/>
  <c r="AC255" i="1"/>
  <c r="S255" i="1"/>
  <c r="AM254" i="1"/>
  <c r="AC254" i="1"/>
  <c r="S254" i="1"/>
  <c r="AM253" i="1"/>
  <c r="AC253" i="1"/>
  <c r="S253" i="1"/>
  <c r="AM252" i="1"/>
  <c r="AC252" i="1"/>
  <c r="S252" i="1"/>
  <c r="AM251" i="1"/>
  <c r="AC251" i="1"/>
  <c r="S251" i="1"/>
  <c r="AM250" i="1"/>
  <c r="AC250" i="1"/>
  <c r="S250" i="1"/>
  <c r="AM249" i="1"/>
  <c r="AC249" i="1"/>
  <c r="S249" i="1"/>
  <c r="AM248" i="1"/>
  <c r="AC248" i="1"/>
  <c r="S248" i="1"/>
  <c r="AM247" i="1"/>
  <c r="AC247" i="1"/>
  <c r="S247" i="1"/>
  <c r="AM246" i="1"/>
  <c r="AC246" i="1"/>
  <c r="S246" i="1"/>
  <c r="AM245" i="1"/>
  <c r="AC245" i="1"/>
  <c r="S245" i="1"/>
  <c r="AP244" i="1"/>
  <c r="AF244" i="1"/>
  <c r="W244" i="1"/>
  <c r="N244" i="1"/>
  <c r="AK243" i="1"/>
  <c r="AC243" i="1"/>
  <c r="U243" i="1"/>
  <c r="M243" i="1"/>
  <c r="AK242" i="1"/>
  <c r="AC242" i="1"/>
  <c r="U242" i="1"/>
  <c r="M242" i="1"/>
  <c r="AK241" i="1"/>
  <c r="AC241" i="1"/>
  <c r="U241" i="1"/>
  <c r="M241" i="1"/>
  <c r="AK240" i="1"/>
  <c r="AC240" i="1"/>
  <c r="U240" i="1"/>
  <c r="M240" i="1"/>
  <c r="AK239" i="1"/>
  <c r="AC239" i="1"/>
  <c r="U239" i="1"/>
  <c r="M239" i="1"/>
  <c r="AK238" i="1"/>
  <c r="AC238" i="1"/>
  <c r="U238" i="1"/>
  <c r="M238" i="1"/>
  <c r="AK237" i="1"/>
  <c r="AC237" i="1"/>
  <c r="U237" i="1"/>
  <c r="M237" i="1"/>
  <c r="AK236" i="1"/>
  <c r="AC236" i="1"/>
  <c r="U236" i="1"/>
  <c r="M236" i="1"/>
  <c r="AK235" i="1"/>
  <c r="AC235" i="1"/>
  <c r="U235" i="1"/>
  <c r="M235" i="1"/>
  <c r="AK234" i="1"/>
  <c r="AC234" i="1"/>
  <c r="U234" i="1"/>
  <c r="M234" i="1"/>
  <c r="AK233" i="1"/>
  <c r="AC233" i="1"/>
  <c r="U233" i="1"/>
  <c r="M233" i="1"/>
  <c r="AK232" i="1"/>
  <c r="AC232" i="1"/>
  <c r="U232" i="1"/>
  <c r="M232" i="1"/>
  <c r="AK231" i="1"/>
  <c r="X307" i="1"/>
  <c r="AO304" i="1"/>
  <c r="S302" i="1"/>
  <c r="Z300" i="1"/>
  <c r="AG298" i="1"/>
  <c r="S297" i="1"/>
  <c r="AF295" i="1"/>
  <c r="N294" i="1"/>
  <c r="AK292" i="1"/>
  <c r="Y291" i="1"/>
  <c r="N290" i="1"/>
  <c r="AI288" i="1"/>
  <c r="R287" i="1"/>
  <c r="O286" i="1"/>
  <c r="AO284" i="1"/>
  <c r="L284" i="1"/>
  <c r="AQ282" i="1"/>
  <c r="L282" i="1"/>
  <c r="Q281" i="1"/>
  <c r="N280" i="1"/>
  <c r="R279" i="1"/>
  <c r="W278" i="1"/>
  <c r="Z277" i="1"/>
  <c r="AH276" i="1"/>
  <c r="AL275" i="1"/>
  <c r="N275" i="1"/>
  <c r="X274" i="1"/>
  <c r="AF273" i="1"/>
  <c r="AQ272" i="1"/>
  <c r="Q272" i="1"/>
  <c r="AA271" i="1"/>
  <c r="AK270" i="1"/>
  <c r="M270" i="1"/>
  <c r="Y269" i="1"/>
  <c r="AG268" i="1"/>
  <c r="AQ265" i="1"/>
  <c r="U265" i="1"/>
  <c r="Z264" i="1"/>
  <c r="AL263" i="1"/>
  <c r="N263" i="1"/>
  <c r="Y262" i="1"/>
  <c r="AJ261" i="1"/>
  <c r="R261" i="1"/>
  <c r="AI260" i="1"/>
  <c r="O260" i="1"/>
  <c r="AE259" i="1"/>
  <c r="N259" i="1"/>
  <c r="AB258" i="1"/>
  <c r="M258" i="1"/>
  <c r="AA257" i="1"/>
  <c r="AQ256" i="1"/>
  <c r="Z256" i="1"/>
  <c r="AL255" i="1"/>
  <c r="W255" i="1"/>
  <c r="AK254" i="1"/>
  <c r="U254" i="1"/>
  <c r="AJ253" i="1"/>
  <c r="U253" i="1"/>
  <c r="AL252" i="1"/>
  <c r="Z252" i="1"/>
  <c r="AQ251" i="1"/>
  <c r="AB251" i="1"/>
  <c r="N251" i="1"/>
  <c r="AE250" i="1"/>
  <c r="R250" i="1"/>
  <c r="AJ249" i="1"/>
  <c r="U249" i="1"/>
  <c r="AL248" i="1"/>
  <c r="Z248" i="1"/>
  <c r="AQ247" i="1"/>
  <c r="AB247" i="1"/>
  <c r="N247" i="1"/>
  <c r="AE246" i="1"/>
  <c r="R246" i="1"/>
  <c r="AJ245" i="1"/>
  <c r="U245" i="1"/>
  <c r="AN244" i="1"/>
  <c r="AC244" i="1"/>
  <c r="P244" i="1"/>
  <c r="AJ243" i="1"/>
  <c r="Z243" i="1"/>
  <c r="O243" i="1"/>
  <c r="AJ242" i="1"/>
  <c r="Z242" i="1"/>
  <c r="O242" i="1"/>
  <c r="AJ241" i="1"/>
  <c r="Z241" i="1"/>
  <c r="O241" i="1"/>
  <c r="AJ240" i="1"/>
  <c r="Z240" i="1"/>
  <c r="O240" i="1"/>
  <c r="AJ239" i="1"/>
  <c r="Z239" i="1"/>
  <c r="O239" i="1"/>
  <c r="AJ238" i="1"/>
  <c r="Z238" i="1"/>
  <c r="O238" i="1"/>
  <c r="AJ237" i="1"/>
  <c r="Z237" i="1"/>
  <c r="AJ306" i="1"/>
  <c r="AI304" i="1"/>
  <c r="R302" i="1"/>
  <c r="S300" i="1"/>
  <c r="AF298" i="1"/>
  <c r="AK296" i="1"/>
  <c r="AD295" i="1"/>
  <c r="AL293" i="1"/>
  <c r="AG292" i="1"/>
  <c r="Q291" i="1"/>
  <c r="AK289" i="1"/>
  <c r="AA288" i="1"/>
  <c r="O287" i="1"/>
  <c r="AL285" i="1"/>
  <c r="AM284" i="1"/>
  <c r="AK283" i="1"/>
  <c r="AP282" i="1"/>
  <c r="AP281" i="1"/>
  <c r="AQ280" i="1"/>
  <c r="M280" i="1"/>
  <c r="AP278" i="1"/>
  <c r="S278" i="1"/>
  <c r="W277" i="1"/>
  <c r="AE276" i="1"/>
  <c r="AK275" i="1"/>
  <c r="AP274" i="1"/>
  <c r="V274" i="1"/>
  <c r="AA273" i="1"/>
  <c r="AL272" i="1"/>
  <c r="P272" i="1"/>
  <c r="X271" i="1"/>
  <c r="AI270" i="1"/>
  <c r="AQ269" i="1"/>
  <c r="V269" i="1"/>
  <c r="AF268" i="1"/>
  <c r="AK265" i="1"/>
  <c r="Q265" i="1"/>
  <c r="Y264" i="1"/>
  <c r="AI263" i="1"/>
  <c r="M263" i="1"/>
  <c r="U262" i="1"/>
  <c r="AI261" i="1"/>
  <c r="O261" i="1"/>
  <c r="AE260" i="1"/>
  <c r="N260" i="1"/>
  <c r="AB259" i="1"/>
  <c r="M259" i="1"/>
  <c r="AA258" i="1"/>
  <c r="AQ257" i="1"/>
  <c r="Z257" i="1"/>
  <c r="AL256" i="1"/>
  <c r="W256" i="1"/>
  <c r="AK255" i="1"/>
  <c r="U255" i="1"/>
  <c r="AJ254" i="1"/>
  <c r="R254" i="1"/>
  <c r="AI253" i="1"/>
  <c r="T253" i="1"/>
  <c r="AK252" i="1"/>
  <c r="W252" i="1"/>
  <c r="AP251" i="1"/>
  <c r="AA251" i="1"/>
  <c r="M251" i="1"/>
  <c r="AD250" i="1"/>
  <c r="O250" i="1"/>
  <c r="AI249" i="1"/>
  <c r="T249" i="1"/>
  <c r="AK248" i="1"/>
  <c r="W248" i="1"/>
  <c r="AP247" i="1"/>
  <c r="AA247" i="1"/>
  <c r="M247" i="1"/>
  <c r="AD246" i="1"/>
  <c r="O246" i="1"/>
  <c r="AI245" i="1"/>
  <c r="T245" i="1"/>
  <c r="AM244" i="1"/>
  <c r="AB244" i="1"/>
  <c r="O244" i="1"/>
  <c r="AI243" i="1"/>
  <c r="Y243" i="1"/>
  <c r="N243" i="1"/>
  <c r="AI242" i="1"/>
  <c r="Y242" i="1"/>
  <c r="N242" i="1"/>
  <c r="AF306" i="1"/>
  <c r="AA304" i="1"/>
  <c r="M302" i="1"/>
  <c r="AK299" i="1"/>
  <c r="AB298" i="1"/>
  <c r="AJ296" i="1"/>
  <c r="V295" i="1"/>
  <c r="AK293" i="1"/>
  <c r="R292" i="1"/>
  <c r="O291" i="1"/>
  <c r="AC289" i="1"/>
  <c r="Y288" i="1"/>
  <c r="AM286" i="1"/>
  <c r="AG285" i="1"/>
  <c r="AK284" i="1"/>
  <c r="AJ283" i="1"/>
  <c r="AM282" i="1"/>
  <c r="AL281" i="1"/>
  <c r="AH280" i="1"/>
  <c r="AL279" i="1"/>
  <c r="AO278" i="1"/>
  <c r="O278" i="1"/>
  <c r="V277" i="1"/>
  <c r="AA276" i="1"/>
  <c r="AJ275" i="1"/>
  <c r="AL274" i="1"/>
  <c r="Q274" i="1"/>
  <c r="Z273" i="1"/>
  <c r="AH272" i="1"/>
  <c r="N272" i="1"/>
  <c r="V271" i="1"/>
  <c r="AG270" i="1"/>
  <c r="AP269" i="1"/>
  <c r="P269" i="1"/>
  <c r="AA268" i="1"/>
  <c r="AI265" i="1"/>
  <c r="N265" i="1"/>
  <c r="X264" i="1"/>
  <c r="AF263" i="1"/>
  <c r="AQ262" i="1"/>
  <c r="Q262" i="1"/>
  <c r="AE261" i="1"/>
  <c r="N261" i="1"/>
  <c r="AB260" i="1"/>
  <c r="M260" i="1"/>
  <c r="AA259" i="1"/>
  <c r="AQ258" i="1"/>
  <c r="Z258" i="1"/>
  <c r="AL257" i="1"/>
  <c r="W257" i="1"/>
  <c r="AK256" i="1"/>
  <c r="U256" i="1"/>
  <c r="AJ255" i="1"/>
  <c r="R255" i="1"/>
  <c r="AI254" i="1"/>
  <c r="O254" i="1"/>
  <c r="AE253" i="1"/>
  <c r="R253" i="1"/>
  <c r="AJ252" i="1"/>
  <c r="U252" i="1"/>
  <c r="AL251" i="1"/>
  <c r="Z251" i="1"/>
  <c r="AQ250" i="1"/>
  <c r="AB250" i="1"/>
  <c r="N250" i="1"/>
  <c r="AE249" i="1"/>
  <c r="R249" i="1"/>
  <c r="AJ248" i="1"/>
  <c r="U248" i="1"/>
  <c r="AL247" i="1"/>
  <c r="Z247" i="1"/>
  <c r="AQ246" i="1"/>
  <c r="AB246" i="1"/>
  <c r="N246" i="1"/>
  <c r="AE245" i="1"/>
  <c r="R245" i="1"/>
  <c r="AL244" i="1"/>
  <c r="Z244" i="1"/>
  <c r="M244" i="1"/>
  <c r="AH243" i="1"/>
  <c r="W243" i="1"/>
  <c r="L243" i="1"/>
  <c r="AH242" i="1"/>
  <c r="W242" i="1"/>
  <c r="L242" i="1"/>
  <c r="AH241" i="1"/>
  <c r="Z306" i="1"/>
  <c r="AO303" i="1"/>
  <c r="AN301" i="1"/>
  <c r="AJ299" i="1"/>
  <c r="U298" i="1"/>
  <c r="AI296" i="1"/>
  <c r="AO294" i="1"/>
  <c r="AI293" i="1"/>
  <c r="Q292" i="1"/>
  <c r="AQ290" i="1"/>
  <c r="AA289" i="1"/>
  <c r="AQ287" i="1"/>
  <c r="AL286" i="1"/>
  <c r="AC285" i="1"/>
  <c r="AG284" i="1"/>
  <c r="AI283" i="1"/>
  <c r="AD282" i="1"/>
  <c r="AI281" i="1"/>
  <c r="AG280" i="1"/>
  <c r="AJ279" i="1"/>
  <c r="AM278" i="1"/>
  <c r="L278" i="1"/>
  <c r="T277" i="1"/>
  <c r="V276" i="1"/>
  <c r="AC275" i="1"/>
  <c r="AK274" i="1"/>
  <c r="M274" i="1"/>
  <c r="Y273" i="1"/>
  <c r="AG272" i="1"/>
  <c r="AQ271" i="1"/>
  <c r="U271" i="1"/>
  <c r="Z270" i="1"/>
  <c r="AL269" i="1"/>
  <c r="N269" i="1"/>
  <c r="Y268" i="1"/>
  <c r="AH265" i="1"/>
  <c r="AP264" i="1"/>
  <c r="V264" i="1"/>
  <c r="AA263" i="1"/>
  <c r="AL262" i="1"/>
  <c r="P262" i="1"/>
  <c r="AB261" i="1"/>
  <c r="M261" i="1"/>
  <c r="AA260" i="1"/>
  <c r="AQ259" i="1"/>
  <c r="Z259" i="1"/>
  <c r="AL258" i="1"/>
  <c r="W258" i="1"/>
  <c r="AK257" i="1"/>
  <c r="U257" i="1"/>
  <c r="AJ256" i="1"/>
  <c r="R256" i="1"/>
  <c r="AI255" i="1"/>
  <c r="O255" i="1"/>
  <c r="AE254" i="1"/>
  <c r="N254" i="1"/>
  <c r="AD253" i="1"/>
  <c r="O253" i="1"/>
  <c r="AI252" i="1"/>
  <c r="T252" i="1"/>
  <c r="AK251" i="1"/>
  <c r="W251" i="1"/>
  <c r="AP250" i="1"/>
  <c r="AA250" i="1"/>
  <c r="M250" i="1"/>
  <c r="AD249" i="1"/>
  <c r="O249" i="1"/>
  <c r="AI248" i="1"/>
  <c r="T248" i="1"/>
  <c r="AK247" i="1"/>
  <c r="W247" i="1"/>
  <c r="AP246" i="1"/>
  <c r="AA246" i="1"/>
  <c r="M246" i="1"/>
  <c r="AD245" i="1"/>
  <c r="P245" i="1"/>
  <c r="AK244" i="1"/>
  <c r="X244" i="1"/>
  <c r="L244" i="1"/>
  <c r="AG243" i="1"/>
  <c r="V243" i="1"/>
  <c r="AQ242" i="1"/>
  <c r="AG242" i="1"/>
  <c r="V242" i="1"/>
  <c r="AQ241" i="1"/>
  <c r="AG241" i="1"/>
  <c r="V241" i="1"/>
  <c r="AQ240" i="1"/>
  <c r="AG240" i="1"/>
  <c r="V240" i="1"/>
  <c r="AQ239" i="1"/>
  <c r="AG239" i="1"/>
  <c r="V239" i="1"/>
  <c r="AQ238" i="1"/>
  <c r="AG238" i="1"/>
  <c r="V238" i="1"/>
  <c r="AQ237" i="1"/>
  <c r="AG237" i="1"/>
  <c r="V237" i="1"/>
  <c r="AQ236" i="1"/>
  <c r="AG236" i="1"/>
  <c r="V236" i="1"/>
  <c r="AQ235" i="1"/>
  <c r="AG235" i="1"/>
  <c r="V235" i="1"/>
  <c r="AQ234" i="1"/>
  <c r="AG234" i="1"/>
  <c r="V234" i="1"/>
  <c r="AQ233" i="1"/>
  <c r="AG233" i="1"/>
  <c r="V233" i="1"/>
  <c r="AQ232" i="1"/>
  <c r="AG232" i="1"/>
  <c r="V232" i="1"/>
  <c r="AQ231" i="1"/>
  <c r="AG231" i="1"/>
  <c r="Y231" i="1"/>
  <c r="Q231" i="1"/>
  <c r="AO230" i="1"/>
  <c r="AG230" i="1"/>
  <c r="Y230" i="1"/>
  <c r="Q230" i="1"/>
  <c r="AO229" i="1"/>
  <c r="AG229" i="1"/>
  <c r="Y229" i="1"/>
  <c r="Q229" i="1"/>
  <c r="AO228" i="1"/>
  <c r="AG228" i="1"/>
  <c r="Y228" i="1"/>
  <c r="Q228" i="1"/>
  <c r="AO227" i="1"/>
  <c r="AG227" i="1"/>
  <c r="Y227" i="1"/>
  <c r="Q227" i="1"/>
  <c r="AO226" i="1"/>
  <c r="AG226" i="1"/>
  <c r="Y226" i="1"/>
  <c r="Q226" i="1"/>
  <c r="AO225" i="1"/>
  <c r="AG225" i="1"/>
  <c r="Y225" i="1"/>
  <c r="Q225" i="1"/>
  <c r="AO224" i="1"/>
  <c r="AG224" i="1"/>
  <c r="Y224" i="1"/>
  <c r="Q224" i="1"/>
  <c r="V308" i="1"/>
  <c r="S306" i="1"/>
  <c r="AJ303" i="1"/>
  <c r="U301" i="1"/>
  <c r="AG299" i="1"/>
  <c r="AO297" i="1"/>
  <c r="AF296" i="1"/>
  <c r="AN294" i="1"/>
  <c r="AA293" i="1"/>
  <c r="O292" i="1"/>
  <c r="AC290" i="1"/>
  <c r="Z289" i="1"/>
  <c r="AM287" i="1"/>
  <c r="AI286" i="1"/>
  <c r="AB285" i="1"/>
  <c r="W284" i="1"/>
  <c r="AB283" i="1"/>
  <c r="AB282" i="1"/>
  <c r="AC281" i="1"/>
  <c r="AE280" i="1"/>
  <c r="AC279" i="1"/>
  <c r="AK278" i="1"/>
  <c r="AL277" i="1"/>
  <c r="N277" i="1"/>
  <c r="U276" i="1"/>
  <c r="Z275" i="1"/>
  <c r="AI274" i="1"/>
  <c r="AQ273" i="1"/>
  <c r="V273" i="1"/>
  <c r="AF272" i="1"/>
  <c r="AK271" i="1"/>
  <c r="Q271" i="1"/>
  <c r="Y270" i="1"/>
  <c r="AI269" i="1"/>
  <c r="M269" i="1"/>
  <c r="U268" i="1"/>
  <c r="AG265" i="1"/>
  <c r="AL264" i="1"/>
  <c r="Q264" i="1"/>
  <c r="Z263" i="1"/>
  <c r="AH262" i="1"/>
  <c r="N262" i="1"/>
  <c r="AA261" i="1"/>
  <c r="AQ260" i="1"/>
  <c r="Z260" i="1"/>
  <c r="AL259" i="1"/>
  <c r="W259" i="1"/>
  <c r="AK258" i="1"/>
  <c r="U258" i="1"/>
  <c r="AJ257" i="1"/>
  <c r="R257" i="1"/>
  <c r="AI256" i="1"/>
  <c r="O256" i="1"/>
  <c r="AE255" i="1"/>
  <c r="N255" i="1"/>
  <c r="AB254" i="1"/>
  <c r="M254" i="1"/>
  <c r="AB253" i="1"/>
  <c r="N253" i="1"/>
  <c r="AE252" i="1"/>
  <c r="R252" i="1"/>
  <c r="AJ251" i="1"/>
  <c r="U251" i="1"/>
  <c r="AL250" i="1"/>
  <c r="Z250" i="1"/>
  <c r="AQ249" i="1"/>
  <c r="AB249" i="1"/>
  <c r="N249" i="1"/>
  <c r="AE248" i="1"/>
  <c r="R248" i="1"/>
  <c r="AJ247" i="1"/>
  <c r="U247" i="1"/>
  <c r="AL246" i="1"/>
  <c r="Z246" i="1"/>
  <c r="AQ245" i="1"/>
  <c r="AB245" i="1"/>
  <c r="O245" i="1"/>
  <c r="AI244" i="1"/>
  <c r="V244" i="1"/>
  <c r="AQ243" i="1"/>
  <c r="AE243" i="1"/>
  <c r="T243" i="1"/>
  <c r="AP242" i="1"/>
  <c r="AE242" i="1"/>
  <c r="T242" i="1"/>
  <c r="AP241" i="1"/>
  <c r="AE241" i="1"/>
  <c r="T241" i="1"/>
  <c r="AP240" i="1"/>
  <c r="AE240" i="1"/>
  <c r="T240" i="1"/>
  <c r="AP239" i="1"/>
  <c r="AE239" i="1"/>
  <c r="T239" i="1"/>
  <c r="AP238" i="1"/>
  <c r="AE238" i="1"/>
  <c r="T238" i="1"/>
  <c r="AP237" i="1"/>
  <c r="AE237" i="1"/>
  <c r="T237" i="1"/>
  <c r="M308" i="1"/>
  <c r="AJ305" i="1"/>
  <c r="AA303" i="1"/>
  <c r="M301" i="1"/>
  <c r="AA299" i="1"/>
  <c r="AN297" i="1"/>
  <c r="S296" i="1"/>
  <c r="AK294" i="1"/>
  <c r="Q293" i="1"/>
  <c r="N292" i="1"/>
  <c r="AA290" i="1"/>
  <c r="R289" i="1"/>
  <c r="AL287" i="1"/>
  <c r="V286" i="1"/>
  <c r="W285" i="1"/>
  <c r="V284" i="1"/>
  <c r="Z283" i="1"/>
  <c r="Y282" i="1"/>
  <c r="Z281" i="1"/>
  <c r="AD280" i="1"/>
  <c r="Z279" i="1"/>
  <c r="AE278" i="1"/>
  <c r="AK277" i="1"/>
  <c r="AP276" i="1"/>
  <c r="S276" i="1"/>
  <c r="W275" i="1"/>
  <c r="AG274" i="1"/>
  <c r="AP273" i="1"/>
  <c r="P273" i="1"/>
  <c r="AA272" i="1"/>
  <c r="AI271" i="1"/>
  <c r="N271" i="1"/>
  <c r="X270" i="1"/>
  <c r="AF269" i="1"/>
  <c r="AQ268" i="1"/>
  <c r="Q268" i="1"/>
  <c r="AA265" i="1"/>
  <c r="AK264" i="1"/>
  <c r="M264" i="1"/>
  <c r="Y263" i="1"/>
  <c r="AG262" i="1"/>
  <c r="AQ261" i="1"/>
  <c r="Z261" i="1"/>
  <c r="AL260" i="1"/>
  <c r="W260" i="1"/>
  <c r="AK259" i="1"/>
  <c r="U259" i="1"/>
  <c r="AJ258" i="1"/>
  <c r="R258" i="1"/>
  <c r="AI257" i="1"/>
  <c r="O257" i="1"/>
  <c r="AE256" i="1"/>
  <c r="N256" i="1"/>
  <c r="AB255" i="1"/>
  <c r="M255" i="1"/>
  <c r="AA254" i="1"/>
  <c r="AQ253" i="1"/>
  <c r="AA253" i="1"/>
  <c r="M253" i="1"/>
  <c r="AD252" i="1"/>
  <c r="O252" i="1"/>
  <c r="AI251" i="1"/>
  <c r="T251" i="1"/>
  <c r="AK250" i="1"/>
  <c r="W250" i="1"/>
  <c r="AP249" i="1"/>
  <c r="AA249" i="1"/>
  <c r="M249" i="1"/>
  <c r="AD248" i="1"/>
  <c r="O248" i="1"/>
  <c r="AI247" i="1"/>
  <c r="T247" i="1"/>
  <c r="AK246" i="1"/>
  <c r="W246" i="1"/>
  <c r="AP245" i="1"/>
  <c r="AA245" i="1"/>
  <c r="N245" i="1"/>
  <c r="AH244" i="1"/>
  <c r="U244" i="1"/>
  <c r="AP243" i="1"/>
  <c r="AD243" i="1"/>
  <c r="S243" i="1"/>
  <c r="AO242" i="1"/>
  <c r="AD242" i="1"/>
  <c r="S242" i="1"/>
  <c r="AO241" i="1"/>
  <c r="AD241" i="1"/>
  <c r="S241" i="1"/>
  <c r="AO240" i="1"/>
  <c r="AD240" i="1"/>
  <c r="S240" i="1"/>
  <c r="AO239" i="1"/>
  <c r="AD239" i="1"/>
  <c r="S239" i="1"/>
  <c r="AO238" i="1"/>
  <c r="AD238" i="1"/>
  <c r="S238" i="1"/>
  <c r="AO237" i="1"/>
  <c r="AD237" i="1"/>
  <c r="S237" i="1"/>
  <c r="AO236" i="1"/>
  <c r="AD236" i="1"/>
  <c r="S236" i="1"/>
  <c r="AO235" i="1"/>
  <c r="AD235" i="1"/>
  <c r="S235" i="1"/>
  <c r="AO234" i="1"/>
  <c r="AD234" i="1"/>
  <c r="S234" i="1"/>
  <c r="AO233" i="1"/>
  <c r="AD233" i="1"/>
  <c r="S233" i="1"/>
  <c r="AO232" i="1"/>
  <c r="AD232" i="1"/>
  <c r="S232" i="1"/>
  <c r="AO231" i="1"/>
  <c r="AE231" i="1"/>
  <c r="W231" i="1"/>
  <c r="O231" i="1"/>
  <c r="AM230" i="1"/>
  <c r="AE230" i="1"/>
  <c r="W230" i="1"/>
  <c r="O230" i="1"/>
  <c r="AM229" i="1"/>
  <c r="AE229" i="1"/>
  <c r="W229" i="1"/>
  <c r="O229" i="1"/>
  <c r="AM228" i="1"/>
  <c r="AE228" i="1"/>
  <c r="W228" i="1"/>
  <c r="O228" i="1"/>
  <c r="AM227" i="1"/>
  <c r="AE227" i="1"/>
  <c r="W227" i="1"/>
  <c r="O227" i="1"/>
  <c r="AM226" i="1"/>
  <c r="AE226" i="1"/>
  <c r="W226" i="1"/>
  <c r="O226" i="1"/>
  <c r="AM225" i="1"/>
  <c r="AE225" i="1"/>
  <c r="W225" i="1"/>
  <c r="O225" i="1"/>
  <c r="AM224" i="1"/>
  <c r="AE224" i="1"/>
  <c r="W224" i="1"/>
  <c r="O224" i="1"/>
  <c r="AJ307" i="1"/>
  <c r="U305" i="1"/>
  <c r="R303" i="1"/>
  <c r="AI300" i="1"/>
  <c r="Q299" i="1"/>
  <c r="AF297" i="1"/>
  <c r="L296" i="1"/>
  <c r="AD294" i="1"/>
  <c r="O293" i="1"/>
  <c r="AI291" i="1"/>
  <c r="Z290" i="1"/>
  <c r="AM288" i="1"/>
  <c r="AK287" i="1"/>
  <c r="R286" i="1"/>
  <c r="S285" i="1"/>
  <c r="U284" i="1"/>
  <c r="S283" i="1"/>
  <c r="W282" i="1"/>
  <c r="S281" i="1"/>
  <c r="V280" i="1"/>
  <c r="W279" i="1"/>
  <c r="AA278" i="1"/>
  <c r="AJ277" i="1"/>
  <c r="AO276" i="1"/>
  <c r="O276" i="1"/>
  <c r="V275" i="1"/>
  <c r="Z274" i="1"/>
  <c r="AL273" i="1"/>
  <c r="N273" i="1"/>
  <c r="Y272" i="1"/>
  <c r="AH271" i="1"/>
  <c r="AP270" i="1"/>
  <c r="V270" i="1"/>
  <c r="AA269" i="1"/>
  <c r="AL268" i="1"/>
  <c r="P268" i="1"/>
  <c r="X265" i="1"/>
  <c r="AI264" i="1"/>
  <c r="AQ263" i="1"/>
  <c r="V263" i="1"/>
  <c r="AF262" i="1"/>
  <c r="AL261" i="1"/>
  <c r="W261" i="1"/>
  <c r="AK260" i="1"/>
  <c r="U260" i="1"/>
  <c r="AJ259" i="1"/>
  <c r="R259" i="1"/>
  <c r="AI258" i="1"/>
  <c r="O258" i="1"/>
  <c r="AE257" i="1"/>
  <c r="N257" i="1"/>
  <c r="AB256" i="1"/>
  <c r="M256" i="1"/>
  <c r="AA255" i="1"/>
  <c r="AQ254" i="1"/>
  <c r="Z254" i="1"/>
  <c r="AL253" i="1"/>
  <c r="Z253" i="1"/>
  <c r="AQ252" i="1"/>
  <c r="AB252" i="1"/>
  <c r="N252" i="1"/>
  <c r="AE251" i="1"/>
  <c r="R251" i="1"/>
  <c r="AJ250" i="1"/>
  <c r="U250" i="1"/>
  <c r="AL249" i="1"/>
  <c r="Z249" i="1"/>
  <c r="AQ248" i="1"/>
  <c r="AB248" i="1"/>
  <c r="N248" i="1"/>
  <c r="AE247" i="1"/>
  <c r="R247" i="1"/>
  <c r="AJ246" i="1"/>
  <c r="U246" i="1"/>
  <c r="AL245" i="1"/>
  <c r="Z245" i="1"/>
  <c r="L245" i="1"/>
  <c r="AE244" i="1"/>
  <c r="T244" i="1"/>
  <c r="AM243" i="1"/>
  <c r="AB243" i="1"/>
  <c r="R243" i="1"/>
  <c r="AM242" i="1"/>
  <c r="AB242" i="1"/>
  <c r="R242" i="1"/>
  <c r="AM241" i="1"/>
  <c r="AB241" i="1"/>
  <c r="R241" i="1"/>
  <c r="AM240" i="1"/>
  <c r="AB240" i="1"/>
  <c r="R240" i="1"/>
  <c r="AM239" i="1"/>
  <c r="AB239" i="1"/>
  <c r="R239" i="1"/>
  <c r="AM238" i="1"/>
  <c r="AB238" i="1"/>
  <c r="R238" i="1"/>
  <c r="AM237" i="1"/>
  <c r="AB237" i="1"/>
  <c r="R237" i="1"/>
  <c r="AM236" i="1"/>
  <c r="AB236" i="1"/>
  <c r="R236" i="1"/>
  <c r="AM235" i="1"/>
  <c r="AB235" i="1"/>
  <c r="R235" i="1"/>
  <c r="AM234" i="1"/>
  <c r="AB234" i="1"/>
  <c r="R234" i="1"/>
  <c r="AM233" i="1"/>
  <c r="AB233" i="1"/>
  <c r="R233" i="1"/>
  <c r="AM232" i="1"/>
  <c r="AB232" i="1"/>
  <c r="R232" i="1"/>
  <c r="AM231" i="1"/>
  <c r="AD231" i="1"/>
  <c r="V231" i="1"/>
  <c r="N231" i="1"/>
  <c r="AL230" i="1"/>
  <c r="AD230" i="1"/>
  <c r="V230" i="1"/>
  <c r="N230" i="1"/>
  <c r="AL229" i="1"/>
  <c r="AD229" i="1"/>
  <c r="V229" i="1"/>
  <c r="N229" i="1"/>
  <c r="AL228" i="1"/>
  <c r="AD228" i="1"/>
  <c r="V228" i="1"/>
  <c r="N228" i="1"/>
  <c r="AL227" i="1"/>
  <c r="AD227" i="1"/>
  <c r="V227" i="1"/>
  <c r="N227" i="1"/>
  <c r="AL226" i="1"/>
  <c r="AD226" i="1"/>
  <c r="V226" i="1"/>
  <c r="N226" i="1"/>
  <c r="AL225" i="1"/>
  <c r="AD225" i="1"/>
  <c r="V225" i="1"/>
  <c r="N225" i="1"/>
  <c r="AL224" i="1"/>
  <c r="AD224" i="1"/>
  <c r="V224" i="1"/>
  <c r="N224" i="1"/>
  <c r="AA297" i="1"/>
  <c r="Q286" i="1"/>
  <c r="Y278" i="1"/>
  <c r="U272" i="1"/>
  <c r="AG264" i="1"/>
  <c r="AI259" i="1"/>
  <c r="Z255" i="1"/>
  <c r="AD251" i="1"/>
  <c r="M248" i="1"/>
  <c r="AD244" i="1"/>
  <c r="AL241" i="1"/>
  <c r="AL240" i="1"/>
  <c r="L240" i="1"/>
  <c r="N239" i="1"/>
  <c r="Q238" i="1"/>
  <c r="W237" i="1"/>
  <c r="AI236" i="1"/>
  <c r="Q236" i="1"/>
  <c r="AH235" i="1"/>
  <c r="O235" i="1"/>
  <c r="AE234" i="1"/>
  <c r="N234" i="1"/>
  <c r="AA233" i="1"/>
  <c r="L233" i="1"/>
  <c r="Z232" i="1"/>
  <c r="AP231" i="1"/>
  <c r="AA231" i="1"/>
  <c r="M231" i="1"/>
  <c r="AH230" i="1"/>
  <c r="T230" i="1"/>
  <c r="AN229" i="1"/>
  <c r="AA229" i="1"/>
  <c r="M229" i="1"/>
  <c r="AH228" i="1"/>
  <c r="T228" i="1"/>
  <c r="AN227" i="1"/>
  <c r="AA227" i="1"/>
  <c r="M227" i="1"/>
  <c r="AH226" i="1"/>
  <c r="T226" i="1"/>
  <c r="AN225" i="1"/>
  <c r="AA225" i="1"/>
  <c r="M225" i="1"/>
  <c r="AH224" i="1"/>
  <c r="T224" i="1"/>
  <c r="AN295" i="1"/>
  <c r="N285" i="1"/>
  <c r="AG277" i="1"/>
  <c r="AG271" i="1"/>
  <c r="AP263" i="1"/>
  <c r="O259" i="1"/>
  <c r="AL254" i="1"/>
  <c r="O251" i="1"/>
  <c r="AD247" i="1"/>
  <c r="S244" i="1"/>
  <c r="AI241" i="1"/>
  <c r="AI240" i="1"/>
  <c r="AL239" i="1"/>
  <c r="L239" i="1"/>
  <c r="N238" i="1"/>
  <c r="Q237" i="1"/>
  <c r="AH236" i="1"/>
  <c r="O236" i="1"/>
  <c r="AE235" i="1"/>
  <c r="N235" i="1"/>
  <c r="AA234" i="1"/>
  <c r="L234" i="1"/>
  <c r="Z233" i="1"/>
  <c r="AP232" i="1"/>
  <c r="Y232" i="1"/>
  <c r="AL231" i="1"/>
  <c r="Z231" i="1"/>
  <c r="L231" i="1"/>
  <c r="AF230" i="1"/>
  <c r="S230" i="1"/>
  <c r="AK229" i="1"/>
  <c r="Z229" i="1"/>
  <c r="L229" i="1"/>
  <c r="AF228" i="1"/>
  <c r="S228" i="1"/>
  <c r="AK227" i="1"/>
  <c r="Z227" i="1"/>
  <c r="L227" i="1"/>
  <c r="AF226" i="1"/>
  <c r="S226" i="1"/>
  <c r="AK225" i="1"/>
  <c r="Z225" i="1"/>
  <c r="L225" i="1"/>
  <c r="AF224" i="1"/>
  <c r="S224" i="1"/>
  <c r="V294" i="1"/>
  <c r="S284" i="1"/>
  <c r="AM276" i="1"/>
  <c r="AL270" i="1"/>
  <c r="P263" i="1"/>
  <c r="AE258" i="1"/>
  <c r="W254" i="1"/>
  <c r="AI250" i="1"/>
  <c r="O247" i="1"/>
  <c r="AL243" i="1"/>
  <c r="AA241" i="1"/>
  <c r="AH240" i="1"/>
  <c r="AI239" i="1"/>
  <c r="AL238" i="1"/>
  <c r="L238" i="1"/>
  <c r="O237" i="1"/>
  <c r="AE236" i="1"/>
  <c r="N236" i="1"/>
  <c r="AA235" i="1"/>
  <c r="L235" i="1"/>
  <c r="Z234" i="1"/>
  <c r="AP233" i="1"/>
  <c r="Y233" i="1"/>
  <c r="AL232" i="1"/>
  <c r="W232" i="1"/>
  <c r="AJ231" i="1"/>
  <c r="X231" i="1"/>
  <c r="AQ230" i="1"/>
  <c r="AC230" i="1"/>
  <c r="R230" i="1"/>
  <c r="AJ229" i="1"/>
  <c r="X229" i="1"/>
  <c r="AQ228" i="1"/>
  <c r="AC228" i="1"/>
  <c r="R228" i="1"/>
  <c r="AJ227" i="1"/>
  <c r="X227" i="1"/>
  <c r="AQ226" i="1"/>
  <c r="AC226" i="1"/>
  <c r="R226" i="1"/>
  <c r="AJ225" i="1"/>
  <c r="X225" i="1"/>
  <c r="AQ224" i="1"/>
  <c r="AC224" i="1"/>
  <c r="R224" i="1"/>
  <c r="Z287" i="1"/>
  <c r="M252" i="1"/>
  <c r="W238" i="1"/>
  <c r="AH234" i="1"/>
  <c r="AB231" i="1"/>
  <c r="AI228" i="1"/>
  <c r="AP225" i="1"/>
  <c r="AD307" i="1"/>
  <c r="AQ292" i="1"/>
  <c r="N283" i="1"/>
  <c r="AO275" i="1"/>
  <c r="Q270" i="1"/>
  <c r="AA262" i="1"/>
  <c r="N258" i="1"/>
  <c r="AK253" i="1"/>
  <c r="T250" i="1"/>
  <c r="AI246" i="1"/>
  <c r="AA243" i="1"/>
  <c r="Y241" i="1"/>
  <c r="AA240" i="1"/>
  <c r="AH239" i="1"/>
  <c r="AI238" i="1"/>
  <c r="AL237" i="1"/>
  <c r="N237" i="1"/>
  <c r="AA236" i="1"/>
  <c r="L236" i="1"/>
  <c r="Z235" i="1"/>
  <c r="AP234" i="1"/>
  <c r="Y234" i="1"/>
  <c r="AL233" i="1"/>
  <c r="W233" i="1"/>
  <c r="AJ232" i="1"/>
  <c r="T232" i="1"/>
  <c r="AI231" i="1"/>
  <c r="U231" i="1"/>
  <c r="AP230" i="1"/>
  <c r="AB230" i="1"/>
  <c r="P230" i="1"/>
  <c r="AI229" i="1"/>
  <c r="U229" i="1"/>
  <c r="AP228" i="1"/>
  <c r="AB228" i="1"/>
  <c r="P228" i="1"/>
  <c r="AI227" i="1"/>
  <c r="U227" i="1"/>
  <c r="AP226" i="1"/>
  <c r="AB226" i="1"/>
  <c r="P226" i="1"/>
  <c r="AI225" i="1"/>
  <c r="U225" i="1"/>
  <c r="AP224" i="1"/>
  <c r="AB224" i="1"/>
  <c r="P224" i="1"/>
  <c r="T279" i="1"/>
  <c r="AQ255" i="1"/>
  <c r="L241" i="1"/>
  <c r="Y237" i="1"/>
  <c r="Q235" i="1"/>
  <c r="AA232" i="1"/>
  <c r="U230" i="1"/>
  <c r="P229" i="1"/>
  <c r="AB227" i="1"/>
  <c r="U226" i="1"/>
  <c r="P225" i="1"/>
  <c r="M305" i="1"/>
  <c r="AA291" i="1"/>
  <c r="O282" i="1"/>
  <c r="R275" i="1"/>
  <c r="Z269" i="1"/>
  <c r="AK261" i="1"/>
  <c r="AB257" i="1"/>
  <c r="W253" i="1"/>
  <c r="AK249" i="1"/>
  <c r="T246" i="1"/>
  <c r="Q243" i="1"/>
  <c r="W241" i="1"/>
  <c r="Y240" i="1"/>
  <c r="AA239" i="1"/>
  <c r="AH238" i="1"/>
  <c r="AI237" i="1"/>
  <c r="L237" i="1"/>
  <c r="Z236" i="1"/>
  <c r="AP235" i="1"/>
  <c r="Y235" i="1"/>
  <c r="AL234" i="1"/>
  <c r="W234" i="1"/>
  <c r="AJ233" i="1"/>
  <c r="T233" i="1"/>
  <c r="AI232" i="1"/>
  <c r="Q232" i="1"/>
  <c r="AH231" i="1"/>
  <c r="T231" i="1"/>
  <c r="AN230" i="1"/>
  <c r="AA230" i="1"/>
  <c r="M230" i="1"/>
  <c r="AH229" i="1"/>
  <c r="T229" i="1"/>
  <c r="AN228" i="1"/>
  <c r="AA228" i="1"/>
  <c r="M228" i="1"/>
  <c r="AH227" i="1"/>
  <c r="T227" i="1"/>
  <c r="AN226" i="1"/>
  <c r="AA226" i="1"/>
  <c r="M226" i="1"/>
  <c r="AH225" i="1"/>
  <c r="T225" i="1"/>
  <c r="AN224" i="1"/>
  <c r="AA224" i="1"/>
  <c r="M224" i="1"/>
  <c r="V265" i="1"/>
  <c r="Q242" i="1"/>
  <c r="AJ236" i="1"/>
  <c r="N233" i="1"/>
  <c r="AP229" i="1"/>
  <c r="P227" i="1"/>
  <c r="AO302" i="1"/>
  <c r="V290" i="1"/>
  <c r="R281" i="1"/>
  <c r="Y274" i="1"/>
  <c r="AH268" i="1"/>
  <c r="U261" i="1"/>
  <c r="M257" i="1"/>
  <c r="AP252" i="1"/>
  <c r="W249" i="1"/>
  <c r="AK245" i="1"/>
  <c r="AL242" i="1"/>
  <c r="Q241" i="1"/>
  <c r="W240" i="1"/>
  <c r="Y239" i="1"/>
  <c r="AA238" i="1"/>
  <c r="AH237" i="1"/>
  <c r="AP236" i="1"/>
  <c r="Y236" i="1"/>
  <c r="AL235" i="1"/>
  <c r="W235" i="1"/>
  <c r="AJ234" i="1"/>
  <c r="T234" i="1"/>
  <c r="AI233" i="1"/>
  <c r="Q233" i="1"/>
  <c r="AH232" i="1"/>
  <c r="O232" i="1"/>
  <c r="AF231" i="1"/>
  <c r="S231" i="1"/>
  <c r="AK230" i="1"/>
  <c r="Z230" i="1"/>
  <c r="L230" i="1"/>
  <c r="AF229" i="1"/>
  <c r="S229" i="1"/>
  <c r="AK228" i="1"/>
  <c r="Z228" i="1"/>
  <c r="L228" i="1"/>
  <c r="AF227" i="1"/>
  <c r="S227" i="1"/>
  <c r="AK226" i="1"/>
  <c r="Z226" i="1"/>
  <c r="L226" i="1"/>
  <c r="AF225" i="1"/>
  <c r="S225" i="1"/>
  <c r="AK224" i="1"/>
  <c r="Z224" i="1"/>
  <c r="L224" i="1"/>
  <c r="AO298" i="1"/>
  <c r="R260" i="1"/>
  <c r="AQ244" i="1"/>
  <c r="Q239" i="1"/>
  <c r="AI235" i="1"/>
  <c r="AE233" i="1"/>
  <c r="P231" i="1"/>
  <c r="U228" i="1"/>
  <c r="AI224" i="1"/>
  <c r="AB300" i="1"/>
  <c r="AL288" i="1"/>
  <c r="O280" i="1"/>
  <c r="AI273" i="1"/>
  <c r="N268" i="1"/>
  <c r="AJ260" i="1"/>
  <c r="AA256" i="1"/>
  <c r="AA252" i="1"/>
  <c r="AP248" i="1"/>
  <c r="W245" i="1"/>
  <c r="AA242" i="1"/>
  <c r="N241" i="1"/>
  <c r="Q240" i="1"/>
  <c r="W239" i="1"/>
  <c r="Y238" i="1"/>
  <c r="AA237" i="1"/>
  <c r="AL236" i="1"/>
  <c r="W236" i="1"/>
  <c r="AJ235" i="1"/>
  <c r="T235" i="1"/>
  <c r="AI234" i="1"/>
  <c r="Q234" i="1"/>
  <c r="AH233" i="1"/>
  <c r="O233" i="1"/>
  <c r="AE232" i="1"/>
  <c r="N232" i="1"/>
  <c r="AC231" i="1"/>
  <c r="R231" i="1"/>
  <c r="AJ230" i="1"/>
  <c r="X230" i="1"/>
  <c r="AQ229" i="1"/>
  <c r="AC229" i="1"/>
  <c r="R229" i="1"/>
  <c r="AJ228" i="1"/>
  <c r="X228" i="1"/>
  <c r="AQ227" i="1"/>
  <c r="AC227" i="1"/>
  <c r="R227" i="1"/>
  <c r="AJ226" i="1"/>
  <c r="X226" i="1"/>
  <c r="AQ225" i="1"/>
  <c r="AC225" i="1"/>
  <c r="R225" i="1"/>
  <c r="AJ224" i="1"/>
  <c r="X224" i="1"/>
  <c r="M273" i="1"/>
  <c r="AA248" i="1"/>
  <c r="N240" i="1"/>
  <c r="T236" i="1"/>
  <c r="O234" i="1"/>
  <c r="L232" i="1"/>
  <c r="AI230" i="1"/>
  <c r="AB229" i="1"/>
  <c r="AP227" i="1"/>
  <c r="AI226" i="1"/>
  <c r="AB225" i="1"/>
  <c r="U224" i="1"/>
  <c r="AH279" i="1"/>
  <c r="AP296" i="1"/>
  <c r="AH305" i="1"/>
  <c r="AH289" i="1"/>
  <c r="R270" i="1"/>
  <c r="AP279" i="1"/>
  <c r="Z297" i="1"/>
  <c r="Z303" i="1"/>
  <c r="AP305" i="1"/>
  <c r="AP308" i="1"/>
  <c r="R271" i="1"/>
  <c r="AH282" i="1"/>
  <c r="R295" i="1"/>
  <c r="Z280" i="1"/>
  <c r="AP285" i="1"/>
  <c r="AP289" i="1"/>
  <c r="AP293" i="1"/>
  <c r="AH297" i="1"/>
  <c r="AH300" i="1"/>
  <c r="AH303" i="1"/>
  <c r="AH306" i="1"/>
  <c r="R309" i="1"/>
  <c r="Z285" i="1"/>
  <c r="AH291" i="1"/>
  <c r="AH301" i="1"/>
  <c r="AH307" i="1"/>
  <c r="AP298" i="1"/>
  <c r="R280" i="1"/>
  <c r="R272" i="1"/>
  <c r="R283" i="1"/>
  <c r="Z299" i="1"/>
  <c r="AH281" i="1"/>
  <c r="AH286" i="1"/>
  <c r="AH290" i="1"/>
  <c r="AH294" i="1"/>
  <c r="R298" i="1"/>
  <c r="AP300" i="1"/>
  <c r="R304" i="1"/>
  <c r="AP306" i="1"/>
  <c r="Z309" i="1"/>
  <c r="Z276" i="1"/>
  <c r="AH295" i="1"/>
  <c r="AH304" i="1"/>
  <c r="Z286" i="1"/>
  <c r="AP287" i="1"/>
  <c r="AP304" i="1"/>
  <c r="Z293" i="1"/>
  <c r="R273" i="1"/>
  <c r="AP284" i="1"/>
  <c r="AH275" i="1"/>
  <c r="R282" i="1"/>
  <c r="AP286" i="1"/>
  <c r="AP290" i="1"/>
  <c r="Z295" i="1"/>
  <c r="Z298" i="1"/>
  <c r="Z301" i="1"/>
  <c r="Z304" i="1"/>
  <c r="Z307" i="1"/>
  <c r="AH309" i="1"/>
  <c r="Z282" i="1"/>
  <c r="AH298" i="1"/>
  <c r="R277" i="1"/>
  <c r="AH277" i="1"/>
  <c r="AH283" i="1"/>
  <c r="R296" i="1"/>
  <c r="R308" i="1"/>
  <c r="AH285" i="1"/>
  <c r="R274" i="1"/>
  <c r="AH287" i="1"/>
  <c r="AP301" i="1"/>
  <c r="AH293" i="1"/>
  <c r="AP291" i="1"/>
  <c r="R268" i="1"/>
  <c r="AP277" i="1"/>
  <c r="R290" i="1"/>
  <c r="Z278" i="1"/>
  <c r="R284" i="1"/>
  <c r="AH288" i="1"/>
  <c r="AH292" i="1"/>
  <c r="AH296" i="1"/>
  <c r="R299" i="1"/>
  <c r="AH302" i="1"/>
  <c r="Z305" i="1"/>
  <c r="Z308" i="1"/>
  <c r="R269" i="1"/>
  <c r="AH278" i="1"/>
  <c r="R291" i="1"/>
  <c r="Z284" i="1"/>
  <c r="AP288" i="1"/>
  <c r="AP292" i="1"/>
  <c r="AH299" i="1"/>
  <c r="AP302" i="1"/>
  <c r="AH308" i="1"/>
  <c r="AP299" i="1"/>
  <c r="AK587" i="1"/>
  <c r="AK583" i="1"/>
  <c r="AK595" i="1"/>
  <c r="R608" i="1"/>
  <c r="R596" i="1"/>
  <c r="AD578" i="1"/>
  <c r="AD617" i="1"/>
  <c r="AD604" i="1"/>
  <c r="AD619" i="1"/>
  <c r="W593" i="1"/>
  <c r="W614" i="1"/>
  <c r="W592" i="1"/>
  <c r="R585" i="1"/>
  <c r="R615" i="1"/>
  <c r="R582" i="1"/>
  <c r="R612" i="1"/>
  <c r="R579" i="1"/>
  <c r="R600" i="1"/>
  <c r="R606" i="1"/>
  <c r="R597" i="1"/>
  <c r="R618" i="1"/>
  <c r="R594" i="1"/>
  <c r="R609" i="1"/>
  <c r="R591" i="1"/>
  <c r="R603" i="1"/>
  <c r="R588" i="1"/>
  <c r="X611" i="1"/>
  <c r="X617" i="1"/>
  <c r="X592" i="1"/>
  <c r="Y605" i="1"/>
  <c r="Y592" i="1"/>
  <c r="Y598" i="1"/>
  <c r="S598" i="1"/>
  <c r="S610" i="1"/>
  <c r="AE592" i="1"/>
  <c r="AE610" i="1"/>
  <c r="AF578" i="1"/>
  <c r="AF614" i="1"/>
  <c r="AG586" i="1"/>
  <c r="AN607" i="1"/>
  <c r="AN589" i="1"/>
  <c r="AO602" i="1"/>
  <c r="AO614" i="1"/>
  <c r="AB589" i="1"/>
  <c r="AB616" i="1"/>
  <c r="Z579" i="1"/>
  <c r="Z618" i="1"/>
  <c r="AL595" i="1"/>
  <c r="AF601" i="1"/>
  <c r="AF583" i="1"/>
  <c r="AA599" i="1"/>
  <c r="AA611" i="1"/>
  <c r="AA586" i="1"/>
  <c r="AA619" i="1"/>
  <c r="AP583" i="1"/>
  <c r="AJ611" i="1"/>
  <c r="AJ578" i="1"/>
  <c r="AJ589" i="1"/>
  <c r="AJ607" i="1"/>
  <c r="U606" i="1"/>
  <c r="U618" i="1"/>
  <c r="N606" i="1"/>
  <c r="R610" i="1"/>
  <c r="R595" i="1"/>
  <c r="AI584" i="1"/>
  <c r="AI583" i="1"/>
  <c r="AI598" i="1"/>
  <c r="L579" i="1"/>
  <c r="L609" i="1"/>
  <c r="AC579" i="1"/>
  <c r="AC609" i="1"/>
  <c r="V603" i="1"/>
  <c r="V579" i="1"/>
  <c r="O591" i="1"/>
  <c r="O612" i="1"/>
  <c r="P615" i="1"/>
  <c r="P606" i="1"/>
  <c r="Q615" i="1"/>
  <c r="Q618" i="1"/>
  <c r="AQ599" i="1"/>
  <c r="X600" i="1"/>
  <c r="U602" i="1"/>
  <c r="U614" i="1"/>
  <c r="AM582" i="1"/>
  <c r="AN585" i="1"/>
  <c r="AO585" i="1"/>
  <c r="AM596" i="1"/>
  <c r="AM614" i="1"/>
  <c r="AM583" i="1"/>
  <c r="AC580" i="1"/>
  <c r="AC598" i="1"/>
  <c r="V608" i="1"/>
  <c r="V587" i="1"/>
  <c r="O602" i="1"/>
  <c r="O617" i="1"/>
  <c r="AP617" i="1"/>
  <c r="AP593" i="1"/>
  <c r="AG587" i="1"/>
  <c r="AG605" i="1"/>
  <c r="AO586" i="1"/>
  <c r="T587" i="1"/>
  <c r="T619" i="1"/>
  <c r="T586" i="1"/>
  <c r="AK599" i="1"/>
  <c r="AK589" i="1"/>
  <c r="AK616" i="1"/>
  <c r="R602" i="1"/>
  <c r="R599" i="1"/>
  <c r="AD587" i="1"/>
  <c r="AD608" i="1"/>
  <c r="AD586" i="1"/>
  <c r="AH592" i="1"/>
  <c r="AH604" i="1"/>
  <c r="AH589" i="1"/>
  <c r="AH586" i="1"/>
  <c r="AH616" i="1"/>
  <c r="AH583" i="1"/>
  <c r="AH613" i="1"/>
  <c r="AH580" i="1"/>
  <c r="AH601" i="1"/>
  <c r="AH619" i="1"/>
  <c r="AH598" i="1"/>
  <c r="AH607" i="1"/>
  <c r="AH595" i="1"/>
  <c r="AH610" i="1"/>
  <c r="W590" i="1"/>
  <c r="W617" i="1"/>
  <c r="W589" i="1"/>
  <c r="X587" i="1"/>
  <c r="X589" i="1"/>
  <c r="X619" i="1"/>
  <c r="Y578" i="1"/>
  <c r="Y590" i="1"/>
  <c r="Y589" i="1"/>
  <c r="Y613" i="1"/>
  <c r="S601" i="1"/>
  <c r="S613" i="1"/>
  <c r="AE598" i="1"/>
  <c r="AE613" i="1"/>
  <c r="AF587" i="1"/>
  <c r="AF617" i="1"/>
  <c r="AG598" i="1"/>
  <c r="AN619" i="1"/>
  <c r="AN595" i="1"/>
  <c r="AO599" i="1"/>
  <c r="AO611" i="1"/>
  <c r="AB586" i="1"/>
  <c r="AB619" i="1"/>
  <c r="Z582" i="1"/>
  <c r="AL592" i="1"/>
  <c r="AL607" i="1"/>
  <c r="AF595" i="1"/>
  <c r="AF610" i="1"/>
  <c r="AA578" i="1"/>
  <c r="AA614" i="1"/>
  <c r="AA592" i="1"/>
  <c r="AP604" i="1"/>
  <c r="AP586" i="1"/>
  <c r="AJ605" i="1"/>
  <c r="AJ584" i="1"/>
  <c r="AJ595" i="1"/>
  <c r="AJ613" i="1"/>
  <c r="U600" i="1"/>
  <c r="N612" i="1"/>
  <c r="N609" i="1"/>
  <c r="R619" i="1"/>
  <c r="R598" i="1"/>
  <c r="AI581" i="1"/>
  <c r="AI586" i="1"/>
  <c r="AI604" i="1"/>
  <c r="L603" i="1"/>
  <c r="L597" i="1"/>
  <c r="AC594" i="1"/>
  <c r="AC606" i="1"/>
  <c r="V618" i="1"/>
  <c r="V585" i="1"/>
  <c r="O588" i="1"/>
  <c r="O615" i="1"/>
  <c r="P594" i="1"/>
  <c r="P618" i="1"/>
  <c r="Q603" i="1"/>
  <c r="AQ581" i="1"/>
  <c r="AQ602" i="1"/>
  <c r="X579" i="1"/>
  <c r="X609" i="1"/>
  <c r="AN603" i="1"/>
  <c r="AN591" i="1"/>
  <c r="AM593" i="1"/>
  <c r="AM617" i="1"/>
  <c r="AM601" i="1"/>
  <c r="AC592" i="1"/>
  <c r="AC604" i="1"/>
  <c r="V578" i="1"/>
  <c r="V593" i="1"/>
  <c r="O590" i="1"/>
  <c r="AG584" i="1"/>
  <c r="AG617" i="1"/>
  <c r="AO601" i="1"/>
  <c r="T584" i="1"/>
  <c r="T616" i="1"/>
  <c r="T583" i="1"/>
  <c r="R605" i="1"/>
  <c r="R614" i="1"/>
  <c r="AD598" i="1"/>
  <c r="W605" i="1"/>
  <c r="W580" i="1"/>
  <c r="W604" i="1"/>
  <c r="X584" i="1"/>
  <c r="X586" i="1"/>
  <c r="X610" i="1"/>
  <c r="Y581" i="1"/>
  <c r="Y587" i="1"/>
  <c r="Y586" i="1"/>
  <c r="Y610" i="1"/>
  <c r="S592" i="1"/>
  <c r="S616" i="1"/>
  <c r="AE583" i="1"/>
  <c r="AE616" i="1"/>
  <c r="AF584" i="1"/>
  <c r="AG583" i="1"/>
  <c r="AG604" i="1"/>
  <c r="AN580" i="1"/>
  <c r="AN601" i="1"/>
  <c r="AO590" i="1"/>
  <c r="AO608" i="1"/>
  <c r="AB583" i="1"/>
  <c r="AB613" i="1"/>
  <c r="Z585" i="1"/>
  <c r="AL589" i="1"/>
  <c r="AL619" i="1"/>
  <c r="AF592" i="1"/>
  <c r="AF613" i="1"/>
  <c r="AA584" i="1"/>
  <c r="AA617" i="1"/>
  <c r="AA598" i="1"/>
  <c r="AP607" i="1"/>
  <c r="AP589" i="1"/>
  <c r="AJ602" i="1"/>
  <c r="AJ590" i="1"/>
  <c r="AJ601" i="1"/>
  <c r="AJ619" i="1"/>
  <c r="U615" i="1"/>
  <c r="N582" i="1"/>
  <c r="N588" i="1"/>
  <c r="R607" i="1"/>
  <c r="R601" i="1"/>
  <c r="AI596" i="1"/>
  <c r="AI617" i="1"/>
  <c r="AI580" i="1"/>
  <c r="AI607" i="1"/>
  <c r="L600" i="1"/>
  <c r="L612" i="1"/>
  <c r="AC591" i="1"/>
  <c r="AC600" i="1"/>
  <c r="V582" i="1"/>
  <c r="V591" i="1"/>
  <c r="O585" i="1"/>
  <c r="O618" i="1"/>
  <c r="P591" i="1"/>
  <c r="Q582" i="1"/>
  <c r="AQ578" i="1"/>
  <c r="AQ605" i="1"/>
  <c r="X594" i="1"/>
  <c r="X597" i="1"/>
  <c r="AJ615" i="1"/>
  <c r="AJ594" i="1"/>
  <c r="U578" i="1"/>
  <c r="U599" i="1"/>
  <c r="N614" i="1"/>
  <c r="AM579" i="1"/>
  <c r="AM603" i="1"/>
  <c r="AN582" i="1"/>
  <c r="AN597" i="1"/>
  <c r="AO582" i="1"/>
  <c r="AO615" i="1"/>
  <c r="AM590" i="1"/>
  <c r="AM580" i="1"/>
  <c r="AM604" i="1"/>
  <c r="AC583" i="1"/>
  <c r="AC613" i="1"/>
  <c r="V584" i="1"/>
  <c r="V599" i="1"/>
  <c r="O578" i="1"/>
  <c r="M582" i="1"/>
  <c r="M591" i="1"/>
  <c r="AP602" i="1"/>
  <c r="AP599" i="1"/>
  <c r="AE596" i="1"/>
  <c r="AE617" i="1"/>
  <c r="AG602" i="1"/>
  <c r="AO598" i="1"/>
  <c r="AO616" i="1"/>
  <c r="AQ579" i="1"/>
  <c r="AQ603" i="1"/>
  <c r="T593" i="1"/>
  <c r="T614" i="1"/>
  <c r="T613" i="1"/>
  <c r="T598" i="1"/>
  <c r="AK581" i="1"/>
  <c r="AK602" i="1"/>
  <c r="AK607" i="1"/>
  <c r="AK604" i="1"/>
  <c r="R581" i="1"/>
  <c r="R617" i="1"/>
  <c r="AD584" i="1"/>
  <c r="AD595" i="1"/>
  <c r="AD580" i="1"/>
  <c r="W587" i="1"/>
  <c r="W586" i="1"/>
  <c r="W607" i="1"/>
  <c r="X581" i="1"/>
  <c r="X602" i="1"/>
  <c r="X604" i="1"/>
  <c r="X601" i="1"/>
  <c r="Y584" i="1"/>
  <c r="Y611" i="1"/>
  <c r="Y583" i="1"/>
  <c r="Y616" i="1"/>
  <c r="S589" i="1"/>
  <c r="AE589" i="1"/>
  <c r="AE619" i="1"/>
  <c r="AF599" i="1"/>
  <c r="AG580" i="1"/>
  <c r="AG616" i="1"/>
  <c r="AN586" i="1"/>
  <c r="AN604" i="1"/>
  <c r="AO587" i="1"/>
  <c r="AO617" i="1"/>
  <c r="AB598" i="1"/>
  <c r="Z609" i="1"/>
  <c r="Z588" i="1"/>
  <c r="AL586" i="1"/>
  <c r="AL613" i="1"/>
  <c r="AF616" i="1"/>
  <c r="AF607" i="1"/>
  <c r="AA590" i="1"/>
  <c r="AA583" i="1"/>
  <c r="AA604" i="1"/>
  <c r="AP610" i="1"/>
  <c r="AP592" i="1"/>
  <c r="AJ581" i="1"/>
  <c r="AJ596" i="1"/>
  <c r="AJ580" i="1"/>
  <c r="U591" i="1"/>
  <c r="U594" i="1"/>
  <c r="N597" i="1"/>
  <c r="N585" i="1"/>
  <c r="R580" i="1"/>
  <c r="R613" i="1"/>
  <c r="AI578" i="1"/>
  <c r="AI602" i="1"/>
  <c r="AI601" i="1"/>
  <c r="AI610" i="1"/>
  <c r="L594" i="1"/>
  <c r="L615" i="1"/>
  <c r="AC588" i="1"/>
  <c r="AC612" i="1"/>
  <c r="V588" i="1"/>
  <c r="V597" i="1"/>
  <c r="O582" i="1"/>
  <c r="P588" i="1"/>
  <c r="Q612" i="1"/>
  <c r="Q588" i="1"/>
  <c r="AQ593" i="1"/>
  <c r="AQ608" i="1"/>
  <c r="X591" i="1"/>
  <c r="X603" i="1"/>
  <c r="AP603" i="1"/>
  <c r="AP579" i="1"/>
  <c r="AP600" i="1"/>
  <c r="AP618" i="1"/>
  <c r="AP597" i="1"/>
  <c r="AP612" i="1"/>
  <c r="AP594" i="1"/>
  <c r="AP606" i="1"/>
  <c r="AP591" i="1"/>
  <c r="AP609" i="1"/>
  <c r="AP588" i="1"/>
  <c r="AP585" i="1"/>
  <c r="AP615" i="1"/>
  <c r="AP582" i="1"/>
  <c r="AJ579" i="1"/>
  <c r="AJ600" i="1"/>
  <c r="U581" i="1"/>
  <c r="U617" i="1"/>
  <c r="N578" i="1"/>
  <c r="N590" i="1"/>
  <c r="AM594" i="1"/>
  <c r="AM606" i="1"/>
  <c r="AN588" i="1"/>
  <c r="AN606" i="1"/>
  <c r="AO594" i="1"/>
  <c r="AO603" i="1"/>
  <c r="S584" i="1"/>
  <c r="AM599" i="1"/>
  <c r="AM595" i="1"/>
  <c r="AM607" i="1"/>
  <c r="AN590" i="1"/>
  <c r="AN608" i="1"/>
  <c r="AI588" i="1"/>
  <c r="AI609" i="1"/>
  <c r="L590" i="1"/>
  <c r="L595" i="1"/>
  <c r="AH608" i="1"/>
  <c r="AH587" i="1"/>
  <c r="AC587" i="1"/>
  <c r="AC611" i="1"/>
  <c r="AC589" i="1"/>
  <c r="AC616" i="1"/>
  <c r="V590" i="1"/>
  <c r="V602" i="1"/>
  <c r="O581" i="1"/>
  <c r="O599" i="1"/>
  <c r="O595" i="1"/>
  <c r="O610" i="1"/>
  <c r="P590" i="1"/>
  <c r="P605" i="1"/>
  <c r="P595" i="1"/>
  <c r="P619" i="1"/>
  <c r="Q617" i="1"/>
  <c r="Q613" i="1"/>
  <c r="Q580" i="1"/>
  <c r="AH603" i="1"/>
  <c r="AH597" i="1"/>
  <c r="M588" i="1"/>
  <c r="M597" i="1"/>
  <c r="AP578" i="1"/>
  <c r="AP605" i="1"/>
  <c r="AE581" i="1"/>
  <c r="Z592" i="1"/>
  <c r="Z604" i="1"/>
  <c r="Z589" i="1"/>
  <c r="Z607" i="1"/>
  <c r="Z586" i="1"/>
  <c r="Z610" i="1"/>
  <c r="Z583" i="1"/>
  <c r="Z580" i="1"/>
  <c r="Z601" i="1"/>
  <c r="Z613" i="1"/>
  <c r="Z598" i="1"/>
  <c r="Z619" i="1"/>
  <c r="Z595" i="1"/>
  <c r="Z616" i="1"/>
  <c r="AG578" i="1"/>
  <c r="AO580" i="1"/>
  <c r="AO613" i="1"/>
  <c r="AQ585" i="1"/>
  <c r="AQ606" i="1"/>
  <c r="T590" i="1"/>
  <c r="T599" i="1"/>
  <c r="T580" i="1"/>
  <c r="T604" i="1"/>
  <c r="AK578" i="1"/>
  <c r="AK605" i="1"/>
  <c r="AK598" i="1"/>
  <c r="AK610" i="1"/>
  <c r="R584" i="1"/>
  <c r="AD596" i="1"/>
  <c r="AD613" i="1"/>
  <c r="AD601" i="1"/>
  <c r="W584" i="1"/>
  <c r="W581" i="1"/>
  <c r="W583" i="1"/>
  <c r="W610" i="1"/>
  <c r="X578" i="1"/>
  <c r="X608" i="1"/>
  <c r="X583" i="1"/>
  <c r="X607" i="1"/>
  <c r="Y599" i="1"/>
  <c r="Y617" i="1"/>
  <c r="Y604" i="1"/>
  <c r="Y619" i="1"/>
  <c r="S586" i="1"/>
  <c r="AE595" i="1"/>
  <c r="AF596" i="1"/>
  <c r="AF611" i="1"/>
  <c r="AG613" i="1"/>
  <c r="AG610" i="1"/>
  <c r="AN592" i="1"/>
  <c r="AN613" i="1"/>
  <c r="AO584" i="1"/>
  <c r="AB601" i="1"/>
  <c r="Z603" i="1"/>
  <c r="Z591" i="1"/>
  <c r="AL610" i="1"/>
  <c r="AL598" i="1"/>
  <c r="AF589" i="1"/>
  <c r="AF619" i="1"/>
  <c r="AA589" i="1"/>
  <c r="AA607" i="1"/>
  <c r="AP619" i="1"/>
  <c r="AP595" i="1"/>
  <c r="AJ587" i="1"/>
  <c r="AJ617" i="1"/>
  <c r="AJ586" i="1"/>
  <c r="U588" i="1"/>
  <c r="N603" i="1"/>
  <c r="N579" i="1"/>
  <c r="R583" i="1"/>
  <c r="R616" i="1"/>
  <c r="AI593" i="1"/>
  <c r="AI605" i="1"/>
  <c r="AI619" i="1"/>
  <c r="AI613" i="1"/>
  <c r="L591" i="1"/>
  <c r="L618" i="1"/>
  <c r="AC618" i="1"/>
  <c r="AC615" i="1"/>
  <c r="V594" i="1"/>
  <c r="V612" i="1"/>
  <c r="O606" i="1"/>
  <c r="P582" i="1"/>
  <c r="P585" i="1"/>
  <c r="Q579" i="1"/>
  <c r="Q594" i="1"/>
  <c r="AQ590" i="1"/>
  <c r="AQ617" i="1"/>
  <c r="X582" i="1"/>
  <c r="X618" i="1"/>
  <c r="AJ585" i="1"/>
  <c r="AJ618" i="1"/>
  <c r="U590" i="1"/>
  <c r="AM591" i="1"/>
  <c r="AM609" i="1"/>
  <c r="AN594" i="1"/>
  <c r="AN612" i="1"/>
  <c r="AO597" i="1"/>
  <c r="AO606" i="1"/>
  <c r="AM581" i="1"/>
  <c r="AM602" i="1"/>
  <c r="AM592" i="1"/>
  <c r="AM610" i="1"/>
  <c r="AC586" i="1"/>
  <c r="AC619" i="1"/>
  <c r="V596" i="1"/>
  <c r="O584" i="1"/>
  <c r="O605" i="1"/>
  <c r="AP581" i="1"/>
  <c r="AP611" i="1"/>
  <c r="AG596" i="1"/>
  <c r="AG608" i="1"/>
  <c r="AO583" i="1"/>
  <c r="AO604" i="1"/>
  <c r="AQ609" i="1"/>
  <c r="T617" i="1"/>
  <c r="T605" i="1"/>
  <c r="T595" i="1"/>
  <c r="T607" i="1"/>
  <c r="AK596" i="1"/>
  <c r="AK611" i="1"/>
  <c r="AK601" i="1"/>
  <c r="AK619" i="1"/>
  <c r="R587" i="1"/>
  <c r="AD593" i="1"/>
  <c r="AD599" i="1"/>
  <c r="AD583" i="1"/>
  <c r="AD616" i="1"/>
  <c r="W596" i="1"/>
  <c r="W578" i="1"/>
  <c r="W598" i="1"/>
  <c r="W613" i="1"/>
  <c r="X596" i="1"/>
  <c r="X599" i="1"/>
  <c r="X580" i="1"/>
  <c r="X613" i="1"/>
  <c r="Y602" i="1"/>
  <c r="Y608" i="1"/>
  <c r="Y601" i="1"/>
  <c r="S595" i="1"/>
  <c r="S580" i="1"/>
  <c r="AE601" i="1"/>
  <c r="AF593" i="1"/>
  <c r="AF605" i="1"/>
  <c r="AG595" i="1"/>
  <c r="AG607" i="1"/>
  <c r="AN598" i="1"/>
  <c r="AN616" i="1"/>
  <c r="AO581" i="1"/>
  <c r="AB595" i="1"/>
  <c r="AB607" i="1"/>
  <c r="Z606" i="1"/>
  <c r="Z594" i="1"/>
  <c r="AL580" i="1"/>
  <c r="AL604" i="1"/>
  <c r="AF604" i="1"/>
  <c r="AA581" i="1"/>
  <c r="AA602" i="1"/>
  <c r="AA595" i="1"/>
  <c r="AA610" i="1"/>
  <c r="AP616" i="1"/>
  <c r="AP598" i="1"/>
  <c r="AJ593" i="1"/>
  <c r="AJ616" i="1"/>
  <c r="AJ592" i="1"/>
  <c r="U585" i="1"/>
  <c r="U612" i="1"/>
  <c r="N600" i="1"/>
  <c r="N618" i="1"/>
  <c r="R586" i="1"/>
  <c r="AI590" i="1"/>
  <c r="AI608" i="1"/>
  <c r="AI595" i="1"/>
  <c r="AI616" i="1"/>
  <c r="L588" i="1"/>
  <c r="AC585" i="1"/>
  <c r="V600" i="1"/>
  <c r="O579" i="1"/>
  <c r="O597" i="1"/>
  <c r="P579" i="1"/>
  <c r="P612" i="1"/>
  <c r="Q585" i="1"/>
  <c r="Q600" i="1"/>
  <c r="AQ587" i="1"/>
  <c r="AQ611" i="1"/>
  <c r="X588" i="1"/>
  <c r="X612" i="1"/>
  <c r="U605" i="1"/>
  <c r="AM588" i="1"/>
  <c r="AM612" i="1"/>
  <c r="AN600" i="1"/>
  <c r="AN615" i="1"/>
  <c r="AO591" i="1"/>
  <c r="AO609" i="1"/>
  <c r="AM587" i="1"/>
  <c r="AM605" i="1"/>
  <c r="AM589" i="1"/>
  <c r="AM613" i="1"/>
  <c r="AC610" i="1"/>
  <c r="V605" i="1"/>
  <c r="O587" i="1"/>
  <c r="O608" i="1"/>
  <c r="AP584" i="1"/>
  <c r="AG593" i="1"/>
  <c r="AG611" i="1"/>
  <c r="AO595" i="1"/>
  <c r="AO607" i="1"/>
  <c r="T578" i="1"/>
  <c r="T602" i="1"/>
  <c r="T601" i="1"/>
  <c r="T610" i="1"/>
  <c r="AK593" i="1"/>
  <c r="AK608" i="1"/>
  <c r="AK580" i="1"/>
  <c r="R578" i="1"/>
  <c r="R590" i="1"/>
  <c r="AD581" i="1"/>
  <c r="AD602" i="1"/>
  <c r="AD592" i="1"/>
  <c r="AD607" i="1"/>
  <c r="W599" i="1"/>
  <c r="W608" i="1"/>
  <c r="W601" i="1"/>
  <c r="W616" i="1"/>
  <c r="X593" i="1"/>
  <c r="X605" i="1"/>
  <c r="X598" i="1"/>
  <c r="X616" i="1"/>
  <c r="Y596" i="1"/>
  <c r="Y614" i="1"/>
  <c r="Y607" i="1"/>
  <c r="S619" i="1"/>
  <c r="S604" i="1"/>
  <c r="AE580" i="1"/>
  <c r="AE604" i="1"/>
  <c r="AF581" i="1"/>
  <c r="AF608" i="1"/>
  <c r="AG592" i="1"/>
  <c r="AG601" i="1"/>
  <c r="AN610" i="1"/>
  <c r="AO605" i="1"/>
  <c r="AO596" i="1"/>
  <c r="AB580" i="1"/>
  <c r="AB610" i="1"/>
  <c r="Z612" i="1"/>
  <c r="Z597" i="1"/>
  <c r="AL583" i="1"/>
  <c r="AL616" i="1"/>
  <c r="AF586" i="1"/>
  <c r="AA587" i="1"/>
  <c r="AA605" i="1"/>
  <c r="AA601" i="1"/>
  <c r="AA613" i="1"/>
  <c r="AP613" i="1"/>
  <c r="AP601" i="1"/>
  <c r="AJ599" i="1"/>
  <c r="AJ604" i="1"/>
  <c r="AJ598" i="1"/>
  <c r="U579" i="1"/>
  <c r="U603" i="1"/>
  <c r="N594" i="1"/>
  <c r="N615" i="1"/>
  <c r="R589" i="1"/>
  <c r="AI587" i="1"/>
  <c r="AI611" i="1"/>
  <c r="AI592" i="1"/>
  <c r="L585" i="1"/>
  <c r="AC597" i="1"/>
  <c r="V606" i="1"/>
  <c r="O594" i="1"/>
  <c r="O603" i="1"/>
  <c r="P597" i="1"/>
  <c r="P600" i="1"/>
  <c r="Q591" i="1"/>
  <c r="Q609" i="1"/>
  <c r="AQ584" i="1"/>
  <c r="AQ614" i="1"/>
  <c r="X585" i="1"/>
  <c r="X615" i="1"/>
  <c r="U584" i="1"/>
  <c r="N605" i="1"/>
  <c r="AM600" i="1"/>
  <c r="AN609" i="1"/>
  <c r="AO588" i="1"/>
  <c r="AM584" i="1"/>
  <c r="AM598" i="1"/>
  <c r="V617" i="1"/>
  <c r="O596" i="1"/>
  <c r="AE605" i="1"/>
  <c r="AE599" i="1"/>
  <c r="AG581" i="1"/>
  <c r="AO592" i="1"/>
  <c r="AQ591" i="1"/>
  <c r="AQ612" i="1"/>
  <c r="T581" i="1"/>
  <c r="Z584" i="1"/>
  <c r="Z578" i="1"/>
  <c r="Z581" i="1"/>
  <c r="Z614" i="1"/>
  <c r="Z611" i="1"/>
  <c r="Z599" i="1"/>
  <c r="Z608" i="1"/>
  <c r="Z593" i="1"/>
  <c r="Z596" i="1"/>
  <c r="Z617" i="1"/>
  <c r="Z590" i="1"/>
  <c r="Z605" i="1"/>
  <c r="Z587" i="1"/>
  <c r="Z602" i="1"/>
  <c r="AK590" i="1"/>
  <c r="AK617" i="1"/>
  <c r="AK613" i="1"/>
  <c r="R611" i="1"/>
  <c r="AD590" i="1"/>
  <c r="AD605" i="1"/>
  <c r="AD589" i="1"/>
  <c r="AD610" i="1"/>
  <c r="W602" i="1"/>
  <c r="W595" i="1"/>
  <c r="W619" i="1"/>
  <c r="X590" i="1"/>
  <c r="Y580" i="1"/>
  <c r="S583" i="1"/>
  <c r="AE586" i="1"/>
  <c r="AF590" i="1"/>
  <c r="AF602" i="1"/>
  <c r="AG589" i="1"/>
  <c r="AO578" i="1"/>
  <c r="AO593" i="1"/>
  <c r="AB592" i="1"/>
  <c r="Z615" i="1"/>
  <c r="Z600" i="1"/>
  <c r="AL601" i="1"/>
  <c r="AF580" i="1"/>
  <c r="AF598" i="1"/>
  <c r="AA593" i="1"/>
  <c r="AA608" i="1"/>
  <c r="AA580" i="1"/>
  <c r="AP580" i="1"/>
  <c r="AJ614" i="1"/>
  <c r="AJ608" i="1"/>
  <c r="AJ583" i="1"/>
  <c r="U582" i="1"/>
  <c r="U609" i="1"/>
  <c r="R604" i="1"/>
  <c r="R592" i="1"/>
  <c r="AI599" i="1"/>
  <c r="AI589" i="1"/>
  <c r="L582" i="1"/>
  <c r="AC582" i="1"/>
  <c r="V609" i="1"/>
  <c r="O600" i="1"/>
  <c r="P603" i="1"/>
  <c r="P609" i="1"/>
  <c r="Q597" i="1"/>
</calcChain>
</file>

<file path=xl/sharedStrings.xml><?xml version="1.0" encoding="utf-8"?>
<sst xmlns="http://schemas.openxmlformats.org/spreadsheetml/2006/main" count="1249" uniqueCount="395">
  <si>
    <t xml:space="preserve">Offshore Wind </t>
  </si>
  <si>
    <t>https://atb.nrel.gov/electricity/2021/offshore_wind</t>
  </si>
  <si>
    <t>Inputs</t>
  </si>
  <si>
    <t xml:space="preserve">Take me to: </t>
  </si>
  <si>
    <t>Calculated</t>
  </si>
  <si>
    <t>X</t>
  </si>
  <si>
    <t>Assumptions</t>
  </si>
  <si>
    <t>Technology</t>
  </si>
  <si>
    <t>Basis Year:</t>
  </si>
  <si>
    <t>All values are given in 2019 U.S. dollars, using the Consumer Price Index (BLS, 2020) for dollar year conversions. Projections use an inflation assumption of 2.5% per year.</t>
  </si>
  <si>
    <t>Offshore Wind Wind Speed Classes</t>
  </si>
  <si>
    <t>Wind Speed Class</t>
  </si>
  <si>
    <t>Average Water Depth (m)</t>
  </si>
  <si>
    <t>Average Distance Site to Cable Landfall (km)</t>
  </si>
  <si>
    <t>Average CAPEX ($/kW)</t>
  </si>
  <si>
    <t>Average OPEX ($/kW/yr)</t>
  </si>
  <si>
    <t>Average Net CF (%)</t>
  </si>
  <si>
    <t>Average Wind Speed (m/s) @ 100m</t>
  </si>
  <si>
    <t>Potential Wind Plant Capacity (GW)</t>
  </si>
  <si>
    <t>Potential Wind Plant Energy (TWh)</t>
  </si>
  <si>
    <t>Share of total fixed-bottom / floating capacity (%)</t>
  </si>
  <si>
    <t>Fixed-Bottom</t>
  </si>
  <si>
    <t>Wind Speed Class 1</t>
  </si>
  <si>
    <t>Wind Speed Class 2</t>
  </si>
  <si>
    <t>Wind Speed Class 3</t>
  </si>
  <si>
    <t xml:space="preserve"> </t>
  </si>
  <si>
    <t>Wind Speed Class 4</t>
  </si>
  <si>
    <t>Wind Speed Class 5</t>
  </si>
  <si>
    <t>Wind Speed Class 6</t>
  </si>
  <si>
    <t>Wind Speed Class 7</t>
  </si>
  <si>
    <t>Floating</t>
  </si>
  <si>
    <t>Wind Speed Class 8</t>
  </si>
  <si>
    <t>Wind Speed Class 9</t>
  </si>
  <si>
    <t>Wind Speed Class 10</t>
  </si>
  <si>
    <t>Wind Speed Class 11</t>
  </si>
  <si>
    <t>Wind Speed Class 12</t>
  </si>
  <si>
    <t>Wind Speed Class 13</t>
  </si>
  <si>
    <t>Wind Speed Class 14</t>
  </si>
  <si>
    <t>Total</t>
  </si>
  <si>
    <t>Finance</t>
  </si>
  <si>
    <t>Financial Assumptions:</t>
  </si>
  <si>
    <t>Inflation Rate</t>
  </si>
  <si>
    <t>Capital Recovery Period (Years)</t>
  </si>
  <si>
    <t>Interest Rate Nominal - Moderate</t>
  </si>
  <si>
    <t>Calculated Interest Rate Real - Moderate</t>
  </si>
  <si>
    <t>Interest During Construction  - Nominal</t>
  </si>
  <si>
    <t>Rate of Return on Equity Nominal - Moderate</t>
  </si>
  <si>
    <t>Calculated Rate of Return on Equity Real - Moderate</t>
  </si>
  <si>
    <t>Debt Fraction - Moderate</t>
  </si>
  <si>
    <t>Tax Rate (Federal and State)</t>
  </si>
  <si>
    <t>WACC Nominal - Moderate</t>
  </si>
  <si>
    <t>WACC Real - Moderate</t>
  </si>
  <si>
    <t>Depreciation Period</t>
  </si>
  <si>
    <t>Construction Finance Factor</t>
  </si>
  <si>
    <t>Present Value of Depreciation</t>
  </si>
  <si>
    <t>Project Finance Factor</t>
  </si>
  <si>
    <t>Capital Recovery Factor (CRF) Nominal - Moderate</t>
  </si>
  <si>
    <t>Capital Recovery Factor (CRF) Real - Moderate</t>
  </si>
  <si>
    <t>Equity Premium During Construction</t>
  </si>
  <si>
    <t>Cost of equity during construction</t>
  </si>
  <si>
    <t>Construction Duration yrs</t>
  </si>
  <si>
    <t>Year</t>
  </si>
  <si>
    <t>Capital</t>
  </si>
  <si>
    <t>Accumulated</t>
  </si>
  <si>
    <t>Percent of Leverage During Construction</t>
  </si>
  <si>
    <t>Percent of Equity During Construction</t>
  </si>
  <si>
    <t>MACRS yr</t>
  </si>
  <si>
    <t>Index</t>
  </si>
  <si>
    <t>Fraction</t>
  </si>
  <si>
    <t>Interest</t>
  </si>
  <si>
    <t>Equity Cost</t>
  </si>
  <si>
    <t>Depreciation</t>
  </si>
  <si>
    <t>Factor</t>
  </si>
  <si>
    <t>Interest Rate Nominal - Advanced</t>
  </si>
  <si>
    <t>Interest Rate Nominal - Conservative</t>
  </si>
  <si>
    <t>Calculated Interest Rate Real - Advanced</t>
  </si>
  <si>
    <t>Calculated Interest Rate Real - Conservative</t>
  </si>
  <si>
    <t>Rate of Return on Equity Nominal - Advanced</t>
  </si>
  <si>
    <t>Rate of Return on Equity Nominal - Conservative</t>
  </si>
  <si>
    <t>Calculated Rate of Return on Equity Real - Advanced</t>
  </si>
  <si>
    <t>Calculated Rate of Return on Equity Real - Conservative</t>
  </si>
  <si>
    <t>Debt Fraction - Advanced</t>
  </si>
  <si>
    <t>Debt Fraction - Conservative</t>
  </si>
  <si>
    <t>WACC Nominal - Advanced</t>
  </si>
  <si>
    <t>WACC Nominal - Conservative</t>
  </si>
  <si>
    <t>WACC Real - Advanced</t>
  </si>
  <si>
    <t>WACC Real - Conservative</t>
  </si>
  <si>
    <t>Capital Recovery Factor (CRF) Nominal - Advanced</t>
  </si>
  <si>
    <t>Capital Recovery Factor (CRF) Nominal - Conservative</t>
  </si>
  <si>
    <t>Capital Recovery Factor (CRF) Real - Advanced</t>
  </si>
  <si>
    <t>Capital Recovery Factor (CRF) Real - Conservative</t>
  </si>
  <si>
    <t>Future Projections</t>
  </si>
  <si>
    <t>Base Year</t>
  </si>
  <si>
    <t>Techno-Economic Cost and Performance Parameters</t>
  </si>
  <si>
    <t>Net Capacity Factor (%)</t>
  </si>
  <si>
    <t>Class 1 - Advanced</t>
  </si>
  <si>
    <t>Class 1 - Moderate</t>
  </si>
  <si>
    <t>Class 1 - Conservative</t>
  </si>
  <si>
    <t>Class 2 - Advanced</t>
  </si>
  <si>
    <t>Class 2 - Moderate</t>
  </si>
  <si>
    <t>Class 2 - Conservative</t>
  </si>
  <si>
    <t>Class 3 - Advanced</t>
  </si>
  <si>
    <t>Class 3 - Moderate</t>
  </si>
  <si>
    <t>Class 3 - Conservative</t>
  </si>
  <si>
    <t>Class 4 - Advanced</t>
  </si>
  <si>
    <t>Class 4 - Moderate</t>
  </si>
  <si>
    <t>Class 4 - Conservative</t>
  </si>
  <si>
    <t>Class 5 - Advanced</t>
  </si>
  <si>
    <t>Class 5 - Moderate</t>
  </si>
  <si>
    <t>Class 5 - Conservative</t>
  </si>
  <si>
    <t>Class 6 - Advanced</t>
  </si>
  <si>
    <t>Class 6 - Moderate</t>
  </si>
  <si>
    <t>Class 6 - Conservative</t>
  </si>
  <si>
    <t>Class 7 - Advanced</t>
  </si>
  <si>
    <t>Class 7 - Moderate</t>
  </si>
  <si>
    <t>Class 7 - Conservative</t>
  </si>
  <si>
    <t>Class 8 - Advanced</t>
  </si>
  <si>
    <t>Class 8 - Moderate</t>
  </si>
  <si>
    <t>Class 8 - Conservative</t>
  </si>
  <si>
    <t>Class 9 - Advanced</t>
  </si>
  <si>
    <t>Class 9 - Moderate</t>
  </si>
  <si>
    <t>Class 9 - Conservative</t>
  </si>
  <si>
    <t>Class 10 - Advanced</t>
  </si>
  <si>
    <t>Class 10 - Moderate</t>
  </si>
  <si>
    <t>Class 10 - Conservative</t>
  </si>
  <si>
    <t>Class 11 - Advanced</t>
  </si>
  <si>
    <t>Class 11 - Moderate</t>
  </si>
  <si>
    <t>Class 11 - Conservative</t>
  </si>
  <si>
    <t>Class 12 - Advanced</t>
  </si>
  <si>
    <t>Class 12 - Moderate</t>
  </si>
  <si>
    <t>Class 12 - Conservative</t>
  </si>
  <si>
    <t>Class 13 - Advanced</t>
  </si>
  <si>
    <t>Class 13 - Moderate</t>
  </si>
  <si>
    <t>Class 13 - Conservative</t>
  </si>
  <si>
    <t>Class 14 - Advanced</t>
  </si>
  <si>
    <t>Class 14 - Moderate</t>
  </si>
  <si>
    <t>Class 14 - Conservative</t>
  </si>
  <si>
    <t>Annual Energy Production (kWh/kW)</t>
  </si>
  <si>
    <t>CAPEX ($/kW)</t>
  </si>
  <si>
    <t>Construction Financing Cost ($/kW)</t>
  </si>
  <si>
    <t>Overnight Capital Cost ($/kW)</t>
  </si>
  <si>
    <t>Fixed Operation and Maintenance Expenses ($/kW-yr)</t>
  </si>
  <si>
    <t>Variable Operation and Maintenance Expenses ($/MWh)</t>
  </si>
  <si>
    <t>Grid Connection Costs</t>
  </si>
  <si>
    <t>Grid Connection Costs (GCC) ($/kW)</t>
  </si>
  <si>
    <t>Offshore Spur Line Costs ($/kW)</t>
  </si>
  <si>
    <t>LCOE</t>
  </si>
  <si>
    <t>Levelized Cost of Energy ($/MWh)</t>
  </si>
  <si>
    <t>Additional Factors</t>
  </si>
  <si>
    <t>Tax Credit</t>
  </si>
  <si>
    <t>10 year CRF - Advanced</t>
  </si>
  <si>
    <t>10 year CRF - Moderate</t>
  </si>
  <si>
    <t>10 year CRF - Conservative</t>
  </si>
  <si>
    <t>ITC Schedule</t>
  </si>
  <si>
    <t>PVD - Advanced</t>
  </si>
  <si>
    <t>PVD - Moderate</t>
  </si>
  <si>
    <t>PVD - Conservative</t>
  </si>
  <si>
    <t>PFF - Advanced</t>
  </si>
  <si>
    <t>PFF - Moderate</t>
  </si>
  <si>
    <t>PFF - Conservative</t>
  </si>
  <si>
    <t>MACRS</t>
  </si>
  <si>
    <t>Year (Advanced)</t>
  </si>
  <si>
    <t>Depreciation Factor</t>
  </si>
  <si>
    <t>Year (Moderate)</t>
  </si>
  <si>
    <t>Year (Conservative)</t>
  </si>
  <si>
    <t>Data Sources for Default Inputs</t>
  </si>
  <si>
    <t>Current Costs:</t>
  </si>
  <si>
    <t>Available Capacity (GW)</t>
  </si>
  <si>
    <t>Musial et al., 2016</t>
  </si>
  <si>
    <t>Beiter et al., 2019</t>
  </si>
  <si>
    <t>Musial et al., 2019</t>
  </si>
  <si>
    <t>Beiter et al. 2020</t>
  </si>
  <si>
    <t>Fixed Operating Expenses ($/kW-yr)</t>
  </si>
  <si>
    <t>Variable Operating Expenses ($/MWh)</t>
  </si>
  <si>
    <t>N/A</t>
  </si>
  <si>
    <t>Grid Feature Cost ($/kW)</t>
  </si>
  <si>
    <t>`</t>
  </si>
  <si>
    <t>Spur Line Cost ($/kW)</t>
  </si>
  <si>
    <t>Future Projections Costs:</t>
  </si>
  <si>
    <t xml:space="preserve">Adapted from Valpy et al., 2017 </t>
  </si>
  <si>
    <t>and Hundleby et al., 2017</t>
  </si>
  <si>
    <t>Adapted from Valpy et al., 2017</t>
  </si>
  <si>
    <t xml:space="preserve"> Beiter et al. 2020</t>
  </si>
  <si>
    <t xml:space="preserve"> and Hundleby et al., 2019</t>
  </si>
  <si>
    <t>Grid Connection Cost ($/kW)</t>
  </si>
  <si>
    <t>Beiter et al, 2019</t>
  </si>
  <si>
    <t>Electricity Generation Technology LCOE equation for Standard Scenarios – ReEDS Model Inputs and Annual Technology Baseline presentation of technology assumptions.</t>
  </si>
  <si>
    <t>Note: Costs associated with a given year are for systems that come online in that year.  For example, the overnight capital cost (OCC) for a technology in 2021 represents the OCC of a system that
begins commercial operation in 2021.  The capacity factor for a technology in 2021 represents the expected annualized lifetime energy production for a system that begins commercial operation
in 2021.</t>
  </si>
  <si>
    <t>LCOE = ((FCR * CAPEX + FOM)*1000/(CF * 8760)) + VOM + Fuel</t>
  </si>
  <si>
    <t>LCOE = ((CRF * ProFinFactor * ConFinFactor * (OCC * CapRegMult + GCC) + FOM) * 1000 / (CF * 8760)) + VOM + Fuel</t>
  </si>
  <si>
    <t>Fixed Charge Rate</t>
  </si>
  <si>
    <t>FCR = CRF * ProFinFactor</t>
  </si>
  <si>
    <t>Amount of revenue per dollar of investment required that must be collected annually from customers to pay the carrying charges on that investment.</t>
  </si>
  <si>
    <t>CAPEX</t>
  </si>
  <si>
    <t>CAPEX = ConFinFActor * (OCC * CapRegMult + GCC)</t>
  </si>
  <si>
    <t>Capital expenditures required to achieve commercial operation of the generation plant</t>
  </si>
  <si>
    <t>Capital Recovery Factor</t>
  </si>
  <si>
    <t>CRF = WACC / (1 - (1 / (1 + WACC)^t))       note: WACC real</t>
  </si>
  <si>
    <t>*ReEDS uses: CRF = (WACC - 1) / (1 - (1 / WACC)^t)</t>
  </si>
  <si>
    <t>WACC = ((1+((1-DF)*((1+RROE)*(1+i)-1)) + (DF*((1+IR)*(1+i)-1)*(1-TR))) / (1+i)) - 1</t>
  </si>
  <si>
    <t>but uses a WACC that is equal to 1 + the WACC rate, and returns a CRF that is 1+CRF</t>
  </si>
  <si>
    <t>DF = debt fraction</t>
  </si>
  <si>
    <t>*ReEDS uses: WACC = (1 + ((1 - DF)*(RROE*i - 1)) + (DF*(IR*i - 1)*(1-TR))) / i</t>
  </si>
  <si>
    <t>RROE = rate of return on equity (real) = 10.24%</t>
  </si>
  <si>
    <t>but uses RROE, i, and IR that are equal to 1 + the rates, and returns a WACC that is 1+WACC</t>
  </si>
  <si>
    <t>i = inflation rate = 2.5%</t>
  </si>
  <si>
    <t>IR = interest rate (real) = 5.4%</t>
  </si>
  <si>
    <t>Project Finance factor</t>
  </si>
  <si>
    <t>ProFinFactor = (1 - TR * PVD) / (1 - TR)</t>
  </si>
  <si>
    <t>TR = combined state/federal tax rate</t>
  </si>
  <si>
    <r>
      <t>PVD = present value of depreciation = summation from y=1 to y=M+1 of (FD</t>
    </r>
    <r>
      <rPr>
        <vertAlign val="subscript"/>
        <sz val="12"/>
        <color rgb="FF000000"/>
        <rFont val="Calibri"/>
        <family val="2"/>
        <scheme val="minor"/>
      </rPr>
      <t>y</t>
    </r>
    <r>
      <rPr>
        <sz val="11"/>
        <color rgb="FF000000"/>
        <rFont val="Calibri"/>
        <family val="2"/>
        <scheme val="minor"/>
      </rPr>
      <t xml:space="preserve"> * f</t>
    </r>
    <r>
      <rPr>
        <vertAlign val="subscript"/>
        <sz val="12"/>
        <color rgb="FF000000"/>
        <rFont val="Calibri"/>
        <family val="2"/>
        <scheme val="minor"/>
      </rPr>
      <t>y</t>
    </r>
    <r>
      <rPr>
        <sz val="12"/>
        <color rgb="FF000000"/>
        <rFont val="Calibri"/>
        <family val="2"/>
        <scheme val="minor"/>
      </rPr>
      <t>)</t>
    </r>
  </si>
  <si>
    <t>M = # years in MACRS depreciation schedule</t>
  </si>
  <si>
    <r>
      <t>FD</t>
    </r>
    <r>
      <rPr>
        <vertAlign val="subscript"/>
        <sz val="11"/>
        <color theme="1"/>
        <rFont val="Calibri"/>
        <family val="2"/>
        <scheme val="minor"/>
      </rPr>
      <t>y</t>
    </r>
    <r>
      <rPr>
        <sz val="11"/>
        <color theme="1"/>
        <rFont val="Calibri"/>
        <family val="2"/>
        <scheme val="minor"/>
      </rPr>
      <t xml:space="preserve"> = fraction of capital depreciated in year y</t>
    </r>
  </si>
  <si>
    <r>
      <t>f</t>
    </r>
    <r>
      <rPr>
        <vertAlign val="subscript"/>
        <sz val="12"/>
        <color theme="1"/>
        <rFont val="Calibri"/>
        <family val="2"/>
        <scheme val="minor"/>
      </rPr>
      <t>y</t>
    </r>
    <r>
      <rPr>
        <sz val="12"/>
        <color theme="1"/>
        <rFont val="Calibri"/>
        <family val="2"/>
        <scheme val="minor"/>
      </rPr>
      <t xml:space="preserve"> = depreciation factor in year y</t>
    </r>
  </si>
  <si>
    <r>
      <t>f</t>
    </r>
    <r>
      <rPr>
        <vertAlign val="subscript"/>
        <sz val="11"/>
        <color theme="1"/>
        <rFont val="Calibri"/>
        <family val="2"/>
        <scheme val="minor"/>
      </rPr>
      <t>y</t>
    </r>
    <r>
      <rPr>
        <sz val="11"/>
        <color theme="1"/>
        <rFont val="Calibri"/>
        <family val="2"/>
        <scheme val="minor"/>
      </rPr>
      <t xml:space="preserve"> = 1/d</t>
    </r>
    <r>
      <rPr>
        <vertAlign val="superscript"/>
        <sz val="12"/>
        <color theme="1"/>
        <rFont val="Calibri"/>
        <family val="2"/>
        <scheme val="minor"/>
      </rPr>
      <t>y</t>
    </r>
  </si>
  <si>
    <t>d = nominal discount rate (8.9%)</t>
  </si>
  <si>
    <t>d = WACC * i</t>
  </si>
  <si>
    <t>i = inflation rate</t>
  </si>
  <si>
    <r>
      <t>ConFinFactor = summation from y=0 to y=C-1 of  (FC</t>
    </r>
    <r>
      <rPr>
        <vertAlign val="subscript"/>
        <sz val="12"/>
        <color theme="1"/>
        <rFont val="Calibri"/>
        <family val="2"/>
        <scheme val="minor"/>
      </rPr>
      <t>y</t>
    </r>
    <r>
      <rPr>
        <sz val="11"/>
        <color theme="1"/>
        <rFont val="Calibri"/>
        <family val="2"/>
        <scheme val="minor"/>
      </rPr>
      <t xml:space="preserve"> * AI</t>
    </r>
    <r>
      <rPr>
        <vertAlign val="subscript"/>
        <sz val="11"/>
        <color theme="1"/>
        <rFont val="Calibri"/>
        <family val="2"/>
        <scheme val="minor"/>
      </rPr>
      <t>y</t>
    </r>
    <r>
      <rPr>
        <sz val="11"/>
        <color theme="1"/>
        <rFont val="Calibri"/>
        <family val="2"/>
        <scheme val="minor"/>
      </rPr>
      <t>)</t>
    </r>
  </si>
  <si>
    <r>
      <t>FC</t>
    </r>
    <r>
      <rPr>
        <vertAlign val="subscript"/>
        <sz val="11"/>
        <color theme="1"/>
        <rFont val="Calibri"/>
        <family val="2"/>
        <scheme val="minor"/>
      </rPr>
      <t>y</t>
    </r>
    <r>
      <rPr>
        <sz val="11"/>
        <color theme="1"/>
        <rFont val="Calibri"/>
        <family val="2"/>
        <scheme val="minor"/>
      </rPr>
      <t xml:space="preserve"> = fraction of capital spent in year y</t>
    </r>
  </si>
  <si>
    <r>
      <t>AI</t>
    </r>
    <r>
      <rPr>
        <vertAlign val="subscript"/>
        <sz val="12"/>
        <color theme="1"/>
        <rFont val="Calibri"/>
        <family val="2"/>
        <scheme val="minor"/>
      </rPr>
      <t>y</t>
    </r>
    <r>
      <rPr>
        <sz val="11"/>
        <color theme="1"/>
        <rFont val="Calibri"/>
        <family val="2"/>
        <scheme val="minor"/>
      </rPr>
      <t xml:space="preserve"> =1 + ((1 + IDC)</t>
    </r>
    <r>
      <rPr>
        <vertAlign val="superscript"/>
        <sz val="12"/>
        <color theme="1"/>
        <rFont val="Calibri"/>
        <family val="2"/>
        <scheme val="minor"/>
      </rPr>
      <t>(year+0.5)</t>
    </r>
    <r>
      <rPr>
        <sz val="11"/>
        <color theme="1"/>
        <rFont val="Calibri"/>
        <family val="2"/>
        <scheme val="minor"/>
      </rPr>
      <t xml:space="preserve"> - 1) </t>
    </r>
  </si>
  <si>
    <r>
      <t>*ReEDS uses: AI</t>
    </r>
    <r>
      <rPr>
        <vertAlign val="subscript"/>
        <sz val="12"/>
        <color theme="1"/>
        <rFont val="Calibri"/>
        <family val="2"/>
        <scheme val="minor"/>
      </rPr>
      <t>y</t>
    </r>
    <r>
      <rPr>
        <sz val="11"/>
        <color theme="1"/>
        <rFont val="Calibri"/>
        <family val="2"/>
        <scheme val="minor"/>
      </rPr>
      <t xml:space="preserve"> =1 + (1 - TR) * (IDC</t>
    </r>
    <r>
      <rPr>
        <vertAlign val="superscript"/>
        <sz val="12"/>
        <color theme="1"/>
        <rFont val="Calibri"/>
        <family val="2"/>
        <scheme val="minor"/>
      </rPr>
      <t>(year+0.5)</t>
    </r>
    <r>
      <rPr>
        <sz val="11"/>
        <color theme="1"/>
        <rFont val="Calibri"/>
        <family val="2"/>
        <scheme val="minor"/>
      </rPr>
      <t xml:space="preserve"> - 1) </t>
    </r>
  </si>
  <si>
    <t>IDC = interest during construction</t>
  </si>
  <si>
    <t>but uses an IDC that is equal to 1 + the interest rate</t>
  </si>
  <si>
    <t>y = year index, starting at 0</t>
  </si>
  <si>
    <t>C = construction duration (years)</t>
  </si>
  <si>
    <t>Overnight Capital Cost</t>
  </si>
  <si>
    <t>OCC = input in $/kW</t>
  </si>
  <si>
    <t>Capital Regional Multiplier</t>
  </si>
  <si>
    <t>CapRegMult = 1  for ATB</t>
  </si>
  <si>
    <t>GCC = GF + OnSpurCost + Off SpurCost</t>
  </si>
  <si>
    <t>GF</t>
  </si>
  <si>
    <t>grid feature = 0 for ATB</t>
  </si>
  <si>
    <t>OnSpurCost</t>
  </si>
  <si>
    <t>Onshore Spur Line Costs = 0 for ATB</t>
  </si>
  <si>
    <t>Off SpurCost</t>
  </si>
  <si>
    <t>Offshore (underwater) Spur Line Costs</t>
  </si>
  <si>
    <t>Fixed Operating Expenses</t>
  </si>
  <si>
    <t>FOM = input in $/kW</t>
  </si>
  <si>
    <t>* 1000</t>
  </si>
  <si>
    <t>conversion factor from $/kW inputs to $/MWh output</t>
  </si>
  <si>
    <t>Capacity Factor</t>
  </si>
  <si>
    <t>CF = input as %</t>
  </si>
  <si>
    <t>* 8760</t>
  </si>
  <si>
    <t>conversion factor for hours per year</t>
  </si>
  <si>
    <t>Variable Operating Expenses</t>
  </si>
  <si>
    <t>VOM = input in $/MWh</t>
  </si>
  <si>
    <t>Fuel</t>
  </si>
  <si>
    <t>Fuel = input in $/MWh</t>
  </si>
  <si>
    <t>Overnight LCOE</t>
  </si>
  <si>
    <t>=((OCC*CRF*(1-TR*PVD))/(8760*CF*(1-TR))+FOM/(8760*CF))*1000)+VOM</t>
  </si>
  <si>
    <t>This is similar to the LCOE used in the TCDB (Transparent Cost database)</t>
  </si>
  <si>
    <t>Definitions:</t>
  </si>
  <si>
    <t>AI</t>
  </si>
  <si>
    <t>Accumulated Interest</t>
  </si>
  <si>
    <t>Accumulated interest is a function of the interest during construction and the tax rate.</t>
  </si>
  <si>
    <t>C</t>
  </si>
  <si>
    <t>Construction Duration</t>
  </si>
  <si>
    <t>Number of years in construction period</t>
  </si>
  <si>
    <t>CapRegMult</t>
  </si>
  <si>
    <t>Capital cost multipliers to account for regional variations that affect plant costs, e.g. labor rates, etc. Separate multipliers are applied to land-based and offshore wind plants, PV, CSP, coal, gas, nuclear, etc. No multipliers for geothermal or hydropower due to site specific nature of plant cost estimates.</t>
  </si>
  <si>
    <t>CF</t>
  </si>
  <si>
    <t>Capacity Factor (%)</t>
  </si>
  <si>
    <t xml:space="preserve">Generally defined as the ratio of actual annual output to output at rated capacity for an entire year.  </t>
  </si>
  <si>
    <t>ConFinFactor</t>
  </si>
  <si>
    <t>Portion of all-in capital cost associated with construction period financing.  ConFinFactor is a function of C, FC, and IDC.</t>
  </si>
  <si>
    <t>CRF</t>
  </si>
  <si>
    <t>The ratio of a constant annuity to the present value of receiving that annuity for a given length of time. (Default in ReEDS is 8.89% real); CRF is a function of WACC and t.</t>
  </si>
  <si>
    <t>d</t>
  </si>
  <si>
    <t>nominal discount rate (8.9%)</t>
  </si>
  <si>
    <t>The discount rate is a function of the WACC and inflation.</t>
  </si>
  <si>
    <t>DF</t>
  </si>
  <si>
    <t>Debt Fraction</t>
  </si>
  <si>
    <t>Fraction of capital financed with debt.  1-DF is assumed financed with equity. (50% for all technologies in ReEDS)</t>
  </si>
  <si>
    <t>EMRP</t>
  </si>
  <si>
    <t>Expected Market Risk Premium</t>
  </si>
  <si>
    <t>The market risk premium is the difference between the expected return on a market portfolio and the risk-free rate.</t>
  </si>
  <si>
    <t>f</t>
  </si>
  <si>
    <t>The depreciation factor is a function of the discount rate.</t>
  </si>
  <si>
    <t>FC</t>
  </si>
  <si>
    <t>Capital Fraction</t>
  </si>
  <si>
    <t>Fraction of capital spent in each year of construction, 1 to C.</t>
  </si>
  <si>
    <t>FD</t>
  </si>
  <si>
    <t>Depreciation Fraction</t>
  </si>
  <si>
    <t>Fraction of capital depreciated in each year, 1 to M.</t>
  </si>
  <si>
    <t>FOM</t>
  </si>
  <si>
    <t>Fixed Operation and Maintenance Expenses ($/MW-year)</t>
  </si>
  <si>
    <t>Annual expenditures to operate and maintain equipment that are not incurred on a per-unit-energy basis.</t>
  </si>
  <si>
    <t>fuel cost ($/MWh)</t>
  </si>
  <si>
    <t>Fuel costs are converted to $/MWh from various units.</t>
  </si>
  <si>
    <t>GCC</t>
  </si>
  <si>
    <t>Distance-based costs of spur lines over land, offshore wind plant export cable costs and construction-period transit costs</t>
  </si>
  <si>
    <t>Grid Feature</t>
  </si>
  <si>
    <t>Point of interconnection at the high voltage transmission network, including substation, transmission lines, load center, or BA center. (Default in ReEDS is $0/kW for substation and load center and $14/kW for others)</t>
  </si>
  <si>
    <t>i</t>
  </si>
  <si>
    <t>Assumed inflation rate based on historical data. (2.5% in ReEDS)</t>
  </si>
  <si>
    <t>ICC</t>
  </si>
  <si>
    <t>Installed Capital Cost ($/MW)</t>
  </si>
  <si>
    <t>Total capital expenditure to achieve commercial operation up to the plant gate. This intermediate value is used only in presentation of technology cost assumptions with historic market data.  It is not required to calculate LCOE.</t>
  </si>
  <si>
    <t>IDC</t>
  </si>
  <si>
    <t>Interest During Construction</t>
  </si>
  <si>
    <t>Interest rate for financing project during construction period.</t>
  </si>
  <si>
    <t>IR</t>
  </si>
  <si>
    <t>Interest Rate (real)</t>
  </si>
  <si>
    <t>Assumed interest rate on debt. (5.4% for all technologies in ReEDS, 8% nominal)</t>
  </si>
  <si>
    <t>M</t>
  </si>
  <si>
    <t>Depreciation period (years)</t>
  </si>
  <si>
    <t>Number of years in MACRS depreciation schedule.</t>
  </si>
  <si>
    <t>OCC</t>
  </si>
  <si>
    <t>Overnight Capital Cost ($/MW)</t>
  </si>
  <si>
    <t>Capital expenditures excluding construction period financing.  Includes onsite electrical equipment (e.g., switchyard), a nominal-distance spur line (&lt;1 mi), and necessary upgrades at a transmission substation.</t>
  </si>
  <si>
    <t>OffDist</t>
  </si>
  <si>
    <t>Offshore Distance</t>
  </si>
  <si>
    <t>Total offshore distance covered by the offshore export cables</t>
  </si>
  <si>
    <t>OffSpurCost</t>
  </si>
  <si>
    <t>Cost for offshore (underwater) export cables from the offshore wind plant to land; OffSpurCost is a function of OffDist and OffDistFactor.</t>
  </si>
  <si>
    <t>OffDistFactor</t>
  </si>
  <si>
    <t>Offshore Distance Factor</t>
  </si>
  <si>
    <t xml:space="preserve">Incremental capital expenditure for offshore wind plant export cable length between landfall and offshore wind plant site.  </t>
  </si>
  <si>
    <t>OnDist</t>
  </si>
  <si>
    <t>Onshore Distance</t>
  </si>
  <si>
    <t>Total onshore distance covered by the onshore transmission spur lines</t>
  </si>
  <si>
    <t>OnRegTransMult</t>
  </si>
  <si>
    <t>Onshore Regional Transmission Multiplier</t>
  </si>
  <si>
    <t>Transmission cost multipliers to account for regional variations that affect onshore transmission line costs, e.g. labor rates, terrain, siting, etc.</t>
  </si>
  <si>
    <t>Onshore Spur Line Costs</t>
  </si>
  <si>
    <t>Cost for onshore transmission lines from the plant gate to the grid feature; OnSpurCost is a function of OnDist, OnTransCost, and OnRegTransMult.</t>
  </si>
  <si>
    <t>OnTransCost</t>
  </si>
  <si>
    <t>Onshore Transmission Costs (for spur line)</t>
  </si>
  <si>
    <t>Base onshore transmission line costs (Default in ReEDS is $3922/MW-mile)</t>
  </si>
  <si>
    <t>ProFinFactor</t>
  </si>
  <si>
    <t>Technology-specific financial multiplier to account for any applicable differences in depreciation schedule, and tax policies. ProFinFactor is a function of TR, WACC, i, M, and FD</t>
  </si>
  <si>
    <t>PVD</t>
  </si>
  <si>
    <t>PVD is a function of FD, f and y.</t>
  </si>
  <si>
    <t>RROE</t>
  </si>
  <si>
    <t>Rate of Return on Equity (real)</t>
  </si>
  <si>
    <t>Assumed rate of return on the share of assets financed with equity. (10% for all technologies in ReEDS, 13% nominal)</t>
  </si>
  <si>
    <t>t</t>
  </si>
  <si>
    <t>Economic Lifetime (years)</t>
  </si>
  <si>
    <t>Length of time for paying off assets (20 years for all technologies in ReEDS)</t>
  </si>
  <si>
    <t>TR</t>
  </si>
  <si>
    <t>Tax Rate</t>
  </si>
  <si>
    <t>Combined state and federal tax rate (40%)</t>
  </si>
  <si>
    <t>VOM</t>
  </si>
  <si>
    <t xml:space="preserve">Operating and maintenance costs incurred on a per-unit-energy basis. </t>
  </si>
  <si>
    <t>WACC</t>
  </si>
  <si>
    <t>Weighted Average Cost of Capital (real)</t>
  </si>
  <si>
    <t>The average expected rate that is paid to finance assets. (Default in ReEDS is 6.2% real); WACC is a function of DF, RROE, IR, i, and TR.</t>
  </si>
  <si>
    <t>y</t>
  </si>
  <si>
    <t>year index, starting at 0</t>
  </si>
  <si>
    <t>Notes:</t>
  </si>
  <si>
    <t>CapRegMult = 1</t>
  </si>
  <si>
    <t>ATB assumes that all plants represent typical equipment costs and do not include regionally specific labor or material cost increments.</t>
  </si>
  <si>
    <t>GCC = 0</t>
  </si>
  <si>
    <t>ATB assumes that base plant cost includes small spur line to connect with grid for all technologies in overnight capital cost.  An exception is made for offshore wind plants where the export cable and construction-period transit costs based on a 30 km distance from shore are represented in GCC.  Specific transmission lines based on geographically determined distances between ReEDS regions and existing transmission features for wind and solar are not included in ATB.</t>
  </si>
  <si>
    <t>Inputs in ATB are in $/kW, in ReEDS they are $/MW</t>
  </si>
  <si>
    <t>2018$ to 2019$ Multiplier:</t>
  </si>
  <si>
    <t>Overnight Capital Cost with Mooring Chain ($/kW)</t>
  </si>
  <si>
    <t>Overnight Capital Cost without Mooring Chain and with DP Thrusters ($/kW)</t>
  </si>
  <si>
    <t>Cost of Thrusters (MUSD)</t>
  </si>
  <si>
    <t>Turbine Size (MW)</t>
  </si>
  <si>
    <t>Net Loss Ratio</t>
  </si>
  <si>
    <t>Net Capacity Factor, including Net Loss Ratio from thrusters (%)</t>
  </si>
  <si>
    <t>Net Capacity Factor, base (%)</t>
  </si>
  <si>
    <t>Mooring Chain OCC Proportion</t>
  </si>
  <si>
    <t>5 MW</t>
  </si>
  <si>
    <t>8 MW</t>
  </si>
  <si>
    <t>10 MW</t>
  </si>
  <si>
    <t>15 MW</t>
  </si>
  <si>
    <t>Net Capacity Factor, baseline (%)</t>
  </si>
  <si>
    <t>Class 8 - At minimum LCOE config</t>
  </si>
  <si>
    <t>Class 14 - At minimum LCOE config</t>
  </si>
  <si>
    <t>Overnight Capital Cost, baseline--includes mooring chain ($/kW)</t>
  </si>
  <si>
    <t xml:space="preserve"> Thruster Cost (MUSD)</t>
  </si>
  <si>
    <t>Class 8 - NREL ATB - LOW</t>
  </si>
  <si>
    <t>Class 8 - NREL ATB - HIGH</t>
  </si>
  <si>
    <t>Class 14 - NREL ATB - LOW</t>
  </si>
  <si>
    <t>Class 14 - NREL ATB - HIGH</t>
  </si>
  <si>
    <t>Class 8 - At minimum LTCOE config</t>
  </si>
  <si>
    <t>Class 14 - At minimum LTCOE config</t>
  </si>
  <si>
    <t>Class 8 - NREL ATB - LOW (0 GCC Cost)</t>
  </si>
  <si>
    <t>Class 8 - LCOE Penalty - High</t>
  </si>
  <si>
    <t>Class 8 - LCOE Penalty - Low</t>
  </si>
  <si>
    <t>Class 14 - LCOE Penalty - High</t>
  </si>
  <si>
    <t>Class 14 - LCOE Penalty - Low</t>
  </si>
  <si>
    <t>Thruster Consumption Percent (%)</t>
  </si>
  <si>
    <t>Net Capacity Factor, including Thruster Consumption Percent from thrusters (%)</t>
  </si>
  <si>
    <t>Mooring Fixed Operation and Maintenance Expenses ($/kW-year)</t>
  </si>
  <si>
    <t>DP Fixed Operation and Maintenance Expenses ($/kW-year)</t>
  </si>
  <si>
    <t>EUR/year-thruster</t>
  </si>
  <si>
    <t>Class 8 Number of Thrusters</t>
  </si>
  <si>
    <t>Class 14 Number of Thrusters</t>
  </si>
  <si>
    <t>***DISCLAIMER: This spreadsheet is based on the NREL ATB found at the following link:</t>
  </si>
  <si>
    <t>DP Analyisis Inputs</t>
  </si>
  <si>
    <t>Some of the original functionality has been removed from the original NREL ATB spreadsheet, and it is used here as a means to calculate Turbine Array LCOEs for the Manuscript "Enabling development of deep-water offshore wind power through dynamically positioned floating systems". The Authors did not develop the sheet format, nor the assumptions which come from the NREL ATB. New Inputs not included in the original NREL ATB are highlighted in green.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</si>
</sst>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5" formatCode="&quot;$&quot;#,##0_);\(&quot;$&quot;#,##0\)"/>
    <numFmt numFmtId="7" formatCode="&quot;$&quot;#,##0.00_);\(&quot;$&quot;#,##0.00\)"/>
    <numFmt numFmtId="44" formatCode="_(&quot;$&quot;* #,##0.00_);_(&quot;$&quot;* \(#,##0.00\);_(&quot;$&quot;* &quot;-&quot;??_);_(@_)"/>
    <numFmt numFmtId="43" formatCode="_(* #,##0.00_);_(* \(#,##0.00\);_(* &quot;-&quot;??_);_(@_)"/>
    <numFmt numFmtId="164" formatCode="&quot;$&quot;#,##0.00"/>
    <numFmt numFmtId="165" formatCode="0.0%"/>
    <numFmt numFmtId="166" formatCode="#,##0.000_);\(#,##0.000\)"/>
    <numFmt numFmtId="167" formatCode="#,##0.0000_);\(#,##0.0000\)"/>
    <numFmt numFmtId="168" formatCode="&quot;$&quot;#,##0"/>
    <numFmt numFmtId="169" formatCode="0.000"/>
    <numFmt numFmtId="170" formatCode="0.0000"/>
    <numFmt numFmtId="171" formatCode="_(* #,##0_);_(* \(#,##0\);_(* &quot;-&quot;??_);_(@_)"/>
  </numFmts>
  <fonts count="32"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rgb="FF000000"/>
      <name val="Calibri"/>
      <family val="2"/>
    </font>
    <font>
      <sz val="8"/>
      <color rgb="FF000000"/>
      <name val="Segoe UI"/>
      <family val="2"/>
    </font>
    <font>
      <sz val="11"/>
      <color rgb="FF000000"/>
      <name val="Calibri"/>
      <family val="2"/>
    </font>
    <font>
      <u/>
      <sz val="11"/>
      <color theme="10"/>
      <name val="Calibri"/>
      <family val="2"/>
      <scheme val="minor"/>
    </font>
    <font>
      <b/>
      <sz val="14"/>
      <color theme="1"/>
      <name val="Arial"/>
      <family val="2"/>
    </font>
    <font>
      <b/>
      <sz val="12"/>
      <color theme="1"/>
      <name val="Arial"/>
      <family val="2"/>
    </font>
    <font>
      <sz val="10"/>
      <color theme="1"/>
      <name val="Arial"/>
      <family val="2"/>
    </font>
    <font>
      <b/>
      <sz val="10"/>
      <color theme="1"/>
      <name val="Arial"/>
      <family val="2"/>
    </font>
    <font>
      <sz val="10"/>
      <color theme="0" tint="-0.14999847407452621"/>
      <name val="Arial"/>
      <family val="2"/>
    </font>
    <font>
      <b/>
      <sz val="10"/>
      <color theme="0"/>
      <name val="Arial"/>
      <family val="2"/>
    </font>
    <font>
      <sz val="10"/>
      <color rgb="FFFFFFFF"/>
      <name val="Arial"/>
      <family val="2"/>
    </font>
    <font>
      <sz val="10"/>
      <name val="Arial"/>
      <family val="2"/>
    </font>
    <font>
      <sz val="10"/>
      <color rgb="FFFF0000"/>
      <name val="Arial"/>
      <family val="2"/>
    </font>
    <font>
      <b/>
      <sz val="11"/>
      <color theme="0"/>
      <name val="Arial"/>
      <family val="2"/>
    </font>
    <font>
      <sz val="10"/>
      <color rgb="FF000000"/>
      <name val="Arial"/>
      <family val="2"/>
    </font>
    <font>
      <i/>
      <sz val="8"/>
      <color theme="1"/>
      <name val="Arial"/>
      <family val="2"/>
    </font>
    <font>
      <i/>
      <sz val="10"/>
      <color theme="1"/>
      <name val="Arial"/>
      <family val="2"/>
    </font>
    <font>
      <sz val="10"/>
      <color theme="0"/>
      <name val="Arial"/>
      <family val="2"/>
    </font>
    <font>
      <b/>
      <sz val="10"/>
      <name val="Arial"/>
      <family val="2"/>
    </font>
    <font>
      <b/>
      <sz val="12"/>
      <color theme="1"/>
      <name val="Calibri"/>
      <family val="2"/>
      <scheme val="minor"/>
    </font>
    <font>
      <sz val="11"/>
      <color rgb="FF000000"/>
      <name val="Calibri"/>
      <family val="2"/>
      <scheme val="minor"/>
    </font>
    <font>
      <vertAlign val="subscript"/>
      <sz val="12"/>
      <color rgb="FF000000"/>
      <name val="Calibri"/>
      <family val="2"/>
      <scheme val="minor"/>
    </font>
    <font>
      <sz val="12"/>
      <color rgb="FF000000"/>
      <name val="Calibri"/>
      <family val="2"/>
      <scheme val="minor"/>
    </font>
    <font>
      <vertAlign val="subscript"/>
      <sz val="11"/>
      <color theme="1"/>
      <name val="Calibri"/>
      <family val="2"/>
      <scheme val="minor"/>
    </font>
    <font>
      <vertAlign val="subscript"/>
      <sz val="12"/>
      <color theme="1"/>
      <name val="Calibri"/>
      <family val="2"/>
      <scheme val="minor"/>
    </font>
    <font>
      <sz val="12"/>
      <color theme="1"/>
      <name val="Calibri"/>
      <family val="2"/>
      <scheme val="minor"/>
    </font>
    <font>
      <vertAlign val="superscript"/>
      <sz val="12"/>
      <color theme="1"/>
      <name val="Calibri"/>
      <family val="2"/>
      <scheme val="minor"/>
    </font>
    <font>
      <b/>
      <u/>
      <sz val="11"/>
      <color theme="1"/>
      <name val="Calibri"/>
      <family val="2"/>
      <scheme val="minor"/>
    </font>
  </fonts>
  <fills count="18">
    <fill>
      <patternFill patternType="none"/>
    </fill>
    <fill>
      <patternFill patternType="gray125"/>
    </fill>
    <fill>
      <patternFill patternType="solid">
        <fgColor theme="8" tint="0.59999389629810485"/>
        <bgColor indexed="64"/>
      </patternFill>
    </fill>
    <fill>
      <patternFill patternType="solid">
        <fgColor theme="0" tint="-0.14999847407452621"/>
        <bgColor indexed="64"/>
      </patternFill>
    </fill>
    <fill>
      <patternFill patternType="solid">
        <fgColor rgb="FF0070C0"/>
        <bgColor indexed="64"/>
      </patternFill>
    </fill>
    <fill>
      <patternFill patternType="solid">
        <fgColor rgb="FF007BBD"/>
        <bgColor indexed="64"/>
      </patternFill>
    </fill>
    <fill>
      <patternFill patternType="solid">
        <fgColor rgb="FF0070C0"/>
        <bgColor rgb="FF000000"/>
      </patternFill>
    </fill>
    <fill>
      <patternFill patternType="solid">
        <fgColor rgb="FFD3DFEE"/>
        <bgColor indexed="64"/>
      </patternFill>
    </fill>
    <fill>
      <patternFill patternType="solid">
        <fgColor rgb="FFFFFF00"/>
        <bgColor indexed="64"/>
      </patternFill>
    </fill>
    <fill>
      <patternFill patternType="solid">
        <fgColor theme="5"/>
        <bgColor indexed="64"/>
      </patternFill>
    </fill>
    <fill>
      <patternFill patternType="solid">
        <fgColor rgb="FF002060"/>
        <bgColor indexed="64"/>
      </patternFill>
    </fill>
    <fill>
      <patternFill patternType="solid">
        <fgColor theme="9"/>
        <bgColor indexed="64"/>
      </patternFill>
    </fill>
    <fill>
      <patternFill patternType="solid">
        <fgColor rgb="FF9BBB59"/>
        <bgColor indexed="64"/>
      </patternFill>
    </fill>
    <fill>
      <patternFill patternType="solid">
        <fgColor theme="8"/>
        <bgColor indexed="64"/>
      </patternFill>
    </fill>
    <fill>
      <patternFill patternType="solid">
        <fgColor theme="5" tint="0.59999389629810485"/>
        <bgColor indexed="64"/>
      </patternFill>
    </fill>
    <fill>
      <patternFill patternType="solid">
        <fgColor rgb="FFF79646"/>
        <bgColor indexed="64"/>
      </patternFill>
    </fill>
    <fill>
      <patternFill patternType="solid">
        <fgColor rgb="FFFF0000"/>
        <bgColor indexed="64"/>
      </patternFill>
    </fill>
    <fill>
      <patternFill patternType="solid">
        <fgColor theme="9" tint="0.59999389629810485"/>
        <bgColor indexed="64"/>
      </patternFill>
    </fill>
  </fills>
  <borders count="80">
    <border>
      <left/>
      <right/>
      <top/>
      <bottom/>
      <diagonal/>
    </border>
    <border>
      <left/>
      <right/>
      <top/>
      <bottom style="thin">
        <color auto="1"/>
      </bottom>
      <diagonal/>
    </border>
    <border>
      <left/>
      <right/>
      <top style="thin">
        <color auto="1"/>
      </top>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auto="1"/>
      </bottom>
      <diagonal/>
    </border>
    <border>
      <left style="hair">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hair">
        <color theme="0" tint="-0.499984740745262"/>
      </left>
      <right/>
      <top/>
      <bottom/>
      <diagonal/>
    </border>
    <border>
      <left/>
      <right style="hair">
        <color auto="1"/>
      </right>
      <top/>
      <bottom/>
      <diagonal/>
    </border>
    <border>
      <left style="medium">
        <color theme="0" tint="-0.24994659260841701"/>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hair">
        <color theme="0" tint="-0.24994659260841701"/>
      </right>
      <top/>
      <bottom/>
      <diagonal/>
    </border>
    <border>
      <left style="medium">
        <color rgb="FF4F81BD"/>
      </left>
      <right/>
      <top style="medium">
        <color rgb="FF4F81BD"/>
      </top>
      <bottom style="medium">
        <color rgb="FF4F81BD"/>
      </bottom>
      <diagonal/>
    </border>
    <border>
      <left/>
      <right style="medium">
        <color rgb="FF4F81BD"/>
      </right>
      <top style="medium">
        <color rgb="FF4F81BD"/>
      </top>
      <bottom style="medium">
        <color rgb="FF4F81BD"/>
      </bottom>
      <diagonal/>
    </border>
    <border>
      <left style="medium">
        <color rgb="FF4F81BD"/>
      </left>
      <right style="medium">
        <color rgb="FF4F81BD"/>
      </right>
      <top style="medium">
        <color rgb="FF4F81BD"/>
      </top>
      <bottom style="medium">
        <color rgb="FF4F81BD"/>
      </bottom>
      <diagonal/>
    </border>
    <border>
      <left style="medium">
        <color rgb="FF4F81BD"/>
      </left>
      <right style="medium">
        <color rgb="FF4F81BD"/>
      </right>
      <top style="medium">
        <color rgb="FF4F81BD"/>
      </top>
      <bottom/>
      <diagonal/>
    </border>
    <border>
      <left style="medium">
        <color rgb="FF4F81BD"/>
      </left>
      <right/>
      <top style="medium">
        <color rgb="FF4F81BD"/>
      </top>
      <bottom/>
      <diagonal/>
    </border>
    <border>
      <left style="medium">
        <color rgb="FF4F81BD"/>
      </left>
      <right style="medium">
        <color rgb="FF4F81BD"/>
      </right>
      <top/>
      <bottom/>
      <diagonal/>
    </border>
    <border>
      <left style="medium">
        <color rgb="FF4F81BD"/>
      </left>
      <right style="medium">
        <color rgb="FF4F81BD"/>
      </right>
      <top/>
      <bottom style="medium">
        <color rgb="FF4F81BD"/>
      </bottom>
      <diagonal/>
    </border>
    <border>
      <left style="medium">
        <color rgb="FF4F81BD"/>
      </left>
      <right/>
      <top style="medium">
        <color rgb="FF4F81BD"/>
      </top>
      <bottom style="thick">
        <color rgb="FF4F81BD"/>
      </bottom>
      <diagonal/>
    </border>
    <border>
      <left style="medium">
        <color rgb="FF4F81BD"/>
      </left>
      <right style="medium">
        <color rgb="FF4F81BD"/>
      </right>
      <top style="medium">
        <color rgb="FF4F81BD"/>
      </top>
      <bottom style="thick">
        <color rgb="FF4F81BD"/>
      </bottom>
      <diagonal/>
    </border>
    <border>
      <left/>
      <right/>
      <top style="medium">
        <color rgb="FF4F81BD"/>
      </top>
      <bottom style="medium">
        <color rgb="FF4F81BD"/>
      </bottom>
      <diagonal/>
    </border>
    <border>
      <left style="medium">
        <color theme="0" tint="-0.24994659260841701"/>
      </left>
      <right/>
      <top style="medium">
        <color theme="0" tint="-0.24994659260841701"/>
      </top>
      <bottom style="thin">
        <color auto="1"/>
      </bottom>
      <diagonal/>
    </border>
    <border>
      <left/>
      <right/>
      <top style="medium">
        <color theme="0" tint="-0.24994659260841701"/>
      </top>
      <bottom style="thin">
        <color auto="1"/>
      </bottom>
      <diagonal/>
    </border>
    <border>
      <left/>
      <right style="medium">
        <color theme="0" tint="-0.24994659260841701"/>
      </right>
      <top style="medium">
        <color theme="0" tint="-0.24994659260841701"/>
      </top>
      <bottom style="thin">
        <color auto="1"/>
      </bottom>
      <diagonal/>
    </border>
    <border>
      <left style="medium">
        <color theme="0" tint="-0.24994659260841701"/>
      </left>
      <right/>
      <top style="thin">
        <color auto="1"/>
      </top>
      <bottom style="thin">
        <color theme="0" tint="-0.14996795556505021"/>
      </bottom>
      <diagonal/>
    </border>
    <border>
      <left/>
      <right/>
      <top style="thin">
        <color auto="1"/>
      </top>
      <bottom style="thin">
        <color theme="0" tint="-0.14996795556505021"/>
      </bottom>
      <diagonal/>
    </border>
    <border>
      <left/>
      <right style="medium">
        <color theme="0" tint="-0.24994659260841701"/>
      </right>
      <top style="thin">
        <color auto="1"/>
      </top>
      <bottom style="thin">
        <color theme="0"/>
      </bottom>
      <diagonal/>
    </border>
    <border>
      <left style="medium">
        <color theme="0" tint="-0.2499465926084170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medium">
        <color theme="0" tint="-0.24994659260841701"/>
      </right>
      <top style="thin">
        <color theme="0"/>
      </top>
      <bottom style="thin">
        <color theme="0"/>
      </bottom>
      <diagonal/>
    </border>
    <border>
      <left style="medium">
        <color rgb="FFBFBFBF"/>
      </left>
      <right/>
      <top style="thin">
        <color theme="0" tint="-0.14996795556505021"/>
      </top>
      <bottom style="thin">
        <color theme="0" tint="-0.14996795556505021"/>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style="thin">
        <color theme="0"/>
      </top>
      <bottom style="medium">
        <color theme="0" tint="-0.24994659260841701"/>
      </bottom>
      <diagonal/>
    </border>
    <border>
      <left/>
      <right/>
      <top style="thin">
        <color auto="1"/>
      </top>
      <bottom style="thin">
        <color auto="1"/>
      </bottom>
      <diagonal/>
    </border>
    <border>
      <left/>
      <right style="medium">
        <color theme="0" tint="-0.24994659260841701"/>
      </right>
      <top/>
      <bottom/>
      <diagonal/>
    </border>
    <border>
      <left style="medium">
        <color theme="0" tint="-0.24994659260841701"/>
      </left>
      <right style="medium">
        <color theme="0" tint="-0.24994659260841701"/>
      </right>
      <top style="thin">
        <color auto="1"/>
      </top>
      <bottom/>
      <diagonal/>
    </border>
    <border>
      <left style="medium">
        <color theme="0" tint="-0.24994659260841701"/>
      </left>
      <right style="medium">
        <color theme="0" tint="-0.24994659260841701"/>
      </right>
      <top/>
      <bottom/>
      <diagonal/>
    </border>
    <border>
      <left/>
      <right/>
      <top style="medium">
        <color theme="0" tint="-0.24994659260841701"/>
      </top>
      <bottom/>
      <diagonal/>
    </border>
    <border>
      <left/>
      <right style="hair">
        <color theme="0" tint="-0.499984740745262"/>
      </right>
      <top style="medium">
        <color theme="0" tint="-0.24994659260841701"/>
      </top>
      <bottom/>
      <diagonal/>
    </border>
    <border>
      <left style="medium">
        <color theme="0" tint="-0.24994659260841701"/>
      </left>
      <right style="medium">
        <color theme="0" tint="-0.24994659260841701"/>
      </right>
      <top/>
      <bottom style="thin">
        <color auto="1"/>
      </bottom>
      <diagonal/>
    </border>
    <border>
      <left/>
      <right style="thin">
        <color theme="0"/>
      </right>
      <top style="thin">
        <color auto="1"/>
      </top>
      <bottom/>
      <diagonal/>
    </border>
    <border>
      <left style="thin">
        <color theme="0"/>
      </left>
      <right style="thin">
        <color theme="0"/>
      </right>
      <top style="thin">
        <color auto="1"/>
      </top>
      <bottom/>
      <diagonal/>
    </border>
    <border>
      <left style="thin">
        <color theme="0"/>
      </left>
      <right/>
      <top style="thin">
        <color auto="1"/>
      </top>
      <bottom/>
      <diagonal/>
    </border>
    <border>
      <left style="thin">
        <color theme="0"/>
      </left>
      <right style="hair">
        <color theme="0" tint="-0.499984740745262"/>
      </right>
      <top style="thin">
        <color auto="1"/>
      </top>
      <bottom/>
      <diagonal/>
    </border>
    <border>
      <left/>
      <right/>
      <top style="thin">
        <color auto="1"/>
      </top>
      <bottom style="thin">
        <color theme="0"/>
      </bottom>
      <diagonal/>
    </border>
    <border>
      <left/>
      <right style="thin">
        <color theme="0"/>
      </right>
      <top/>
      <bottom style="medium">
        <color theme="0" tint="-0.24994659260841701"/>
      </bottom>
      <diagonal/>
    </border>
    <border>
      <left style="thin">
        <color theme="0"/>
      </left>
      <right style="hair">
        <color theme="0" tint="-0.499984740745262"/>
      </right>
      <top/>
      <bottom style="medium">
        <color theme="0" tint="-0.24994659260841701"/>
      </bottom>
      <diagonal/>
    </border>
    <border>
      <left/>
      <right/>
      <top/>
      <bottom style="thin">
        <color theme="0"/>
      </bottom>
      <diagonal/>
    </border>
    <border>
      <left/>
      <right/>
      <top style="thin">
        <color theme="0"/>
      </top>
      <bottom style="thin">
        <color theme="0"/>
      </bottom>
      <diagonal/>
    </border>
    <border>
      <left/>
      <right style="thin">
        <color theme="0"/>
      </right>
      <top style="medium">
        <color theme="0" tint="-0.24994659260841701"/>
      </top>
      <bottom/>
      <diagonal/>
    </border>
    <border>
      <left style="thin">
        <color theme="0"/>
      </left>
      <right style="hair">
        <color theme="0" tint="-0.499984740745262"/>
      </right>
      <top style="medium">
        <color theme="0" tint="-0.24994659260841701"/>
      </top>
      <bottom/>
      <diagonal/>
    </border>
    <border>
      <left/>
      <right/>
      <top style="thin">
        <color theme="0"/>
      </top>
      <bottom style="medium">
        <color theme="0" tint="-0.24994659260841701"/>
      </bottom>
      <diagonal/>
    </border>
    <border>
      <left style="hair">
        <color theme="0" tint="-0.24994659260841701"/>
      </left>
      <right/>
      <top/>
      <bottom/>
      <diagonal/>
    </border>
    <border>
      <left/>
      <right/>
      <top style="hair">
        <color theme="0" tint="-0.24994659260841701"/>
      </top>
      <bottom/>
      <diagonal/>
    </border>
    <border>
      <left style="hair">
        <color theme="0" tint="-0.24994659260841701"/>
      </left>
      <right/>
      <top style="hair">
        <color theme="0" tint="-0.24994659260841701"/>
      </top>
      <bottom/>
      <diagonal/>
    </border>
    <border>
      <left/>
      <right/>
      <top style="thin">
        <color theme="0" tint="-0.14996795556505021"/>
      </top>
      <bottom/>
      <diagonal/>
    </border>
    <border>
      <left/>
      <right/>
      <top style="thick">
        <color theme="0"/>
      </top>
      <bottom style="thin">
        <color theme="0"/>
      </bottom>
      <diagonal/>
    </border>
    <border>
      <left/>
      <right/>
      <top/>
      <bottom style="thin">
        <color theme="0" tint="-0.14996795556505021"/>
      </bottom>
      <diagonal/>
    </border>
    <border>
      <left/>
      <right/>
      <top style="thin">
        <color theme="0"/>
      </top>
      <bottom/>
      <diagonal/>
    </border>
    <border>
      <left/>
      <right/>
      <top style="thin">
        <color theme="0"/>
      </top>
      <bottom style="thick">
        <color theme="0"/>
      </bottom>
      <diagonal/>
    </border>
    <border>
      <left/>
      <right/>
      <top style="thin">
        <color theme="0" tint="-0.14996795556505021"/>
      </top>
      <bottom style="thin">
        <color theme="0"/>
      </bottom>
      <diagonal/>
    </border>
    <border>
      <left/>
      <right/>
      <top style="thin">
        <color theme="0"/>
      </top>
      <bottom style="thin">
        <color theme="0" tint="-0.14996795556505021"/>
      </bottom>
      <diagonal/>
    </border>
    <border>
      <left/>
      <right/>
      <top/>
      <bottom style="mediumDashed">
        <color theme="0" tint="-0.24994659260841701"/>
      </bottom>
      <diagonal/>
    </border>
    <border>
      <left/>
      <right/>
      <top style="mediumDashed">
        <color theme="0" tint="-0.24994659260841701"/>
      </top>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hair">
        <color theme="0" tint="-0.24994659260841701"/>
      </left>
      <right/>
      <top/>
      <bottom style="hair">
        <color theme="0" tint="-0.24994659260841701"/>
      </bottom>
      <diagonal/>
    </border>
    <border>
      <left/>
      <right/>
      <top/>
      <bottom style="hair">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theme="0" tint="-0.24994659260841701"/>
      </left>
      <right/>
      <top style="thin">
        <color theme="0" tint="-0.14996795556505021"/>
      </top>
      <bottom style="medium">
        <color theme="0" tint="-0.24994659260841701"/>
      </bottom>
      <diagonal/>
    </border>
    <border>
      <left/>
      <right/>
      <top style="thin">
        <color theme="0" tint="-0.14996795556505021"/>
      </top>
      <bottom style="medium">
        <color theme="0" tint="-0.2499465926084170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43" fontId="1" fillId="0" borderId="0" applyFont="0" applyFill="0" applyBorder="0" applyAlignment="0" applyProtection="0"/>
  </cellStyleXfs>
  <cellXfs count="274">
    <xf numFmtId="0" fontId="0" fillId="0" borderId="0" xfId="0"/>
    <xf numFmtId="0" fontId="8" fillId="0" borderId="1" xfId="0" applyFont="1" applyBorder="1"/>
    <xf numFmtId="0" fontId="9" fillId="0" borderId="0" xfId="0" applyFont="1"/>
    <xf numFmtId="0" fontId="10" fillId="0" borderId="0" xfId="0" applyFont="1"/>
    <xf numFmtId="0" fontId="7" fillId="0" borderId="0" xfId="3"/>
    <xf numFmtId="0" fontId="10" fillId="0" borderId="2" xfId="0" applyFont="1" applyBorder="1"/>
    <xf numFmtId="0" fontId="10" fillId="2" borderId="3" xfId="0" applyFont="1" applyFill="1" applyBorder="1" applyAlignment="1">
      <alignment horizontal="center"/>
    </xf>
    <xf numFmtId="0" fontId="11" fillId="0" borderId="0" xfId="0" applyFont="1"/>
    <xf numFmtId="0" fontId="10" fillId="3" borderId="4" xfId="0" applyFont="1" applyFill="1" applyBorder="1" applyAlignment="1">
      <alignment horizontal="center"/>
    </xf>
    <xf numFmtId="0" fontId="10" fillId="0" borderId="0" xfId="0" applyFont="1" applyAlignment="1">
      <alignment wrapText="1"/>
    </xf>
    <xf numFmtId="0" fontId="12" fillId="0" borderId="0" xfId="0" applyFont="1" applyAlignment="1">
      <alignment wrapText="1"/>
    </xf>
    <xf numFmtId="0" fontId="10" fillId="0" borderId="8" xfId="0" applyFont="1" applyBorder="1"/>
    <xf numFmtId="0" fontId="10" fillId="0" borderId="9" xfId="0" applyFont="1" applyBorder="1"/>
    <xf numFmtId="0" fontId="10" fillId="0" borderId="10" xfId="0" applyFont="1" applyBorder="1"/>
    <xf numFmtId="0" fontId="10" fillId="0" borderId="11" xfId="0" applyFont="1" applyBorder="1"/>
    <xf numFmtId="0" fontId="14" fillId="6" borderId="10" xfId="0" applyFont="1" applyFill="1" applyBorder="1" applyAlignment="1">
      <alignment horizontal="center"/>
    </xf>
    <xf numFmtId="0" fontId="14" fillId="6" borderId="12" xfId="0" applyFont="1" applyFill="1" applyBorder="1" applyAlignment="1">
      <alignment horizontal="center"/>
    </xf>
    <xf numFmtId="0" fontId="14" fillId="6" borderId="11" xfId="0" applyFont="1" applyFill="1" applyBorder="1" applyAlignment="1">
      <alignment horizontal="center"/>
    </xf>
    <xf numFmtId="0" fontId="10" fillId="0" borderId="0" xfId="0" applyFont="1" applyAlignment="1">
      <alignment horizontal="center"/>
    </xf>
    <xf numFmtId="164" fontId="10" fillId="0" borderId="0" xfId="0" applyNumberFormat="1" applyFont="1"/>
    <xf numFmtId="0" fontId="10" fillId="0" borderId="13" xfId="0" applyFont="1" applyBorder="1"/>
    <xf numFmtId="0" fontId="11" fillId="3" borderId="10" xfId="0" applyFont="1" applyFill="1" applyBorder="1" applyAlignment="1">
      <alignment horizontal="left"/>
    </xf>
    <xf numFmtId="0" fontId="11" fillId="3" borderId="12" xfId="0" applyFont="1" applyFill="1" applyBorder="1" applyAlignment="1">
      <alignment horizontal="center"/>
    </xf>
    <xf numFmtId="0" fontId="11" fillId="3" borderId="11" xfId="0" applyFont="1" applyFill="1" applyBorder="1" applyAlignment="1">
      <alignment horizontal="center"/>
    </xf>
    <xf numFmtId="0" fontId="10" fillId="0" borderId="14"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6" xfId="0" applyFont="1" applyBorder="1" applyAlignment="1">
      <alignment horizontal="center" vertical="center" wrapText="1"/>
    </xf>
    <xf numFmtId="0" fontId="15" fillId="7" borderId="17" xfId="0" applyFont="1" applyFill="1" applyBorder="1" applyAlignment="1">
      <alignment horizontal="center" vertical="center" wrapText="1"/>
    </xf>
    <xf numFmtId="3" fontId="15" fillId="7" borderId="18" xfId="0" applyNumberFormat="1" applyFont="1" applyFill="1" applyBorder="1" applyAlignment="1">
      <alignment horizontal="center" vertical="center" wrapText="1"/>
    </xf>
    <xf numFmtId="3" fontId="15" fillId="7" borderId="18" xfId="1" applyNumberFormat="1" applyFont="1" applyFill="1" applyBorder="1" applyAlignment="1">
      <alignment horizontal="center" vertical="center" wrapText="1"/>
    </xf>
    <xf numFmtId="9" fontId="15" fillId="7" borderId="18" xfId="2" applyFont="1" applyFill="1" applyBorder="1" applyAlignment="1">
      <alignment horizontal="center" vertical="center" wrapText="1"/>
    </xf>
    <xf numFmtId="2" fontId="15" fillId="7" borderId="18" xfId="2" applyNumberFormat="1" applyFont="1" applyFill="1" applyBorder="1" applyAlignment="1">
      <alignment horizontal="center" vertical="center" wrapText="1"/>
    </xf>
    <xf numFmtId="3" fontId="15" fillId="7" borderId="18" xfId="2" applyNumberFormat="1" applyFont="1" applyFill="1" applyBorder="1" applyAlignment="1">
      <alignment horizontal="center" vertical="center" wrapText="1"/>
    </xf>
    <xf numFmtId="9" fontId="15" fillId="7" borderId="17" xfId="2" applyFont="1" applyFill="1" applyBorder="1" applyAlignment="1">
      <alignment horizontal="center" vertical="center" wrapText="1"/>
    </xf>
    <xf numFmtId="2" fontId="10" fillId="0" borderId="0" xfId="0" applyNumberFormat="1" applyFont="1"/>
    <xf numFmtId="0" fontId="15" fillId="7" borderId="19" xfId="0" applyFont="1" applyFill="1" applyBorder="1" applyAlignment="1">
      <alignment horizontal="center" vertical="center" wrapText="1"/>
    </xf>
    <xf numFmtId="3" fontId="15" fillId="0" borderId="18" xfId="0" applyNumberFormat="1" applyFont="1" applyBorder="1" applyAlignment="1">
      <alignment horizontal="center" vertical="center" wrapText="1"/>
    </xf>
    <xf numFmtId="3" fontId="15" fillId="0" borderId="18" xfId="1" applyNumberFormat="1" applyFont="1" applyBorder="1" applyAlignment="1">
      <alignment horizontal="center" vertical="center" wrapText="1"/>
    </xf>
    <xf numFmtId="9" fontId="15" fillId="0" borderId="18" xfId="2" applyFont="1" applyBorder="1" applyAlignment="1">
      <alignment horizontal="center" vertical="center" wrapText="1"/>
    </xf>
    <xf numFmtId="2" fontId="15" fillId="0" borderId="18" xfId="2" applyNumberFormat="1" applyFont="1" applyBorder="1" applyAlignment="1">
      <alignment horizontal="center" vertical="center" wrapText="1"/>
    </xf>
    <xf numFmtId="3" fontId="15" fillId="0" borderId="18" xfId="2" applyNumberFormat="1" applyFont="1" applyBorder="1" applyAlignment="1">
      <alignment horizontal="center" vertical="center" wrapText="1"/>
    </xf>
    <xf numFmtId="9" fontId="15" fillId="0" borderId="17" xfId="2" applyFont="1" applyBorder="1" applyAlignment="1">
      <alignment horizontal="center" vertical="center" wrapText="1"/>
    </xf>
    <xf numFmtId="0" fontId="15" fillId="7" borderId="20" xfId="0" applyFont="1" applyFill="1" applyBorder="1" applyAlignment="1">
      <alignment horizontal="center" vertical="center" wrapText="1"/>
    </xf>
    <xf numFmtId="3" fontId="15" fillId="7" borderId="21" xfId="0" applyNumberFormat="1" applyFont="1" applyFill="1" applyBorder="1" applyAlignment="1">
      <alignment horizontal="center" vertical="center" wrapText="1"/>
    </xf>
    <xf numFmtId="3" fontId="15" fillId="7" borderId="21" xfId="1" applyNumberFormat="1" applyFont="1" applyFill="1" applyBorder="1" applyAlignment="1">
      <alignment horizontal="center" vertical="center" wrapText="1"/>
    </xf>
    <xf numFmtId="9" fontId="15" fillId="7" borderId="21" xfId="2" applyFont="1" applyFill="1" applyBorder="1" applyAlignment="1">
      <alignment horizontal="center" vertical="center" wrapText="1"/>
    </xf>
    <xf numFmtId="2" fontId="15" fillId="7" borderId="21" xfId="2" applyNumberFormat="1" applyFont="1" applyFill="1" applyBorder="1" applyAlignment="1">
      <alignment horizontal="center" vertical="center" wrapText="1"/>
    </xf>
    <xf numFmtId="3" fontId="15" fillId="7" borderId="21" xfId="2" applyNumberFormat="1" applyFont="1" applyFill="1" applyBorder="1" applyAlignment="1">
      <alignment horizontal="center" vertical="center" wrapText="1"/>
    </xf>
    <xf numFmtId="9" fontId="15" fillId="7" borderId="22" xfId="2" applyFont="1" applyFill="1" applyBorder="1" applyAlignment="1">
      <alignment horizontal="center" vertical="center" wrapText="1"/>
    </xf>
    <xf numFmtId="3" fontId="15" fillId="8" borderId="18" xfId="0" applyNumberFormat="1" applyFont="1" applyFill="1" applyBorder="1" applyAlignment="1">
      <alignment horizontal="center" vertical="center" wrapText="1"/>
    </xf>
    <xf numFmtId="3" fontId="15" fillId="8" borderId="18" xfId="1" applyNumberFormat="1" applyFont="1" applyFill="1" applyBorder="1" applyAlignment="1">
      <alignment horizontal="center" vertical="center" wrapText="1"/>
    </xf>
    <xf numFmtId="9" fontId="15" fillId="8" borderId="18" xfId="2" applyFont="1" applyFill="1" applyBorder="1" applyAlignment="1">
      <alignment horizontal="center" vertical="center" wrapText="1"/>
    </xf>
    <xf numFmtId="2" fontId="15" fillId="8" borderId="18" xfId="2" applyNumberFormat="1" applyFont="1" applyFill="1" applyBorder="1" applyAlignment="1">
      <alignment horizontal="center" vertical="center" wrapText="1"/>
    </xf>
    <xf numFmtId="3" fontId="15" fillId="8" borderId="18" xfId="2" applyNumberFormat="1" applyFont="1" applyFill="1" applyBorder="1" applyAlignment="1">
      <alignment horizontal="center" vertical="center" wrapText="1"/>
    </xf>
    <xf numFmtId="9" fontId="15" fillId="8" borderId="17" xfId="2" applyFont="1" applyFill="1" applyBorder="1" applyAlignment="1">
      <alignment horizontal="center" vertical="center" wrapText="1"/>
    </xf>
    <xf numFmtId="164" fontId="10" fillId="0" borderId="9" xfId="0" applyNumberFormat="1" applyFont="1" applyBorder="1"/>
    <xf numFmtId="0" fontId="10" fillId="7" borderId="14" xfId="0" applyFont="1" applyFill="1" applyBorder="1" applyAlignment="1">
      <alignment horizontal="center" vertical="center" wrapText="1"/>
    </xf>
    <xf numFmtId="0" fontId="16" fillId="7" borderId="23" xfId="0" applyFont="1" applyFill="1" applyBorder="1" applyAlignment="1">
      <alignment vertical="center" wrapText="1"/>
    </xf>
    <xf numFmtId="0" fontId="16" fillId="7" borderId="23" xfId="0" applyFont="1" applyFill="1" applyBorder="1" applyAlignment="1">
      <alignment horizontal="center" vertical="center" wrapText="1"/>
    </xf>
    <xf numFmtId="3" fontId="15" fillId="7" borderId="14" xfId="0" applyNumberFormat="1" applyFont="1" applyFill="1" applyBorder="1" applyAlignment="1">
      <alignment horizontal="center" vertical="center" wrapText="1"/>
    </xf>
    <xf numFmtId="3" fontId="15" fillId="7" borderId="16" xfId="0" applyNumberFormat="1" applyFont="1" applyFill="1" applyBorder="1" applyAlignment="1">
      <alignment horizontal="center" vertical="center" wrapText="1"/>
    </xf>
    <xf numFmtId="0" fontId="0" fillId="0" borderId="0" xfId="0" applyAlignment="1">
      <alignment horizontal="center" vertical="center" textRotation="90"/>
    </xf>
    <xf numFmtId="3" fontId="0" fillId="0" borderId="0" xfId="0" applyNumberFormat="1"/>
    <xf numFmtId="165" fontId="10" fillId="2" borderId="29" xfId="0" applyNumberFormat="1" applyFont="1" applyFill="1" applyBorder="1"/>
    <xf numFmtId="37" fontId="10" fillId="3" borderId="32" xfId="0" applyNumberFormat="1" applyFont="1" applyFill="1" applyBorder="1" applyAlignment="1">
      <alignment horizontal="right"/>
    </xf>
    <xf numFmtId="165" fontId="10" fillId="2" borderId="32" xfId="0" applyNumberFormat="1" applyFont="1" applyFill="1" applyBorder="1"/>
    <xf numFmtId="165" fontId="10" fillId="3" borderId="32" xfId="0" applyNumberFormat="1" applyFont="1" applyFill="1" applyBorder="1"/>
    <xf numFmtId="37" fontId="10" fillId="2" borderId="32" xfId="0" applyNumberFormat="1" applyFont="1" applyFill="1" applyBorder="1" applyAlignment="1">
      <alignment horizontal="right"/>
    </xf>
    <xf numFmtId="166" fontId="10" fillId="3" borderId="32" xfId="0" applyNumberFormat="1" applyFont="1" applyFill="1" applyBorder="1"/>
    <xf numFmtId="165" fontId="10" fillId="0" borderId="0" xfId="0" applyNumberFormat="1" applyFont="1"/>
    <xf numFmtId="165" fontId="10" fillId="0" borderId="13" xfId="2" applyNumberFormat="1" applyFont="1" applyBorder="1"/>
    <xf numFmtId="165" fontId="10" fillId="3" borderId="36" xfId="0" applyNumberFormat="1" applyFont="1" applyFill="1" applyBorder="1"/>
    <xf numFmtId="0" fontId="19" fillId="0" borderId="0" xfId="0" applyFont="1"/>
    <xf numFmtId="0" fontId="11" fillId="2" borderId="37" xfId="0" applyFont="1" applyFill="1" applyBorder="1" applyAlignment="1">
      <alignment horizontal="center"/>
    </xf>
    <xf numFmtId="165" fontId="10" fillId="0" borderId="37" xfId="0" applyNumberFormat="1" applyFont="1" applyBorder="1"/>
    <xf numFmtId="0" fontId="10" fillId="0" borderId="37" xfId="0" applyFont="1" applyBorder="1"/>
    <xf numFmtId="0" fontId="10" fillId="0" borderId="38" xfId="0" applyFont="1" applyBorder="1" applyAlignment="1">
      <alignment horizontal="center"/>
    </xf>
    <xf numFmtId="0" fontId="20" fillId="0" borderId="41" xfId="0" applyFont="1" applyBorder="1" applyAlignment="1">
      <alignment horizontal="center"/>
    </xf>
    <xf numFmtId="0" fontId="10" fillId="0" borderId="41" xfId="0" applyFont="1" applyBorder="1" applyAlignment="1">
      <alignment horizontal="center"/>
    </xf>
    <xf numFmtId="0" fontId="10" fillId="0" borderId="42" xfId="0" applyFont="1" applyBorder="1" applyAlignment="1">
      <alignment horizontal="center"/>
    </xf>
    <xf numFmtId="0" fontId="10" fillId="0" borderId="2" xfId="0" applyFont="1" applyBorder="1" applyAlignment="1">
      <alignment horizontal="center"/>
    </xf>
    <xf numFmtId="167" fontId="10" fillId="2" borderId="44" xfId="0" applyNumberFormat="1" applyFont="1" applyFill="1" applyBorder="1"/>
    <xf numFmtId="167" fontId="10" fillId="2" borderId="45" xfId="0" applyNumberFormat="1" applyFont="1" applyFill="1" applyBorder="1"/>
    <xf numFmtId="167" fontId="10" fillId="2" borderId="46" xfId="0" applyNumberFormat="1" applyFont="1" applyFill="1" applyBorder="1"/>
    <xf numFmtId="167" fontId="10" fillId="2" borderId="47" xfId="0" applyNumberFormat="1" applyFont="1" applyFill="1" applyBorder="1"/>
    <xf numFmtId="37" fontId="10" fillId="0" borderId="2" xfId="0" applyNumberFormat="1" applyFont="1" applyBorder="1" applyAlignment="1">
      <alignment horizontal="center"/>
    </xf>
    <xf numFmtId="9" fontId="10" fillId="2" borderId="48" xfId="0" applyNumberFormat="1" applyFont="1" applyFill="1" applyBorder="1"/>
    <xf numFmtId="166" fontId="10" fillId="3" borderId="48" xfId="0" applyNumberFormat="1" applyFont="1" applyFill="1" applyBorder="1"/>
    <xf numFmtId="0" fontId="10" fillId="0" borderId="35" xfId="0" applyFont="1" applyBorder="1" applyAlignment="1">
      <alignment horizontal="center"/>
    </xf>
    <xf numFmtId="167" fontId="10" fillId="2" borderId="49" xfId="0" applyNumberFormat="1" applyFont="1" applyFill="1" applyBorder="1"/>
    <xf numFmtId="167" fontId="10" fillId="2" borderId="35" xfId="0" applyNumberFormat="1" applyFont="1" applyFill="1" applyBorder="1"/>
    <xf numFmtId="167" fontId="10" fillId="2" borderId="50" xfId="0" applyNumberFormat="1" applyFont="1" applyFill="1" applyBorder="1"/>
    <xf numFmtId="37" fontId="10" fillId="0" borderId="51" xfId="0" applyNumberFormat="1" applyFont="1" applyBorder="1" applyAlignment="1">
      <alignment horizontal="center"/>
    </xf>
    <xf numFmtId="9" fontId="10" fillId="2" borderId="52" xfId="0" applyNumberFormat="1" applyFont="1" applyFill="1" applyBorder="1"/>
    <xf numFmtId="166" fontId="10" fillId="3" borderId="52" xfId="0" applyNumberFormat="1" applyFont="1" applyFill="1" applyBorder="1"/>
    <xf numFmtId="0" fontId="10" fillId="0" borderId="41" xfId="0" applyFont="1" applyBorder="1" applyAlignment="1">
      <alignment horizontal="center" vertical="center" wrapText="1"/>
    </xf>
    <xf numFmtId="167" fontId="10" fillId="3" borderId="53" xfId="0" applyNumberFormat="1" applyFont="1" applyFill="1" applyBorder="1"/>
    <xf numFmtId="167" fontId="10" fillId="3" borderId="41" xfId="0" applyNumberFormat="1" applyFont="1" applyFill="1" applyBorder="1"/>
    <xf numFmtId="167" fontId="10" fillId="3" borderId="54" xfId="0" applyNumberFormat="1" applyFont="1" applyFill="1" applyBorder="1"/>
    <xf numFmtId="37" fontId="10" fillId="0" borderId="55" xfId="0" applyNumberFormat="1" applyFont="1" applyBorder="1" applyAlignment="1">
      <alignment horizontal="center"/>
    </xf>
    <xf numFmtId="9" fontId="10" fillId="2" borderId="55" xfId="0" applyNumberFormat="1" applyFont="1" applyFill="1" applyBorder="1"/>
    <xf numFmtId="166" fontId="10" fillId="3" borderId="55" xfId="0" applyNumberFormat="1" applyFont="1" applyFill="1" applyBorder="1"/>
    <xf numFmtId="0" fontId="10" fillId="0" borderId="35" xfId="0" applyFont="1" applyBorder="1" applyAlignment="1">
      <alignment horizontal="center" vertical="center" wrapText="1"/>
    </xf>
    <xf numFmtId="167" fontId="10" fillId="3" borderId="49" xfId="0" applyNumberFormat="1" applyFont="1" applyFill="1" applyBorder="1" applyAlignment="1">
      <alignment horizontal="center" vertical="center"/>
    </xf>
    <xf numFmtId="167" fontId="10" fillId="3" borderId="35" xfId="0" applyNumberFormat="1" applyFont="1" applyFill="1" applyBorder="1" applyAlignment="1">
      <alignment horizontal="center" vertical="center"/>
    </xf>
    <xf numFmtId="167" fontId="10" fillId="3" borderId="50" xfId="0" applyNumberFormat="1" applyFont="1" applyFill="1" applyBorder="1" applyAlignment="1">
      <alignment horizontal="center" vertical="center"/>
    </xf>
    <xf numFmtId="0" fontId="10" fillId="0" borderId="56" xfId="0" applyFont="1" applyBorder="1"/>
    <xf numFmtId="0" fontId="11" fillId="0" borderId="0" xfId="0" applyFont="1" applyAlignment="1">
      <alignment horizontal="center" vertical="top"/>
    </xf>
    <xf numFmtId="0" fontId="11" fillId="0" borderId="57" xfId="0" applyFont="1" applyBorder="1" applyAlignment="1">
      <alignment horizontal="center" vertical="top"/>
    </xf>
    <xf numFmtId="165" fontId="11" fillId="0" borderId="0" xfId="2" applyNumberFormat="1" applyFont="1"/>
    <xf numFmtId="165" fontId="10" fillId="3" borderId="0" xfId="2" applyNumberFormat="1" applyFont="1" applyFill="1"/>
    <xf numFmtId="2" fontId="11" fillId="0" borderId="0" xfId="0" applyNumberFormat="1" applyFont="1"/>
    <xf numFmtId="0" fontId="13" fillId="10" borderId="0" xfId="0" applyFont="1" applyFill="1" applyAlignment="1">
      <alignment horizontal="center" vertical="center" wrapText="1"/>
    </xf>
    <xf numFmtId="0" fontId="10" fillId="0" borderId="58" xfId="0" applyFont="1" applyBorder="1"/>
    <xf numFmtId="0" fontId="10" fillId="0" borderId="57" xfId="0" applyFont="1" applyBorder="1"/>
    <xf numFmtId="0" fontId="12" fillId="0" borderId="0" xfId="0" applyFont="1"/>
    <xf numFmtId="0" fontId="13" fillId="4" borderId="0" xfId="0" applyFont="1" applyFill="1" applyAlignment="1">
      <alignment horizontal="left"/>
    </xf>
    <xf numFmtId="0" fontId="13" fillId="4" borderId="0" xfId="0" applyFont="1" applyFill="1" applyAlignment="1">
      <alignment horizontal="center"/>
    </xf>
    <xf numFmtId="0" fontId="21" fillId="4" borderId="0" xfId="0" applyFont="1" applyFill="1" applyAlignment="1">
      <alignment horizontal="center"/>
    </xf>
    <xf numFmtId="0" fontId="11" fillId="0" borderId="59" xfId="0" applyFont="1" applyBorder="1"/>
    <xf numFmtId="9" fontId="10" fillId="2" borderId="60" xfId="0" applyNumberFormat="1" applyFont="1" applyFill="1" applyBorder="1"/>
    <xf numFmtId="0" fontId="11" fillId="0" borderId="61" xfId="0" applyFont="1" applyBorder="1"/>
    <xf numFmtId="9" fontId="10" fillId="2" borderId="62" xfId="0" applyNumberFormat="1" applyFont="1" applyFill="1" applyBorder="1"/>
    <xf numFmtId="165" fontId="10" fillId="2" borderId="60" xfId="0" applyNumberFormat="1" applyFont="1" applyFill="1" applyBorder="1"/>
    <xf numFmtId="165" fontId="10" fillId="2" borderId="52" xfId="0" applyNumberFormat="1" applyFont="1" applyFill="1" applyBorder="1"/>
    <xf numFmtId="165" fontId="10" fillId="2" borderId="62" xfId="0" applyNumberFormat="1" applyFont="1" applyFill="1" applyBorder="1"/>
    <xf numFmtId="0" fontId="10" fillId="0" borderId="63" xfId="0" applyFont="1" applyBorder="1"/>
    <xf numFmtId="0" fontId="10" fillId="0" borderId="60" xfId="0" applyFont="1" applyBorder="1"/>
    <xf numFmtId="0" fontId="0" fillId="0" borderId="0" xfId="0" applyAlignment="1">
      <alignment horizontal="center" vertical="center" wrapText="1"/>
    </xf>
    <xf numFmtId="0" fontId="13" fillId="0" borderId="0" xfId="0" applyFont="1" applyAlignment="1">
      <alignment horizontal="center" vertical="center" wrapText="1"/>
    </xf>
    <xf numFmtId="9" fontId="10" fillId="0" borderId="0" xfId="0" applyNumberFormat="1" applyFont="1"/>
    <xf numFmtId="37" fontId="10" fillId="3" borderId="64" xfId="0" applyNumberFormat="1" applyFont="1" applyFill="1" applyBorder="1"/>
    <xf numFmtId="37" fontId="10" fillId="3" borderId="52" xfId="0" applyNumberFormat="1" applyFont="1" applyFill="1" applyBorder="1"/>
    <xf numFmtId="37" fontId="10" fillId="3" borderId="63" xfId="0" applyNumberFormat="1" applyFont="1" applyFill="1" applyBorder="1"/>
    <xf numFmtId="37" fontId="10" fillId="3" borderId="60" xfId="0" applyNumberFormat="1" applyFont="1" applyFill="1" applyBorder="1"/>
    <xf numFmtId="37" fontId="10" fillId="3" borderId="62" xfId="0" applyNumberFormat="1" applyFont="1" applyFill="1" applyBorder="1"/>
    <xf numFmtId="37" fontId="10" fillId="3" borderId="51" xfId="0" applyNumberFormat="1" applyFont="1" applyFill="1" applyBorder="1"/>
    <xf numFmtId="37" fontId="10" fillId="3" borderId="65" xfId="0" applyNumberFormat="1" applyFont="1" applyFill="1" applyBorder="1"/>
    <xf numFmtId="37" fontId="10" fillId="0" borderId="0" xfId="0" applyNumberFormat="1" applyFont="1"/>
    <xf numFmtId="168" fontId="10" fillId="3" borderId="64" xfId="0" applyNumberFormat="1" applyFont="1" applyFill="1" applyBorder="1"/>
    <xf numFmtId="168" fontId="10" fillId="3" borderId="52" xfId="0" applyNumberFormat="1" applyFont="1" applyFill="1" applyBorder="1"/>
    <xf numFmtId="168" fontId="10" fillId="3" borderId="63" xfId="0" applyNumberFormat="1" applyFont="1" applyFill="1" applyBorder="1"/>
    <xf numFmtId="168" fontId="10" fillId="3" borderId="60" xfId="0" applyNumberFormat="1" applyFont="1" applyFill="1" applyBorder="1"/>
    <xf numFmtId="168" fontId="10" fillId="3" borderId="62" xfId="0" applyNumberFormat="1" applyFont="1" applyFill="1" applyBorder="1"/>
    <xf numFmtId="168" fontId="10" fillId="3" borderId="51" xfId="0" applyNumberFormat="1" applyFont="1" applyFill="1" applyBorder="1"/>
    <xf numFmtId="168" fontId="10" fillId="3" borderId="65" xfId="0" applyNumberFormat="1" applyFont="1" applyFill="1" applyBorder="1"/>
    <xf numFmtId="168" fontId="10" fillId="0" borderId="0" xfId="0" applyNumberFormat="1" applyFont="1"/>
    <xf numFmtId="9" fontId="10" fillId="0" borderId="0" xfId="2" applyFont="1"/>
    <xf numFmtId="5" fontId="10" fillId="2" borderId="64" xfId="0" applyNumberFormat="1" applyFont="1" applyFill="1" applyBorder="1"/>
    <xf numFmtId="7" fontId="10" fillId="0" borderId="0" xfId="0" applyNumberFormat="1" applyFont="1"/>
    <xf numFmtId="5" fontId="10" fillId="2" borderId="52" xfId="0" applyNumberFormat="1" applyFont="1" applyFill="1" applyBorder="1"/>
    <xf numFmtId="5" fontId="10" fillId="2" borderId="63" xfId="0" applyNumberFormat="1" applyFont="1" applyFill="1" applyBorder="1"/>
    <xf numFmtId="5" fontId="10" fillId="2" borderId="60" xfId="0" applyNumberFormat="1" applyFont="1" applyFill="1" applyBorder="1"/>
    <xf numFmtId="5" fontId="10" fillId="0" borderId="0" xfId="0" applyNumberFormat="1" applyFont="1"/>
    <xf numFmtId="168" fontId="10" fillId="2" borderId="64" xfId="0" applyNumberFormat="1" applyFont="1" applyFill="1" applyBorder="1"/>
    <xf numFmtId="168" fontId="10" fillId="2" borderId="52" xfId="0" applyNumberFormat="1" applyFont="1" applyFill="1" applyBorder="1"/>
    <xf numFmtId="168" fontId="10" fillId="2" borderId="63" xfId="0" applyNumberFormat="1" applyFont="1" applyFill="1" applyBorder="1"/>
    <xf numFmtId="168" fontId="10" fillId="2" borderId="60" xfId="0" applyNumberFormat="1" applyFont="1" applyFill="1" applyBorder="1"/>
    <xf numFmtId="168" fontId="10" fillId="2" borderId="65" xfId="0" applyNumberFormat="1" applyFont="1" applyFill="1" applyBorder="1"/>
    <xf numFmtId="0" fontId="22" fillId="11" borderId="0" xfId="0" applyFont="1" applyFill="1" applyAlignment="1">
      <alignment horizontal="center" vertical="center" textRotation="90" wrapText="1"/>
    </xf>
    <xf numFmtId="0" fontId="10" fillId="0" borderId="66" xfId="0" applyFont="1" applyBorder="1"/>
    <xf numFmtId="0" fontId="10" fillId="0" borderId="67" xfId="0" applyFont="1" applyBorder="1"/>
    <xf numFmtId="0" fontId="11" fillId="12" borderId="0" xfId="0" applyFont="1" applyFill="1" applyAlignment="1">
      <alignment horizontal="center" vertical="center" textRotation="90"/>
    </xf>
    <xf numFmtId="0" fontId="11" fillId="13" borderId="0" xfId="0" applyFont="1" applyFill="1" applyAlignment="1">
      <alignment horizontal="center" vertical="center" textRotation="90"/>
    </xf>
    <xf numFmtId="10" fontId="10" fillId="0" borderId="0" xfId="0" applyNumberFormat="1" applyFont="1" applyAlignment="1">
      <alignment horizontal="center" vertical="top"/>
    </xf>
    <xf numFmtId="169" fontId="10" fillId="0" borderId="0" xfId="0" applyNumberFormat="1" applyFont="1" applyAlignment="1">
      <alignment horizontal="center" vertical="top"/>
    </xf>
    <xf numFmtId="0" fontId="11" fillId="14" borderId="0" xfId="0" applyFont="1" applyFill="1" applyAlignment="1">
      <alignment horizontal="center" vertical="center" textRotation="90" wrapText="1"/>
    </xf>
    <xf numFmtId="0" fontId="10" fillId="0" borderId="0" xfId="0" applyFont="1" applyAlignment="1">
      <alignment horizontal="left"/>
    </xf>
    <xf numFmtId="0" fontId="13" fillId="13" borderId="0" xfId="0" applyFont="1" applyFill="1" applyAlignment="1">
      <alignment horizontal="center" vertical="center" wrapText="1"/>
    </xf>
    <xf numFmtId="0" fontId="11" fillId="0" borderId="0" xfId="0" applyFont="1" applyAlignment="1">
      <alignment horizontal="center"/>
    </xf>
    <xf numFmtId="0" fontId="13" fillId="13" borderId="0" xfId="0" applyFont="1" applyFill="1" applyAlignment="1">
      <alignment vertical="center" wrapText="1"/>
    </xf>
    <xf numFmtId="0" fontId="11" fillId="0" borderId="0" xfId="0" applyFont="1" applyAlignment="1">
      <alignment horizontal="center" vertical="center"/>
    </xf>
    <xf numFmtId="170" fontId="10" fillId="0" borderId="0" xfId="0" applyNumberFormat="1" applyFont="1" applyAlignment="1">
      <alignment horizontal="center" vertical="top"/>
    </xf>
    <xf numFmtId="0" fontId="10" fillId="0" borderId="70" xfId="0" applyFont="1" applyBorder="1"/>
    <xf numFmtId="0" fontId="10" fillId="0" borderId="71" xfId="0" applyFont="1" applyBorder="1"/>
    <xf numFmtId="0" fontId="13" fillId="13" borderId="71" xfId="0" applyFont="1" applyFill="1" applyBorder="1" applyAlignment="1">
      <alignment vertical="center" wrapText="1"/>
    </xf>
    <xf numFmtId="0" fontId="13" fillId="4" borderId="56" xfId="0" applyFont="1" applyFill="1" applyBorder="1" applyAlignment="1">
      <alignment horizontal="left"/>
    </xf>
    <xf numFmtId="0" fontId="10" fillId="0" borderId="1" xfId="0" applyFont="1" applyBorder="1"/>
    <xf numFmtId="0" fontId="7" fillId="0" borderId="73" xfId="3" applyBorder="1"/>
    <xf numFmtId="0" fontId="10" fillId="0" borderId="74" xfId="0" applyFont="1" applyBorder="1"/>
    <xf numFmtId="0" fontId="7" fillId="0" borderId="37" xfId="3" applyBorder="1"/>
    <xf numFmtId="0" fontId="10" fillId="0" borderId="73" xfId="0" applyFont="1" applyBorder="1"/>
    <xf numFmtId="0" fontId="18" fillId="0" borderId="37" xfId="0" applyFont="1" applyBorder="1"/>
    <xf numFmtId="0" fontId="18" fillId="0" borderId="74" xfId="0" applyFont="1" applyBorder="1"/>
    <xf numFmtId="0" fontId="0" fillId="0" borderId="0" xfId="0" applyAlignment="1">
      <alignment horizontal="left" vertical="center"/>
    </xf>
    <xf numFmtId="0" fontId="23" fillId="0" borderId="0" xfId="0" applyFont="1" applyAlignment="1">
      <alignment horizontal="left" vertical="center"/>
    </xf>
    <xf numFmtId="0" fontId="0" fillId="0" borderId="0" xfId="0" applyAlignment="1">
      <alignment horizontal="left" vertical="center" wrapText="1"/>
    </xf>
    <xf numFmtId="0" fontId="2" fillId="0" borderId="0" xfId="0" applyFont="1" applyAlignment="1">
      <alignment horizontal="left" vertical="center"/>
    </xf>
    <xf numFmtId="0" fontId="0" fillId="0" borderId="0" xfId="0" quotePrefix="1" applyAlignment="1">
      <alignment horizontal="left" vertical="center"/>
    </xf>
    <xf numFmtId="0" fontId="0" fillId="0" borderId="0" xfId="0" quotePrefix="1" applyAlignment="1">
      <alignment horizontal="left" vertical="center" wrapText="1"/>
    </xf>
    <xf numFmtId="0" fontId="24" fillId="0" borderId="0" xfId="0" applyFont="1" applyAlignment="1">
      <alignment horizontal="left" vertical="center"/>
    </xf>
    <xf numFmtId="0" fontId="2" fillId="0" borderId="0" xfId="0" quotePrefix="1" applyFont="1" applyAlignment="1">
      <alignment horizontal="left" vertical="center"/>
    </xf>
    <xf numFmtId="0" fontId="10" fillId="0" borderId="0" xfId="0" quotePrefix="1" applyFont="1" applyAlignment="1">
      <alignment horizontal="left" vertical="center"/>
    </xf>
    <xf numFmtId="0" fontId="0" fillId="0" borderId="69" xfId="0" applyBorder="1" applyAlignment="1">
      <alignment horizontal="left" vertical="center" wrapText="1"/>
    </xf>
    <xf numFmtId="0" fontId="31" fillId="0" borderId="0" xfId="0" quotePrefix="1" applyFont="1" applyAlignment="1">
      <alignment horizontal="left" vertical="center"/>
    </xf>
    <xf numFmtId="0" fontId="0" fillId="0" borderId="72" xfId="0" applyBorder="1" applyAlignment="1">
      <alignment horizontal="left" vertical="center"/>
    </xf>
    <xf numFmtId="0" fontId="0" fillId="0" borderId="72" xfId="0" applyBorder="1" applyAlignment="1">
      <alignment horizontal="left" vertical="center" wrapText="1"/>
    </xf>
    <xf numFmtId="0" fontId="15" fillId="0" borderId="0" xfId="0" applyFont="1" applyAlignment="1">
      <alignment wrapText="1"/>
    </xf>
    <xf numFmtId="0" fontId="18" fillId="0" borderId="0" xfId="0" applyFont="1"/>
    <xf numFmtId="0" fontId="0" fillId="0" borderId="72" xfId="0" quotePrefix="1" applyBorder="1" applyAlignment="1">
      <alignment horizontal="left" vertical="center"/>
    </xf>
    <xf numFmtId="0" fontId="31" fillId="0" borderId="0" xfId="0" applyFont="1" applyAlignment="1">
      <alignment horizontal="left" vertical="center"/>
    </xf>
    <xf numFmtId="165" fontId="10" fillId="0" borderId="0" xfId="2" applyNumberFormat="1" applyFont="1"/>
    <xf numFmtId="1" fontId="10" fillId="0" borderId="0" xfId="0" applyNumberFormat="1" applyFont="1"/>
    <xf numFmtId="0" fontId="22" fillId="11" borderId="0" xfId="0" applyFont="1" applyFill="1" applyAlignment="1">
      <alignment vertical="center" textRotation="90" wrapText="1"/>
    </xf>
    <xf numFmtId="168" fontId="10" fillId="3" borderId="0" xfId="0" applyNumberFormat="1" applyFont="1" applyFill="1"/>
    <xf numFmtId="9" fontId="10" fillId="3" borderId="60" xfId="0" applyNumberFormat="1" applyFont="1" applyFill="1" applyBorder="1"/>
    <xf numFmtId="5" fontId="10" fillId="3" borderId="60" xfId="0" applyNumberFormat="1" applyFont="1" applyFill="1" applyBorder="1"/>
    <xf numFmtId="7" fontId="10" fillId="3" borderId="60" xfId="0" applyNumberFormat="1" applyFont="1" applyFill="1" applyBorder="1"/>
    <xf numFmtId="0" fontId="11" fillId="0" borderId="67" xfId="0" applyFont="1" applyBorder="1"/>
    <xf numFmtId="0" fontId="13" fillId="10" borderId="59" xfId="0" applyFont="1" applyFill="1" applyBorder="1" applyAlignment="1">
      <alignment horizontal="center" vertical="center" wrapText="1"/>
    </xf>
    <xf numFmtId="0" fontId="13" fillId="10"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horizontal="left" vertical="center"/>
    </xf>
    <xf numFmtId="0" fontId="11" fillId="0" borderId="0" xfId="0" applyFont="1" applyAlignment="1">
      <alignment horizontal="left" vertical="center"/>
    </xf>
    <xf numFmtId="0" fontId="10" fillId="0" borderId="72" xfId="0" applyFont="1" applyBorder="1"/>
    <xf numFmtId="0" fontId="13" fillId="10" borderId="68" xfId="0" applyFont="1" applyFill="1" applyBorder="1" applyAlignment="1">
      <alignment horizontal="center" vertical="center" wrapText="1"/>
    </xf>
    <xf numFmtId="0" fontId="13" fillId="10" borderId="69" xfId="0" applyFont="1" applyFill="1" applyBorder="1" applyAlignment="1">
      <alignment horizontal="center" vertical="center" wrapText="1"/>
    </xf>
    <xf numFmtId="0" fontId="11" fillId="12" borderId="0" xfId="0" applyFont="1" applyFill="1" applyAlignment="1">
      <alignment horizontal="center" vertical="center" textRotation="90"/>
    </xf>
    <xf numFmtId="0" fontId="22" fillId="11" borderId="0" xfId="0" applyFont="1" applyFill="1" applyAlignment="1">
      <alignment horizontal="center" vertical="center" textRotation="90" wrapText="1"/>
    </xf>
    <xf numFmtId="0" fontId="11" fillId="13" borderId="0" xfId="0" applyFont="1" applyFill="1" applyAlignment="1">
      <alignment horizontal="center" vertical="center" textRotation="90"/>
    </xf>
    <xf numFmtId="0" fontId="11" fillId="14" borderId="0" xfId="0" applyFont="1" applyFill="1" applyAlignment="1">
      <alignment horizontal="center" vertical="center" textRotation="90" wrapText="1"/>
    </xf>
    <xf numFmtId="2" fontId="10" fillId="0" borderId="30" xfId="0" applyNumberFormat="1" applyFont="1" applyBorder="1"/>
    <xf numFmtId="2" fontId="10" fillId="0" borderId="31" xfId="0" applyNumberFormat="1" applyFont="1" applyBorder="1"/>
    <xf numFmtId="2" fontId="10" fillId="0" borderId="34" xfId="0" applyNumberFormat="1" applyFont="1" applyBorder="1"/>
    <xf numFmtId="2" fontId="10" fillId="0" borderId="35" xfId="0" applyNumberFormat="1" applyFont="1" applyBorder="1"/>
    <xf numFmtId="0" fontId="11" fillId="0" borderId="37" xfId="0" applyFont="1" applyBorder="1" applyAlignment="1">
      <alignment horizontal="left"/>
    </xf>
    <xf numFmtId="0" fontId="0" fillId="0" borderId="37" xfId="0" applyBorder="1"/>
    <xf numFmtId="0" fontId="10" fillId="0" borderId="39" xfId="0" applyFont="1" applyBorder="1" applyAlignment="1">
      <alignment horizontal="center" wrapText="1"/>
    </xf>
    <xf numFmtId="0" fontId="10" fillId="0" borderId="43" xfId="0" applyFont="1" applyBorder="1" applyAlignment="1">
      <alignment horizontal="center" wrapText="1"/>
    </xf>
    <xf numFmtId="0" fontId="10" fillId="0" borderId="40" xfId="0" applyFont="1" applyBorder="1" applyAlignment="1">
      <alignment horizontal="center" wrapText="1"/>
    </xf>
    <xf numFmtId="0" fontId="18" fillId="0" borderId="33" xfId="0" applyFont="1" applyBorder="1"/>
    <xf numFmtId="0" fontId="18" fillId="0" borderId="31" xfId="0" applyFont="1" applyBorder="1"/>
    <xf numFmtId="49" fontId="13" fillId="4" borderId="5" xfId="0" applyNumberFormat="1" applyFont="1"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13" fillId="5" borderId="0" xfId="0" applyFont="1" applyFill="1" applyAlignment="1">
      <alignment horizontal="center" vertical="center" textRotation="90"/>
    </xf>
    <xf numFmtId="0" fontId="3" fillId="5" borderId="0" xfId="0" applyFont="1" applyFill="1" applyAlignment="1">
      <alignment horizontal="center" vertical="center" textRotation="90"/>
    </xf>
    <xf numFmtId="0" fontId="17" fillId="9" borderId="0" xfId="0" applyFont="1" applyFill="1" applyAlignment="1">
      <alignment horizontal="center" vertical="center" textRotation="90"/>
    </xf>
    <xf numFmtId="0" fontId="17" fillId="9" borderId="0" xfId="0" applyFont="1" applyFill="1"/>
    <xf numFmtId="0" fontId="11" fillId="0" borderId="24" xfId="0" applyFont="1" applyBorder="1" applyAlignment="1">
      <alignment horizontal="center"/>
    </xf>
    <xf numFmtId="0" fontId="11" fillId="0" borderId="25" xfId="0" applyFont="1" applyBorder="1" applyAlignment="1">
      <alignment horizontal="center"/>
    </xf>
    <xf numFmtId="0" fontId="11" fillId="0" borderId="26" xfId="0" applyFont="1" applyBorder="1" applyAlignment="1">
      <alignment horizontal="center"/>
    </xf>
    <xf numFmtId="0" fontId="10" fillId="0" borderId="27" xfId="0" applyFont="1" applyBorder="1"/>
    <xf numFmtId="0" fontId="10" fillId="0" borderId="28" xfId="0" applyFont="1" applyBorder="1"/>
    <xf numFmtId="0" fontId="10" fillId="0" borderId="30" xfId="0" applyFont="1" applyBorder="1"/>
    <xf numFmtId="0" fontId="10" fillId="0" borderId="31" xfId="0" applyFont="1" applyBorder="1"/>
    <xf numFmtId="2" fontId="10" fillId="0" borderId="75" xfId="0" applyNumberFormat="1" applyFont="1" applyBorder="1"/>
    <xf numFmtId="2" fontId="10" fillId="0" borderId="76" xfId="0" applyNumberFormat="1" applyFont="1" applyBorder="1"/>
    <xf numFmtId="0" fontId="11" fillId="0" borderId="25" xfId="0" applyFont="1" applyBorder="1" applyAlignment="1">
      <alignment horizontal="left"/>
    </xf>
    <xf numFmtId="0" fontId="2" fillId="8" borderId="0" xfId="0" applyFont="1" applyFill="1" applyAlignment="1">
      <alignment horizontal="left" vertical="center"/>
    </xf>
    <xf numFmtId="0" fontId="2" fillId="8" borderId="0" xfId="0" quotePrefix="1" applyFont="1" applyFill="1" applyAlignment="1">
      <alignment horizontal="left" vertical="center"/>
    </xf>
    <xf numFmtId="0" fontId="0" fillId="0" borderId="0" xfId="0" applyAlignment="1">
      <alignment horizontal="left" vertical="center" wrapText="1"/>
    </xf>
    <xf numFmtId="0" fontId="0" fillId="0" borderId="0" xfId="0" applyAlignment="1">
      <alignment wrapText="1"/>
    </xf>
    <xf numFmtId="0" fontId="0" fillId="0" borderId="0" xfId="0"/>
    <xf numFmtId="0" fontId="23" fillId="15" borderId="0" xfId="0" applyFont="1" applyFill="1" applyAlignment="1">
      <alignment horizontal="left" vertical="center"/>
    </xf>
    <xf numFmtId="0" fontId="9" fillId="16" borderId="77" xfId="0" applyFont="1" applyFill="1" applyBorder="1"/>
    <xf numFmtId="0" fontId="10" fillId="16" borderId="78" xfId="0" applyFont="1" applyFill="1" applyBorder="1"/>
    <xf numFmtId="0" fontId="10" fillId="16" borderId="79" xfId="0" applyFont="1" applyFill="1" applyBorder="1"/>
    <xf numFmtId="9" fontId="10" fillId="17" borderId="60" xfId="0" applyNumberFormat="1" applyFont="1" applyFill="1" applyBorder="1"/>
    <xf numFmtId="7" fontId="10" fillId="17" borderId="60" xfId="0" applyNumberFormat="1" applyFont="1" applyFill="1" applyBorder="1"/>
    <xf numFmtId="171" fontId="11" fillId="17" borderId="0" xfId="4" applyNumberFormat="1" applyFont="1" applyFill="1" applyBorder="1"/>
    <xf numFmtId="168" fontId="10" fillId="17" borderId="60" xfId="0" applyNumberFormat="1" applyFont="1" applyFill="1" applyBorder="1"/>
    <xf numFmtId="0" fontId="22" fillId="17" borderId="0" xfId="0" applyFont="1" applyFill="1" applyAlignment="1">
      <alignment horizontal="center" vertical="center" wrapText="1"/>
    </xf>
    <xf numFmtId="9" fontId="10" fillId="17" borderId="0" xfId="2" applyFont="1" applyFill="1"/>
    <xf numFmtId="164" fontId="10" fillId="17" borderId="60" xfId="0" applyNumberFormat="1" applyFont="1" applyFill="1" applyBorder="1"/>
    <xf numFmtId="168" fontId="10" fillId="17" borderId="52" xfId="0" applyNumberFormat="1" applyFont="1" applyFill="1" applyBorder="1"/>
    <xf numFmtId="164" fontId="10" fillId="17" borderId="63" xfId="0" applyNumberFormat="1" applyFont="1" applyFill="1" applyBorder="1"/>
    <xf numFmtId="164" fontId="10" fillId="17" borderId="52" xfId="0" applyNumberFormat="1" applyFont="1" applyFill="1" applyBorder="1"/>
    <xf numFmtId="0" fontId="10" fillId="2" borderId="72" xfId="0" applyFont="1" applyFill="1" applyBorder="1" applyAlignment="1">
      <alignment horizontal="center"/>
    </xf>
    <xf numFmtId="0" fontId="10" fillId="3" borderId="72" xfId="0" applyFont="1" applyFill="1" applyBorder="1" applyAlignment="1">
      <alignment horizontal="center"/>
    </xf>
    <xf numFmtId="0" fontId="10" fillId="17" borderId="72" xfId="0" applyFont="1" applyFill="1" applyBorder="1" applyAlignment="1">
      <alignment horizontal="center"/>
    </xf>
    <xf numFmtId="0" fontId="11" fillId="16" borderId="77" xfId="0" applyFont="1" applyFill="1" applyBorder="1" applyAlignment="1">
      <alignment horizontal="left" vertical="top" wrapText="1"/>
    </xf>
    <xf numFmtId="0" fontId="11" fillId="16" borderId="78" xfId="0" applyFont="1" applyFill="1" applyBorder="1" applyAlignment="1">
      <alignment horizontal="left" vertical="top" wrapText="1"/>
    </xf>
    <xf numFmtId="0" fontId="11" fillId="16" borderId="79" xfId="0" applyFont="1" applyFill="1" applyBorder="1" applyAlignment="1">
      <alignment horizontal="left" vertical="top" wrapText="1"/>
    </xf>
  </cellXfs>
  <cellStyles count="5">
    <cellStyle name="Comma" xfId="4" builtinId="3"/>
    <cellStyle name="Currency" xfId="1" builtinId="4"/>
    <cellStyle name="Hyperlink" xfId="3" builtinId="8"/>
    <cellStyle name="Normal" xfId="0" builtinId="0"/>
    <cellStyle name="Percent" xfId="2" builtinId="5"/>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LCOE</a:t>
            </a:r>
            <a:r>
              <a:rPr lang="en-US" baseline="0"/>
              <a:t> (USD/MWh)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'Offshore Wind (2)'!$K$205</c:f>
              <c:strCache>
                <c:ptCount val="1"/>
                <c:pt idx="0">
                  <c:v>Class 8 - Advanced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'Offshore Wind (2)'!$L$93:$O$93</c:f>
              <c:numCache>
                <c:formatCode>General</c:formatCode>
                <c:ptCount val="4"/>
                <c:pt idx="0">
                  <c:v>5</c:v>
                </c:pt>
                <c:pt idx="1">
                  <c:v>8</c:v>
                </c:pt>
                <c:pt idx="2">
                  <c:v>10</c:v>
                </c:pt>
                <c:pt idx="3">
                  <c:v>15</c:v>
                </c:pt>
              </c:numCache>
            </c:numRef>
          </c:xVal>
          <c:yVal>
            <c:numRef>
              <c:f>'Offshore Wind (2)'!$L$205:$O$205</c:f>
              <c:numCache>
                <c:formatCode>"$"#,##0</c:formatCode>
                <c:ptCount val="4"/>
                <c:pt idx="0">
                  <c:v>42.14327849304027</c:v>
                </c:pt>
                <c:pt idx="1">
                  <c:v>31.116165998612225</c:v>
                </c:pt>
                <c:pt idx="2">
                  <c:v>31.978167894519721</c:v>
                </c:pt>
                <c:pt idx="3">
                  <c:v>40.641180985774845</c:v>
                </c:pt>
              </c:numCache>
            </c:numRef>
          </c:yVal>
          <c:smooth val="0"/>
          <c:extLst>
            <c:ext xmlns:c16="http://schemas.microsoft.com/office/drawing/2014/chart" uri="{C3380CC4-5D6E-409C-BE32-E72D297353CC}">
              <c16:uniqueId val="{00000000-15D1-4DA0-9CB0-32CF118CF203}"/>
            </c:ext>
          </c:extLst>
        </c:ser>
        <c:ser>
          <c:idx val="1"/>
          <c:order val="1"/>
          <c:tx>
            <c:strRef>
              <c:f>'Offshore Wind (2)'!$K$206</c:f>
              <c:strCache>
                <c:ptCount val="1"/>
                <c:pt idx="0">
                  <c:v>Class 8 - Moderate</c:v>
                </c:pt>
              </c:strCache>
            </c:strRef>
          </c:tx>
          <c:spPr>
            <a:ln w="19050" cap="rnd">
              <a:solidFill>
                <a:schemeClr val="accent1"/>
              </a:solidFill>
              <a:round/>
            </a:ln>
            <a:effectLst/>
          </c:spPr>
          <c:marker>
            <c:symbol val="circle"/>
            <c:size val="5"/>
            <c:spPr>
              <a:solidFill>
                <a:schemeClr val="accent1"/>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(2)'!$L$206:$O$206</c:f>
              <c:numCache>
                <c:formatCode>"$"#,##0</c:formatCode>
                <c:ptCount val="4"/>
                <c:pt idx="0">
                  <c:v>43.179950433579315</c:v>
                </c:pt>
                <c:pt idx="1">
                  <c:v>31.980248301519531</c:v>
                </c:pt>
                <c:pt idx="2">
                  <c:v>32.866187612575132</c:v>
                </c:pt>
                <c:pt idx="3">
                  <c:v>41.616163980820211</c:v>
                </c:pt>
              </c:numCache>
            </c:numRef>
          </c:yVal>
          <c:smooth val="0"/>
          <c:extLst>
            <c:ext xmlns:c16="http://schemas.microsoft.com/office/drawing/2014/chart" uri="{C3380CC4-5D6E-409C-BE32-E72D297353CC}">
              <c16:uniqueId val="{00000001-15D1-4DA0-9CB0-32CF118CF203}"/>
            </c:ext>
          </c:extLst>
        </c:ser>
        <c:ser>
          <c:idx val="2"/>
          <c:order val="2"/>
          <c:tx>
            <c:strRef>
              <c:f>'Offshore Wind (2)'!$K$207</c:f>
              <c:strCache>
                <c:ptCount val="1"/>
                <c:pt idx="0">
                  <c:v>Class 8 - Conservative</c:v>
                </c:pt>
              </c:strCache>
            </c:strRef>
          </c:tx>
          <c:spPr>
            <a:ln w="19050" cap="rnd">
              <a:solidFill>
                <a:schemeClr val="accent1"/>
              </a:solidFill>
              <a:round/>
            </a:ln>
            <a:effectLst/>
          </c:spPr>
          <c:marker>
            <c:symbol val="circle"/>
            <c:size val="5"/>
            <c:spPr>
              <a:solidFill>
                <a:schemeClr val="accent1"/>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(2)'!$L$207:$O$207</c:f>
              <c:numCache>
                <c:formatCode>"$"#,##0</c:formatCode>
                <c:ptCount val="4"/>
                <c:pt idx="0">
                  <c:v>44.81864097281133</c:v>
                </c:pt>
                <c:pt idx="1">
                  <c:v>33.346122537640696</c:v>
                </c:pt>
                <c:pt idx="2">
                  <c:v>34.269900256588848</c:v>
                </c:pt>
                <c:pt idx="3">
                  <c:v>43.15734142318658</c:v>
                </c:pt>
              </c:numCache>
            </c:numRef>
          </c:yVal>
          <c:smooth val="0"/>
          <c:extLst>
            <c:ext xmlns:c16="http://schemas.microsoft.com/office/drawing/2014/chart" uri="{C3380CC4-5D6E-409C-BE32-E72D297353CC}">
              <c16:uniqueId val="{00000002-15D1-4DA0-9CB0-32CF118CF203}"/>
            </c:ext>
          </c:extLst>
        </c:ser>
        <c:ser>
          <c:idx val="3"/>
          <c:order val="3"/>
          <c:tx>
            <c:strRef>
              <c:f>'Offshore Wind (2)'!$K$208</c:f>
              <c:strCache>
                <c:ptCount val="1"/>
                <c:pt idx="0">
                  <c:v>Class 14 - Advanced</c:v>
                </c:pt>
              </c:strCache>
            </c:strRef>
          </c:tx>
          <c:spPr>
            <a:ln w="19050" cap="rnd">
              <a:solidFill>
                <a:srgbClr val="FF0000"/>
              </a:solidFill>
              <a:round/>
            </a:ln>
            <a:effectLst/>
          </c:spPr>
          <c:marker>
            <c:symbol val="circle"/>
            <c:size val="5"/>
            <c:spPr>
              <a:solidFill>
                <a:srgbClr val="FF0000"/>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(2)'!$L$208:$O$208</c:f>
              <c:numCache>
                <c:formatCode>"$"#,##0_);\("$"#,##0\)</c:formatCode>
                <c:ptCount val="4"/>
                <c:pt idx="0">
                  <c:v>99.519573967858634</c:v>
                </c:pt>
                <c:pt idx="1">
                  <c:v>69.104380687813787</c:v>
                </c:pt>
                <c:pt idx="2">
                  <c:v>68.3686200694832</c:v>
                </c:pt>
                <c:pt idx="3">
                  <c:v>82.035556437627548</c:v>
                </c:pt>
              </c:numCache>
            </c:numRef>
          </c:yVal>
          <c:smooth val="0"/>
          <c:extLst>
            <c:ext xmlns:c16="http://schemas.microsoft.com/office/drawing/2014/chart" uri="{C3380CC4-5D6E-409C-BE32-E72D297353CC}">
              <c16:uniqueId val="{00000003-15D1-4DA0-9CB0-32CF118CF203}"/>
            </c:ext>
          </c:extLst>
        </c:ser>
        <c:ser>
          <c:idx val="4"/>
          <c:order val="4"/>
          <c:tx>
            <c:strRef>
              <c:f>'Offshore Wind (2)'!$K$209</c:f>
              <c:strCache>
                <c:ptCount val="1"/>
                <c:pt idx="0">
                  <c:v>Class 14 - Moderate</c:v>
                </c:pt>
              </c:strCache>
            </c:strRef>
          </c:tx>
          <c:spPr>
            <a:ln w="19050" cap="rnd">
              <a:solidFill>
                <a:srgbClr val="FF0000"/>
              </a:solidFill>
              <a:round/>
            </a:ln>
            <a:effectLst/>
          </c:spPr>
          <c:marker>
            <c:symbol val="circle"/>
            <c:size val="5"/>
            <c:spPr>
              <a:solidFill>
                <a:srgbClr val="FF0000"/>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(2)'!$L$209:$O$209</c:f>
              <c:numCache>
                <c:formatCode>"$"#,##0_);\("$"#,##0\)</c:formatCode>
                <c:ptCount val="4"/>
                <c:pt idx="0">
                  <c:v>101.73902051631875</c:v>
                </c:pt>
                <c:pt idx="1">
                  <c:v>70.977018366141792</c:v>
                </c:pt>
                <c:pt idx="2">
                  <c:v>70.170757901387361</c:v>
                </c:pt>
                <c:pt idx="3">
                  <c:v>83.943395548869773</c:v>
                </c:pt>
              </c:numCache>
            </c:numRef>
          </c:yVal>
          <c:smooth val="0"/>
          <c:extLst>
            <c:ext xmlns:c16="http://schemas.microsoft.com/office/drawing/2014/chart" uri="{C3380CC4-5D6E-409C-BE32-E72D297353CC}">
              <c16:uniqueId val="{00000004-15D1-4DA0-9CB0-32CF118CF203}"/>
            </c:ext>
          </c:extLst>
        </c:ser>
        <c:ser>
          <c:idx val="5"/>
          <c:order val="5"/>
          <c:tx>
            <c:strRef>
              <c:f>'Offshore Wind (2)'!$K$210</c:f>
              <c:strCache>
                <c:ptCount val="1"/>
                <c:pt idx="0">
                  <c:v>Class 14 - Conservative</c:v>
                </c:pt>
              </c:strCache>
            </c:strRef>
          </c:tx>
          <c:spPr>
            <a:ln w="19050" cap="rnd">
              <a:solidFill>
                <a:srgbClr val="FF0000"/>
              </a:solidFill>
              <a:round/>
            </a:ln>
            <a:effectLst/>
          </c:spPr>
          <c:marker>
            <c:symbol val="circle"/>
            <c:size val="5"/>
            <c:spPr>
              <a:solidFill>
                <a:srgbClr val="FF0000"/>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(2)'!$L$210:$O$210</c:f>
              <c:numCache>
                <c:formatCode>"$"#,##0_);\("$"#,##0\)</c:formatCode>
                <c:ptCount val="4"/>
                <c:pt idx="0">
                  <c:v>105.24734935118771</c:v>
                </c:pt>
                <c:pt idx="1">
                  <c:v>73.937138657706598</c:v>
                </c:pt>
                <c:pt idx="2">
                  <c:v>73.019437507780381</c:v>
                </c:pt>
                <c:pt idx="3">
                  <c:v>86.959159533321639</c:v>
                </c:pt>
              </c:numCache>
            </c:numRef>
          </c:yVal>
          <c:smooth val="0"/>
          <c:extLst>
            <c:ext xmlns:c16="http://schemas.microsoft.com/office/drawing/2014/chart" uri="{C3380CC4-5D6E-409C-BE32-E72D297353CC}">
              <c16:uniqueId val="{00000005-15D1-4DA0-9CB0-32CF118CF203}"/>
            </c:ext>
          </c:extLst>
        </c:ser>
        <c:ser>
          <c:idx val="6"/>
          <c:order val="6"/>
          <c:tx>
            <c:strRef>
              <c:f>'Offshore Wind (2)'!$K$215</c:f>
              <c:strCache>
                <c:ptCount val="1"/>
                <c:pt idx="0">
                  <c:v>Class 8 - NREL ATB - LOW (0 GCC Cost)</c:v>
                </c:pt>
              </c:strCache>
            </c:strRef>
          </c:tx>
          <c:spPr>
            <a:ln w="19050" cap="rnd">
              <a:solidFill>
                <a:schemeClr val="accent1"/>
              </a:solidFill>
              <a:round/>
            </a:ln>
            <a:effectLst/>
          </c:spPr>
          <c:marker>
            <c:symbol val="none"/>
          </c:marker>
          <c:xVal>
            <c:numRef>
              <c:f>'Offshore Wind (2)'!$L$93:$O$93</c:f>
              <c:numCache>
                <c:formatCode>General</c:formatCode>
                <c:ptCount val="4"/>
                <c:pt idx="0">
                  <c:v>5</c:v>
                </c:pt>
                <c:pt idx="1">
                  <c:v>8</c:v>
                </c:pt>
                <c:pt idx="2">
                  <c:v>10</c:v>
                </c:pt>
                <c:pt idx="3">
                  <c:v>15</c:v>
                </c:pt>
              </c:numCache>
            </c:numRef>
          </c:xVal>
          <c:yVal>
            <c:numRef>
              <c:f>'Offshore Wind (2)'!$L$215:$O$215</c:f>
              <c:numCache>
                <c:formatCode>"$"#,##0</c:formatCode>
                <c:ptCount val="4"/>
                <c:pt idx="0">
                  <c:v>18.950209118909154</c:v>
                </c:pt>
                <c:pt idx="1">
                  <c:v>18.146376781308422</c:v>
                </c:pt>
                <c:pt idx="2">
                  <c:v>17.681740895319795</c:v>
                </c:pt>
                <c:pt idx="3">
                  <c:v>16.584216517144039</c:v>
                </c:pt>
              </c:numCache>
            </c:numRef>
          </c:yVal>
          <c:smooth val="0"/>
          <c:extLst>
            <c:ext xmlns:c16="http://schemas.microsoft.com/office/drawing/2014/chart" uri="{C3380CC4-5D6E-409C-BE32-E72D297353CC}">
              <c16:uniqueId val="{00000006-15D1-4DA0-9CB0-32CF118CF203}"/>
            </c:ext>
          </c:extLst>
        </c:ser>
        <c:ser>
          <c:idx val="7"/>
          <c:order val="7"/>
          <c:tx>
            <c:strRef>
              <c:f>'Offshore Wind (2)'!$K$218</c:f>
              <c:strCache>
                <c:ptCount val="1"/>
                <c:pt idx="0">
                  <c:v>Class 14 - NREL ATB - HIGH</c:v>
                </c:pt>
              </c:strCache>
            </c:strRef>
          </c:tx>
          <c:spPr>
            <a:ln w="19050" cap="rnd">
              <a:solidFill>
                <a:srgbClr val="FF0000"/>
              </a:solidFill>
              <a:round/>
            </a:ln>
            <a:effectLst/>
          </c:spPr>
          <c:marker>
            <c:symbol val="none"/>
          </c:marker>
          <c:xVal>
            <c:numRef>
              <c:f>'Offshore Wind (2)'!$L$93:$O$93</c:f>
              <c:numCache>
                <c:formatCode>General</c:formatCode>
                <c:ptCount val="4"/>
                <c:pt idx="0">
                  <c:v>5</c:v>
                </c:pt>
                <c:pt idx="1">
                  <c:v>8</c:v>
                </c:pt>
                <c:pt idx="2">
                  <c:v>10</c:v>
                </c:pt>
                <c:pt idx="3">
                  <c:v>15</c:v>
                </c:pt>
              </c:numCache>
            </c:numRef>
          </c:xVal>
          <c:yVal>
            <c:numRef>
              <c:f>'Offshore Wind (2)'!$L$218:$O$218</c:f>
              <c:numCache>
                <c:formatCode>"$"#,##0</c:formatCode>
                <c:ptCount val="4"/>
                <c:pt idx="0">
                  <c:v>42.931519689220117</c:v>
                </c:pt>
                <c:pt idx="1">
                  <c:v>39.474006822073221</c:v>
                </c:pt>
                <c:pt idx="2">
                  <c:v>37.675186465567251</c:v>
                </c:pt>
                <c:pt idx="3">
                  <c:v>33.745997741336062</c:v>
                </c:pt>
              </c:numCache>
            </c:numRef>
          </c:yVal>
          <c:smooth val="0"/>
          <c:extLst>
            <c:ext xmlns:c16="http://schemas.microsoft.com/office/drawing/2014/chart" uri="{C3380CC4-5D6E-409C-BE32-E72D297353CC}">
              <c16:uniqueId val="{00000007-15D1-4DA0-9CB0-32CF118CF203}"/>
            </c:ext>
          </c:extLst>
        </c:ser>
        <c:ser>
          <c:idx val="8"/>
          <c:order val="8"/>
          <c:tx>
            <c:strRef>
              <c:f>'Offshore Wind (2)'!$K$216</c:f>
              <c:strCache>
                <c:ptCount val="1"/>
                <c:pt idx="0">
                  <c:v>Class 8 - NREL ATB - HIGH</c:v>
                </c:pt>
              </c:strCache>
            </c:strRef>
          </c:tx>
          <c:spPr>
            <a:ln w="19050" cap="rnd">
              <a:solidFill>
                <a:schemeClr val="accent1"/>
              </a:solidFill>
              <a:round/>
            </a:ln>
            <a:effectLst/>
          </c:spPr>
          <c:marker>
            <c:symbol val="none"/>
          </c:marker>
          <c:xVal>
            <c:numRef>
              <c:f>'Offshore Wind (2)'!$L$93:$O$93</c:f>
              <c:numCache>
                <c:formatCode>General</c:formatCode>
                <c:ptCount val="4"/>
                <c:pt idx="0">
                  <c:v>5</c:v>
                </c:pt>
                <c:pt idx="1">
                  <c:v>8</c:v>
                </c:pt>
                <c:pt idx="2">
                  <c:v>10</c:v>
                </c:pt>
                <c:pt idx="3">
                  <c:v>15</c:v>
                </c:pt>
              </c:numCache>
            </c:numRef>
          </c:xVal>
          <c:yVal>
            <c:numRef>
              <c:f>'Offshore Wind (2)'!$L$216:$O$216</c:f>
              <c:numCache>
                <c:formatCode>"$"#,##0</c:formatCode>
                <c:ptCount val="4"/>
                <c:pt idx="0">
                  <c:v>20.794233050902438</c:v>
                </c:pt>
                <c:pt idx="1">
                  <c:v>19.851686774003202</c:v>
                </c:pt>
                <c:pt idx="2">
                  <c:v>19.332344025095693</c:v>
                </c:pt>
                <c:pt idx="3">
                  <c:v>18.119301201538807</c:v>
                </c:pt>
              </c:numCache>
            </c:numRef>
          </c:yVal>
          <c:smooth val="0"/>
          <c:extLst>
            <c:ext xmlns:c16="http://schemas.microsoft.com/office/drawing/2014/chart" uri="{C3380CC4-5D6E-409C-BE32-E72D297353CC}">
              <c16:uniqueId val="{00000008-15D1-4DA0-9CB0-32CF118CF203}"/>
            </c:ext>
          </c:extLst>
        </c:ser>
        <c:ser>
          <c:idx val="9"/>
          <c:order val="9"/>
          <c:tx>
            <c:strRef>
              <c:f>'Offshore Wind (2)'!$K$217</c:f>
              <c:strCache>
                <c:ptCount val="1"/>
                <c:pt idx="0">
                  <c:v>Class 14 - NREL ATB - LOW</c:v>
                </c:pt>
              </c:strCache>
            </c:strRef>
          </c:tx>
          <c:spPr>
            <a:ln w="19050" cap="rnd">
              <a:solidFill>
                <a:srgbClr val="FF0000"/>
              </a:solidFill>
              <a:round/>
            </a:ln>
            <a:effectLst/>
          </c:spPr>
          <c:marker>
            <c:symbol val="none"/>
          </c:marker>
          <c:xVal>
            <c:numRef>
              <c:f>'Offshore Wind (2)'!$L$93:$O$93</c:f>
              <c:numCache>
                <c:formatCode>General</c:formatCode>
                <c:ptCount val="4"/>
                <c:pt idx="0">
                  <c:v>5</c:v>
                </c:pt>
                <c:pt idx="1">
                  <c:v>8</c:v>
                </c:pt>
                <c:pt idx="2">
                  <c:v>10</c:v>
                </c:pt>
                <c:pt idx="3">
                  <c:v>15</c:v>
                </c:pt>
              </c:numCache>
            </c:numRef>
          </c:xVal>
          <c:yVal>
            <c:numRef>
              <c:f>'Offshore Wind (2)'!$L$217:$O$217</c:f>
              <c:numCache>
                <c:formatCode>"$"#,##0</c:formatCode>
                <c:ptCount val="4"/>
                <c:pt idx="0">
                  <c:v>39.024314501637946</c:v>
                </c:pt>
                <c:pt idx="1">
                  <c:v>36.032388936952501</c:v>
                </c:pt>
                <c:pt idx="2">
                  <c:v>34.419615553337522</c:v>
                </c:pt>
                <c:pt idx="3">
                  <c:v>30.862846113994962</c:v>
                </c:pt>
              </c:numCache>
            </c:numRef>
          </c:yVal>
          <c:smooth val="0"/>
          <c:extLst>
            <c:ext xmlns:c16="http://schemas.microsoft.com/office/drawing/2014/chart" uri="{C3380CC4-5D6E-409C-BE32-E72D297353CC}">
              <c16:uniqueId val="{00000009-15D1-4DA0-9CB0-32CF118CF203}"/>
            </c:ext>
          </c:extLst>
        </c:ser>
        <c:dLbls>
          <c:showLegendKey val="0"/>
          <c:showVal val="0"/>
          <c:showCatName val="0"/>
          <c:showSerName val="0"/>
          <c:showPercent val="0"/>
          <c:showBubbleSize val="0"/>
        </c:dLbls>
        <c:axId val="725043343"/>
        <c:axId val="725045007"/>
      </c:scatterChart>
      <c:valAx>
        <c:axId val="7250433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Turbine Size (MW)</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45007"/>
        <c:crosses val="autoZero"/>
        <c:crossBetween val="midCat"/>
      </c:valAx>
      <c:valAx>
        <c:axId val="725045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LCOE (USD/MWh)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433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LCOE Penalty: Difference between calculated LCOE and NREL ATB LCOE</a:t>
            </a:r>
          </a:p>
        </c:rich>
      </c:tx>
      <c:layout>
        <c:manualLayout>
          <c:xMode val="edge"/>
          <c:yMode val="edge"/>
          <c:x val="0.14999830062883029"/>
          <c:y val="3.220611916264089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'Offshore Wind (2)'!$K$219</c:f>
              <c:strCache>
                <c:ptCount val="1"/>
                <c:pt idx="0">
                  <c:v>Class 8 - LCOE Penalty - High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'Offshore Wind (2)'!$L$93:$O$93</c:f>
              <c:numCache>
                <c:formatCode>General</c:formatCode>
                <c:ptCount val="4"/>
                <c:pt idx="0">
                  <c:v>5</c:v>
                </c:pt>
                <c:pt idx="1">
                  <c:v>8</c:v>
                </c:pt>
                <c:pt idx="2">
                  <c:v>10</c:v>
                </c:pt>
                <c:pt idx="3">
                  <c:v>15</c:v>
                </c:pt>
              </c:numCache>
            </c:numRef>
          </c:xVal>
          <c:yVal>
            <c:numRef>
              <c:f>'Offshore Wind (2)'!$L$219:$O$219</c:f>
              <c:numCache>
                <c:formatCode>"$"#,##0</c:formatCode>
                <c:ptCount val="4"/>
                <c:pt idx="0">
                  <c:v>25.868431853902177</c:v>
                </c:pt>
                <c:pt idx="1">
                  <c:v>15.199745756332273</c:v>
                </c:pt>
                <c:pt idx="2">
                  <c:v>16.588159361269053</c:v>
                </c:pt>
                <c:pt idx="3">
                  <c:v>26.573124906042541</c:v>
                </c:pt>
              </c:numCache>
            </c:numRef>
          </c:yVal>
          <c:smooth val="0"/>
          <c:extLst>
            <c:ext xmlns:c16="http://schemas.microsoft.com/office/drawing/2014/chart" uri="{C3380CC4-5D6E-409C-BE32-E72D297353CC}">
              <c16:uniqueId val="{00000008-ED10-409F-A6E5-D64EDB5314CB}"/>
            </c:ext>
          </c:extLst>
        </c:ser>
        <c:ser>
          <c:idx val="1"/>
          <c:order val="1"/>
          <c:tx>
            <c:strRef>
              <c:f>'Offshore Wind (2)'!$K$220</c:f>
              <c:strCache>
                <c:ptCount val="1"/>
                <c:pt idx="0">
                  <c:v>Class 8 - LCOE Penalty - Low</c:v>
                </c:pt>
              </c:strCache>
            </c:strRef>
          </c:tx>
          <c:spPr>
            <a:ln w="19050" cap="rnd">
              <a:solidFill>
                <a:schemeClr val="accent1"/>
              </a:solidFill>
              <a:round/>
            </a:ln>
            <a:effectLst/>
          </c:spPr>
          <c:marker>
            <c:symbol val="circle"/>
            <c:size val="5"/>
            <c:spPr>
              <a:solidFill>
                <a:schemeClr val="accent1"/>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(2)'!$L$220:$O$220</c:f>
              <c:numCache>
                <c:formatCode>"$"#,##0</c:formatCode>
                <c:ptCount val="4"/>
                <c:pt idx="0">
                  <c:v>21.349045442137832</c:v>
                </c:pt>
                <c:pt idx="1">
                  <c:v>11.264479224609023</c:v>
                </c:pt>
                <c:pt idx="2">
                  <c:v>12.645823869424028</c:v>
                </c:pt>
                <c:pt idx="3">
                  <c:v>22.521879784236038</c:v>
                </c:pt>
              </c:numCache>
            </c:numRef>
          </c:yVal>
          <c:smooth val="0"/>
          <c:extLst>
            <c:ext xmlns:c16="http://schemas.microsoft.com/office/drawing/2014/chart" uri="{C3380CC4-5D6E-409C-BE32-E72D297353CC}">
              <c16:uniqueId val="{00000009-ED10-409F-A6E5-D64EDB5314CB}"/>
            </c:ext>
          </c:extLst>
        </c:ser>
        <c:ser>
          <c:idx val="2"/>
          <c:order val="2"/>
          <c:tx>
            <c:strRef>
              <c:f>'Offshore Wind (2)'!$K$221</c:f>
              <c:strCache>
                <c:ptCount val="1"/>
                <c:pt idx="0">
                  <c:v>Class 14 - LCOE Penalty - High</c:v>
                </c:pt>
              </c:strCache>
            </c:strRef>
          </c:tx>
          <c:spPr>
            <a:ln w="19050" cap="rnd">
              <a:solidFill>
                <a:srgbClr val="FF0000"/>
              </a:solidFill>
              <a:round/>
            </a:ln>
            <a:effectLst/>
          </c:spPr>
          <c:marker>
            <c:symbol val="circle"/>
            <c:size val="5"/>
            <c:spPr>
              <a:solidFill>
                <a:srgbClr val="FF0000"/>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(2)'!$L$221:$O$221</c:f>
              <c:numCache>
                <c:formatCode>"$"#,##0</c:formatCode>
                <c:ptCount val="4"/>
                <c:pt idx="0">
                  <c:v>66.223034849549762</c:v>
                </c:pt>
                <c:pt idx="1">
                  <c:v>37.904749720754097</c:v>
                </c:pt>
                <c:pt idx="2">
                  <c:v>38.599821954442859</c:v>
                </c:pt>
                <c:pt idx="3">
                  <c:v>56.096313419326677</c:v>
                </c:pt>
              </c:numCache>
            </c:numRef>
          </c:yVal>
          <c:smooth val="0"/>
          <c:extLst>
            <c:ext xmlns:c16="http://schemas.microsoft.com/office/drawing/2014/chart" uri="{C3380CC4-5D6E-409C-BE32-E72D297353CC}">
              <c16:uniqueId val="{0000000A-ED10-409F-A6E5-D64EDB5314CB}"/>
            </c:ext>
          </c:extLst>
        </c:ser>
        <c:ser>
          <c:idx val="3"/>
          <c:order val="3"/>
          <c:tx>
            <c:strRef>
              <c:f>'Offshore Wind (2)'!$K$222</c:f>
              <c:strCache>
                <c:ptCount val="1"/>
                <c:pt idx="0">
                  <c:v>Class 14 - LCOE Penalty - Low</c:v>
                </c:pt>
              </c:strCache>
            </c:strRef>
          </c:tx>
          <c:spPr>
            <a:ln w="19050" cap="rnd">
              <a:solidFill>
                <a:srgbClr val="FF0000"/>
              </a:solidFill>
              <a:round/>
            </a:ln>
            <a:effectLst/>
          </c:spPr>
          <c:marker>
            <c:symbol val="circle"/>
            <c:size val="5"/>
            <c:spPr>
              <a:solidFill>
                <a:srgbClr val="FF0000"/>
              </a:solidFill>
              <a:ln w="9525">
                <a:noFill/>
              </a:ln>
              <a:effectLst/>
            </c:spPr>
          </c:marker>
          <c:xVal>
            <c:numRef>
              <c:f>'Offshore Wind (2)'!$L$93:$O$93</c:f>
              <c:numCache>
                <c:formatCode>General</c:formatCode>
                <c:ptCount val="4"/>
                <c:pt idx="0">
                  <c:v>5</c:v>
                </c:pt>
                <c:pt idx="1">
                  <c:v>8</c:v>
                </c:pt>
                <c:pt idx="2">
                  <c:v>10</c:v>
                </c:pt>
                <c:pt idx="3">
                  <c:v>15</c:v>
                </c:pt>
              </c:numCache>
            </c:numRef>
          </c:xVal>
          <c:yVal>
            <c:numRef>
              <c:f>'Offshore Wind (2)'!$L$222:$O$222</c:f>
              <c:numCache>
                <c:formatCode>"$"#,##0</c:formatCode>
                <c:ptCount val="4"/>
                <c:pt idx="0">
                  <c:v>56.588054278638516</c:v>
                </c:pt>
                <c:pt idx="1">
                  <c:v>29.630373865740566</c:v>
                </c:pt>
                <c:pt idx="2">
                  <c:v>30.693433603915949</c:v>
                </c:pt>
                <c:pt idx="3">
                  <c:v>48.289558696291486</c:v>
                </c:pt>
              </c:numCache>
            </c:numRef>
          </c:yVal>
          <c:smooth val="0"/>
          <c:extLst>
            <c:ext xmlns:c16="http://schemas.microsoft.com/office/drawing/2014/chart" uri="{C3380CC4-5D6E-409C-BE32-E72D297353CC}">
              <c16:uniqueId val="{0000000B-ED10-409F-A6E5-D64EDB5314CB}"/>
            </c:ext>
          </c:extLst>
        </c:ser>
        <c:dLbls>
          <c:showLegendKey val="0"/>
          <c:showVal val="0"/>
          <c:showCatName val="0"/>
          <c:showSerName val="0"/>
          <c:showPercent val="0"/>
          <c:showBubbleSize val="0"/>
        </c:dLbls>
        <c:axId val="153774896"/>
        <c:axId val="153761584"/>
      </c:scatterChart>
      <c:valAx>
        <c:axId val="1537748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Turbine Size (MW)</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61584"/>
        <c:crosses val="autoZero"/>
        <c:crossBetween val="midCat"/>
      </c:valAx>
      <c:valAx>
        <c:axId val="153761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748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19050</xdr:colOff>
      <xdr:row>311</xdr:row>
      <xdr:rowOff>19050</xdr:rowOff>
    </xdr:from>
    <xdr:to>
      <xdr:col>9</xdr:col>
      <xdr:colOff>156210</xdr:colOff>
      <xdr:row>311</xdr:row>
      <xdr:rowOff>156210</xdr:rowOff>
    </xdr:to>
    <xdr:sp macro="[1]!OvernightCapitalCostDefinition" textlink="">
      <xdr:nvSpPr>
        <xdr:cNvPr id="2" name="Oval 1">
          <a:extLst>
            <a:ext uri="{FF2B5EF4-FFF2-40B4-BE49-F238E27FC236}">
              <a16:creationId xmlns:a16="http://schemas.microsoft.com/office/drawing/2014/main" id="{00000000-0008-0000-0000-000002000000}"/>
            </a:ext>
          </a:extLst>
        </xdr:cNvPr>
        <xdr:cNvSpPr/>
      </xdr:nvSpPr>
      <xdr:spPr>
        <a:xfrm>
          <a:off x="1741170" y="3311652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532</xdr:row>
      <xdr:rowOff>19050</xdr:rowOff>
    </xdr:from>
    <xdr:to>
      <xdr:col>9</xdr:col>
      <xdr:colOff>156210</xdr:colOff>
      <xdr:row>532</xdr:row>
      <xdr:rowOff>156210</xdr:rowOff>
    </xdr:to>
    <xdr:sp macro="[1]!Oval75_Click" textlink="">
      <xdr:nvSpPr>
        <xdr:cNvPr id="3" name="Oval 2">
          <a:extLst>
            <a:ext uri="{FF2B5EF4-FFF2-40B4-BE49-F238E27FC236}">
              <a16:creationId xmlns:a16="http://schemas.microsoft.com/office/drawing/2014/main" id="{00000000-0008-0000-0000-000003000000}"/>
            </a:ext>
          </a:extLst>
        </xdr:cNvPr>
        <xdr:cNvSpPr/>
      </xdr:nvSpPr>
      <xdr:spPr>
        <a:xfrm>
          <a:off x="1741170" y="455599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398</xdr:row>
      <xdr:rowOff>19050</xdr:rowOff>
    </xdr:from>
    <xdr:to>
      <xdr:col>9</xdr:col>
      <xdr:colOff>156210</xdr:colOff>
      <xdr:row>398</xdr:row>
      <xdr:rowOff>156210</xdr:rowOff>
    </xdr:to>
    <xdr:sp macro="[1]!OperatingExpensesDefinition" textlink="">
      <xdr:nvSpPr>
        <xdr:cNvPr id="4" name="Oval 3">
          <a:extLst>
            <a:ext uri="{FF2B5EF4-FFF2-40B4-BE49-F238E27FC236}">
              <a16:creationId xmlns:a16="http://schemas.microsoft.com/office/drawing/2014/main" id="{00000000-0008-0000-0000-000004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92</xdr:row>
      <xdr:rowOff>19050</xdr:rowOff>
    </xdr:from>
    <xdr:to>
      <xdr:col>9</xdr:col>
      <xdr:colOff>156210</xdr:colOff>
      <xdr:row>92</xdr:row>
      <xdr:rowOff>156210</xdr:rowOff>
    </xdr:to>
    <xdr:sp macro="[1]!CapacityFactorDefinition" textlink="">
      <xdr:nvSpPr>
        <xdr:cNvPr id="5" name="Oval 4">
          <a:extLst>
            <a:ext uri="{FF2B5EF4-FFF2-40B4-BE49-F238E27FC236}">
              <a16:creationId xmlns:a16="http://schemas.microsoft.com/office/drawing/2014/main" id="{00000000-0008-0000-0000-000005000000}"/>
            </a:ext>
          </a:extLst>
        </xdr:cNvPr>
        <xdr:cNvSpPr/>
      </xdr:nvSpPr>
      <xdr:spPr>
        <a:xfrm>
          <a:off x="1741170" y="169926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1741170" y="210235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577</xdr:row>
      <xdr:rowOff>19050</xdr:rowOff>
    </xdr:from>
    <xdr:to>
      <xdr:col>9</xdr:col>
      <xdr:colOff>156210</xdr:colOff>
      <xdr:row>577</xdr:row>
      <xdr:rowOff>156210</xdr:rowOff>
    </xdr:to>
    <xdr:sp macro="[1]!LCOEDefinition" textlink="">
      <xdr:nvSpPr>
        <xdr:cNvPr id="7" name="Oval 6">
          <a:extLst>
            <a:ext uri="{FF2B5EF4-FFF2-40B4-BE49-F238E27FC236}">
              <a16:creationId xmlns:a16="http://schemas.microsoft.com/office/drawing/2014/main" id="{00000000-0008-0000-0000-000007000000}"/>
            </a:ext>
          </a:extLst>
        </xdr:cNvPr>
        <xdr:cNvSpPr/>
      </xdr:nvSpPr>
      <xdr:spPr>
        <a:xfrm>
          <a:off x="1741170" y="4976622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92</xdr:row>
      <xdr:rowOff>19050</xdr:rowOff>
    </xdr:from>
    <xdr:to>
      <xdr:col>9</xdr:col>
      <xdr:colOff>156210</xdr:colOff>
      <xdr:row>92</xdr:row>
      <xdr:rowOff>156210</xdr:rowOff>
    </xdr:to>
    <xdr:sp macro="" textlink="">
      <xdr:nvSpPr>
        <xdr:cNvPr id="8" name="Oval 7">
          <a:extLst>
            <a:ext uri="{FF2B5EF4-FFF2-40B4-BE49-F238E27FC236}">
              <a16:creationId xmlns:a16="http://schemas.microsoft.com/office/drawing/2014/main" id="{00000000-0008-0000-0000-000008000000}"/>
            </a:ext>
          </a:extLst>
        </xdr:cNvPr>
        <xdr:cNvSpPr/>
      </xdr:nvSpPr>
      <xdr:spPr>
        <a:xfrm>
          <a:off x="1741170" y="169926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92</xdr:row>
      <xdr:rowOff>19050</xdr:rowOff>
    </xdr:from>
    <xdr:to>
      <xdr:col>9</xdr:col>
      <xdr:colOff>156210</xdr:colOff>
      <xdr:row>92</xdr:row>
      <xdr:rowOff>156210</xdr:rowOff>
    </xdr:to>
    <xdr:sp macro="" textlink="">
      <xdr:nvSpPr>
        <xdr:cNvPr id="9" name="Oval 8">
          <a:extLst>
            <a:ext uri="{FF2B5EF4-FFF2-40B4-BE49-F238E27FC236}">
              <a16:creationId xmlns:a16="http://schemas.microsoft.com/office/drawing/2014/main" id="{00000000-0008-0000-0000-000009000000}"/>
            </a:ext>
          </a:extLst>
        </xdr:cNvPr>
        <xdr:cNvSpPr/>
      </xdr:nvSpPr>
      <xdr:spPr>
        <a:xfrm>
          <a:off x="1741170" y="169926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1]!AnnualEnergyProductionDefinition" textlink="">
      <xdr:nvSpPr>
        <xdr:cNvPr id="10" name="Oval 9">
          <a:extLst>
            <a:ext uri="{FF2B5EF4-FFF2-40B4-BE49-F238E27FC236}">
              <a16:creationId xmlns:a16="http://schemas.microsoft.com/office/drawing/2014/main" id="{00000000-0008-0000-0000-00000A000000}"/>
            </a:ext>
          </a:extLst>
        </xdr:cNvPr>
        <xdr:cNvSpPr/>
      </xdr:nvSpPr>
      <xdr:spPr>
        <a:xfrm>
          <a:off x="1741170" y="210235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1]!CapitalCostDefinition" textlink="">
      <xdr:nvSpPr>
        <xdr:cNvPr id="11" name="Oval 10">
          <a:extLst>
            <a:ext uri="{FF2B5EF4-FFF2-40B4-BE49-F238E27FC236}">
              <a16:creationId xmlns:a16="http://schemas.microsoft.com/office/drawing/2014/main" id="{00000000-0008-0000-0000-00000B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12" name="Oval 11">
          <a:extLst>
            <a:ext uri="{FF2B5EF4-FFF2-40B4-BE49-F238E27FC236}">
              <a16:creationId xmlns:a16="http://schemas.microsoft.com/office/drawing/2014/main" id="{00000000-0008-0000-0000-00000C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13" name="Oval 12">
          <a:extLst>
            <a:ext uri="{FF2B5EF4-FFF2-40B4-BE49-F238E27FC236}">
              <a16:creationId xmlns:a16="http://schemas.microsoft.com/office/drawing/2014/main" id="{00000000-0008-0000-0000-00000D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1]!ConstructionFinanceDefinition" textlink="">
      <xdr:nvSpPr>
        <xdr:cNvPr id="18" name="Oval 17">
          <a:extLst>
            <a:ext uri="{FF2B5EF4-FFF2-40B4-BE49-F238E27FC236}">
              <a16:creationId xmlns:a16="http://schemas.microsoft.com/office/drawing/2014/main" id="{00000000-0008-0000-0000-000012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20" name="Oval 19">
          <a:extLst>
            <a:ext uri="{FF2B5EF4-FFF2-40B4-BE49-F238E27FC236}">
              <a16:creationId xmlns:a16="http://schemas.microsoft.com/office/drawing/2014/main" id="{00000000-0008-0000-0000-000014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488</xdr:row>
      <xdr:rowOff>19050</xdr:rowOff>
    </xdr:from>
    <xdr:to>
      <xdr:col>9</xdr:col>
      <xdr:colOff>156210</xdr:colOff>
      <xdr:row>488</xdr:row>
      <xdr:rowOff>156210</xdr:rowOff>
    </xdr:to>
    <xdr:sp macro="[1]!InterconnectionCostDefinition" textlink="">
      <xdr:nvSpPr>
        <xdr:cNvPr id="21" name="Oval 20">
          <a:extLst>
            <a:ext uri="{FF2B5EF4-FFF2-40B4-BE49-F238E27FC236}">
              <a16:creationId xmlns:a16="http://schemas.microsoft.com/office/drawing/2014/main" id="{00000000-0008-0000-0000-000015000000}"/>
            </a:ext>
          </a:extLst>
        </xdr:cNvPr>
        <xdr:cNvSpPr/>
      </xdr:nvSpPr>
      <xdr:spPr>
        <a:xfrm>
          <a:off x="1741170" y="415290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532</xdr:row>
      <xdr:rowOff>19050</xdr:rowOff>
    </xdr:from>
    <xdr:to>
      <xdr:col>9</xdr:col>
      <xdr:colOff>156210</xdr:colOff>
      <xdr:row>532</xdr:row>
      <xdr:rowOff>156210</xdr:rowOff>
    </xdr:to>
    <xdr:sp macro="" textlink="">
      <xdr:nvSpPr>
        <xdr:cNvPr id="22" name="Oval 21">
          <a:extLst>
            <a:ext uri="{FF2B5EF4-FFF2-40B4-BE49-F238E27FC236}">
              <a16:creationId xmlns:a16="http://schemas.microsoft.com/office/drawing/2014/main" id="{00000000-0008-0000-0000-000016000000}"/>
            </a:ext>
          </a:extLst>
        </xdr:cNvPr>
        <xdr:cNvSpPr/>
      </xdr:nvSpPr>
      <xdr:spPr>
        <a:xfrm>
          <a:off x="1741170" y="455599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900" b="1">
            <a:solidFill>
              <a:srgbClr val="FFC000"/>
            </a:solidFill>
          </a:endParaRPr>
        </a:p>
        <a:p>
          <a:pPr algn="ctr"/>
          <a:endParaRPr lang="en-US" sz="900" b="1">
            <a:solidFill>
              <a:srgbClr val="FFC000"/>
            </a:solidFill>
          </a:endParaRP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23" name="Oval 22">
          <a:extLst>
            <a:ext uri="{FF2B5EF4-FFF2-40B4-BE49-F238E27FC236}">
              <a16:creationId xmlns:a16="http://schemas.microsoft.com/office/drawing/2014/main" id="{00000000-0008-0000-0000-000017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24" name="Oval 23">
          <a:extLst>
            <a:ext uri="{FF2B5EF4-FFF2-40B4-BE49-F238E27FC236}">
              <a16:creationId xmlns:a16="http://schemas.microsoft.com/office/drawing/2014/main" id="{00000000-0008-0000-0000-000018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25" name="Oval 24">
          <a:extLst>
            <a:ext uri="{FF2B5EF4-FFF2-40B4-BE49-F238E27FC236}">
              <a16:creationId xmlns:a16="http://schemas.microsoft.com/office/drawing/2014/main" id="{00000000-0008-0000-0000-000019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26" name="Oval 25">
          <a:extLst>
            <a:ext uri="{FF2B5EF4-FFF2-40B4-BE49-F238E27FC236}">
              <a16:creationId xmlns:a16="http://schemas.microsoft.com/office/drawing/2014/main" id="{00000000-0008-0000-0000-00001A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27" name="Oval 26">
          <a:extLst>
            <a:ext uri="{FF2B5EF4-FFF2-40B4-BE49-F238E27FC236}">
              <a16:creationId xmlns:a16="http://schemas.microsoft.com/office/drawing/2014/main" id="{00000000-0008-0000-0000-00001B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28" name="Oval 27">
          <a:extLst>
            <a:ext uri="{FF2B5EF4-FFF2-40B4-BE49-F238E27FC236}">
              <a16:creationId xmlns:a16="http://schemas.microsoft.com/office/drawing/2014/main" id="{00000000-0008-0000-0000-00001C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8</xdr:col>
      <xdr:colOff>367805</xdr:colOff>
      <xdr:row>39</xdr:row>
      <xdr:rowOff>98584</xdr:rowOff>
    </xdr:from>
    <xdr:to>
      <xdr:col>8</xdr:col>
      <xdr:colOff>497345</xdr:colOff>
      <xdr:row>40</xdr:row>
      <xdr:rowOff>78582</xdr:rowOff>
    </xdr:to>
    <xdr:sp macro="[1]!WACCDefinition" textlink="">
      <xdr:nvSpPr>
        <xdr:cNvPr id="29" name="Oval 28">
          <a:extLst>
            <a:ext uri="{FF2B5EF4-FFF2-40B4-BE49-F238E27FC236}">
              <a16:creationId xmlns:a16="http://schemas.microsoft.com/office/drawing/2014/main" id="{00000000-0008-0000-0000-00001D000000}"/>
            </a:ext>
          </a:extLst>
        </xdr:cNvPr>
        <xdr:cNvSpPr/>
      </xdr:nvSpPr>
      <xdr:spPr>
        <a:xfrm>
          <a:off x="1510805" y="7802404"/>
          <a:ext cx="129540" cy="155258"/>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792480</xdr:colOff>
          <xdr:row>2</xdr:row>
          <xdr:rowOff>106680</xdr:rowOff>
        </xdr:from>
        <xdr:to>
          <xdr:col>11</xdr:col>
          <xdr:colOff>381000</xdr:colOff>
          <xdr:row>4</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106680</xdr:rowOff>
        </xdr:from>
        <xdr:to>
          <xdr:col>13</xdr:col>
          <xdr:colOff>723900</xdr:colOff>
          <xdr:row>4</xdr:row>
          <xdr:rowOff>106680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Future Projections</a:t>
              </a:r>
            </a:p>
          </xdr:txBody>
        </xdr:sp>
        <xdr:clientData fPrintsWithSheet="0"/>
      </xdr:twoCellAnchor>
    </mc:Choice>
    <mc:Fallback/>
  </mc:AlternateContent>
  <xdr:twoCellAnchor>
    <xdr:from>
      <xdr:col>9</xdr:col>
      <xdr:colOff>19050</xdr:colOff>
      <xdr:row>311</xdr:row>
      <xdr:rowOff>19050</xdr:rowOff>
    </xdr:from>
    <xdr:to>
      <xdr:col>9</xdr:col>
      <xdr:colOff>156210</xdr:colOff>
      <xdr:row>311</xdr:row>
      <xdr:rowOff>156210</xdr:rowOff>
    </xdr:to>
    <xdr:sp macro="[1]!OvernightCapitalCostDefinition" textlink="">
      <xdr:nvSpPr>
        <xdr:cNvPr id="32" name="Oval 31">
          <a:extLst>
            <a:ext uri="{FF2B5EF4-FFF2-40B4-BE49-F238E27FC236}">
              <a16:creationId xmlns:a16="http://schemas.microsoft.com/office/drawing/2014/main" id="{00000000-0008-0000-0000-000020000000}"/>
            </a:ext>
          </a:extLst>
        </xdr:cNvPr>
        <xdr:cNvSpPr/>
      </xdr:nvSpPr>
      <xdr:spPr>
        <a:xfrm>
          <a:off x="1741170" y="3311652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532</xdr:row>
      <xdr:rowOff>19050</xdr:rowOff>
    </xdr:from>
    <xdr:to>
      <xdr:col>9</xdr:col>
      <xdr:colOff>156210</xdr:colOff>
      <xdr:row>532</xdr:row>
      <xdr:rowOff>156210</xdr:rowOff>
    </xdr:to>
    <xdr:sp macro="[1]!Oval75_Click" textlink="">
      <xdr:nvSpPr>
        <xdr:cNvPr id="33" name="Oval 32">
          <a:extLst>
            <a:ext uri="{FF2B5EF4-FFF2-40B4-BE49-F238E27FC236}">
              <a16:creationId xmlns:a16="http://schemas.microsoft.com/office/drawing/2014/main" id="{00000000-0008-0000-0000-000021000000}"/>
            </a:ext>
          </a:extLst>
        </xdr:cNvPr>
        <xdr:cNvSpPr/>
      </xdr:nvSpPr>
      <xdr:spPr>
        <a:xfrm>
          <a:off x="1741170" y="455599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398</xdr:row>
      <xdr:rowOff>19050</xdr:rowOff>
    </xdr:from>
    <xdr:to>
      <xdr:col>9</xdr:col>
      <xdr:colOff>156210</xdr:colOff>
      <xdr:row>398</xdr:row>
      <xdr:rowOff>156210</xdr:rowOff>
    </xdr:to>
    <xdr:sp macro="[1]!OperatingExpensesDefinition" textlink="">
      <xdr:nvSpPr>
        <xdr:cNvPr id="34" name="Oval 33">
          <a:extLst>
            <a:ext uri="{FF2B5EF4-FFF2-40B4-BE49-F238E27FC236}">
              <a16:creationId xmlns:a16="http://schemas.microsoft.com/office/drawing/2014/main" id="{00000000-0008-0000-0000-000022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92</xdr:row>
      <xdr:rowOff>19050</xdr:rowOff>
    </xdr:from>
    <xdr:to>
      <xdr:col>9</xdr:col>
      <xdr:colOff>156210</xdr:colOff>
      <xdr:row>92</xdr:row>
      <xdr:rowOff>156210</xdr:rowOff>
    </xdr:to>
    <xdr:sp macro="[1]!CapacityFactorDefinition" textlink="">
      <xdr:nvSpPr>
        <xdr:cNvPr id="35" name="Oval 34">
          <a:extLst>
            <a:ext uri="{FF2B5EF4-FFF2-40B4-BE49-F238E27FC236}">
              <a16:creationId xmlns:a16="http://schemas.microsoft.com/office/drawing/2014/main" id="{00000000-0008-0000-0000-000023000000}"/>
            </a:ext>
          </a:extLst>
        </xdr:cNvPr>
        <xdr:cNvSpPr/>
      </xdr:nvSpPr>
      <xdr:spPr>
        <a:xfrm>
          <a:off x="1741170" y="169926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 textlink="">
      <xdr:nvSpPr>
        <xdr:cNvPr id="36" name="Oval 35">
          <a:extLst>
            <a:ext uri="{FF2B5EF4-FFF2-40B4-BE49-F238E27FC236}">
              <a16:creationId xmlns:a16="http://schemas.microsoft.com/office/drawing/2014/main" id="{00000000-0008-0000-0000-000024000000}"/>
            </a:ext>
          </a:extLst>
        </xdr:cNvPr>
        <xdr:cNvSpPr/>
      </xdr:nvSpPr>
      <xdr:spPr>
        <a:xfrm>
          <a:off x="1741170" y="210235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577</xdr:row>
      <xdr:rowOff>19050</xdr:rowOff>
    </xdr:from>
    <xdr:to>
      <xdr:col>9</xdr:col>
      <xdr:colOff>156210</xdr:colOff>
      <xdr:row>577</xdr:row>
      <xdr:rowOff>156210</xdr:rowOff>
    </xdr:to>
    <xdr:sp macro="[1]!LCOEDefinition" textlink="">
      <xdr:nvSpPr>
        <xdr:cNvPr id="37" name="Oval 36">
          <a:extLst>
            <a:ext uri="{FF2B5EF4-FFF2-40B4-BE49-F238E27FC236}">
              <a16:creationId xmlns:a16="http://schemas.microsoft.com/office/drawing/2014/main" id="{00000000-0008-0000-0000-000025000000}"/>
            </a:ext>
          </a:extLst>
        </xdr:cNvPr>
        <xdr:cNvSpPr/>
      </xdr:nvSpPr>
      <xdr:spPr>
        <a:xfrm>
          <a:off x="1741170" y="4976622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92</xdr:row>
      <xdr:rowOff>19050</xdr:rowOff>
    </xdr:from>
    <xdr:to>
      <xdr:col>9</xdr:col>
      <xdr:colOff>156210</xdr:colOff>
      <xdr:row>92</xdr:row>
      <xdr:rowOff>156210</xdr:rowOff>
    </xdr:to>
    <xdr:sp macro="" textlink="">
      <xdr:nvSpPr>
        <xdr:cNvPr id="38" name="Oval 37">
          <a:extLst>
            <a:ext uri="{FF2B5EF4-FFF2-40B4-BE49-F238E27FC236}">
              <a16:creationId xmlns:a16="http://schemas.microsoft.com/office/drawing/2014/main" id="{00000000-0008-0000-0000-000026000000}"/>
            </a:ext>
          </a:extLst>
        </xdr:cNvPr>
        <xdr:cNvSpPr/>
      </xdr:nvSpPr>
      <xdr:spPr>
        <a:xfrm>
          <a:off x="1741170" y="169926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92</xdr:row>
      <xdr:rowOff>19050</xdr:rowOff>
    </xdr:from>
    <xdr:to>
      <xdr:col>9</xdr:col>
      <xdr:colOff>156210</xdr:colOff>
      <xdr:row>92</xdr:row>
      <xdr:rowOff>156210</xdr:rowOff>
    </xdr:to>
    <xdr:sp macro="" textlink="">
      <xdr:nvSpPr>
        <xdr:cNvPr id="39" name="Oval 38">
          <a:extLst>
            <a:ext uri="{FF2B5EF4-FFF2-40B4-BE49-F238E27FC236}">
              <a16:creationId xmlns:a16="http://schemas.microsoft.com/office/drawing/2014/main" id="{00000000-0008-0000-0000-000027000000}"/>
            </a:ext>
          </a:extLst>
        </xdr:cNvPr>
        <xdr:cNvSpPr/>
      </xdr:nvSpPr>
      <xdr:spPr>
        <a:xfrm>
          <a:off x="1741170" y="169926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1]!AnnualEnergyProductionDefinition" textlink="">
      <xdr:nvSpPr>
        <xdr:cNvPr id="40" name="Oval 39">
          <a:extLst>
            <a:ext uri="{FF2B5EF4-FFF2-40B4-BE49-F238E27FC236}">
              <a16:creationId xmlns:a16="http://schemas.microsoft.com/office/drawing/2014/main" id="{00000000-0008-0000-0000-000028000000}"/>
            </a:ext>
          </a:extLst>
        </xdr:cNvPr>
        <xdr:cNvSpPr/>
      </xdr:nvSpPr>
      <xdr:spPr>
        <a:xfrm>
          <a:off x="1741170" y="210235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1]!CapitalCostDefinition" textlink="">
      <xdr:nvSpPr>
        <xdr:cNvPr id="41" name="Oval 40">
          <a:extLst>
            <a:ext uri="{FF2B5EF4-FFF2-40B4-BE49-F238E27FC236}">
              <a16:creationId xmlns:a16="http://schemas.microsoft.com/office/drawing/2014/main" id="{00000000-0008-0000-0000-000029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42" name="Oval 41">
          <a:extLst>
            <a:ext uri="{FF2B5EF4-FFF2-40B4-BE49-F238E27FC236}">
              <a16:creationId xmlns:a16="http://schemas.microsoft.com/office/drawing/2014/main" id="{00000000-0008-0000-0000-00002A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43" name="Oval 42">
          <a:extLst>
            <a:ext uri="{FF2B5EF4-FFF2-40B4-BE49-F238E27FC236}">
              <a16:creationId xmlns:a16="http://schemas.microsoft.com/office/drawing/2014/main" id="{00000000-0008-0000-0000-00002B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44" name="Oval 43">
          <a:extLst>
            <a:ext uri="{FF2B5EF4-FFF2-40B4-BE49-F238E27FC236}">
              <a16:creationId xmlns:a16="http://schemas.microsoft.com/office/drawing/2014/main" id="{00000000-0008-0000-0000-00002C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45" name="Oval 44">
          <a:extLst>
            <a:ext uri="{FF2B5EF4-FFF2-40B4-BE49-F238E27FC236}">
              <a16:creationId xmlns:a16="http://schemas.microsoft.com/office/drawing/2014/main" id="{00000000-0008-0000-0000-00002D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46" name="Oval 45">
          <a:extLst>
            <a:ext uri="{FF2B5EF4-FFF2-40B4-BE49-F238E27FC236}">
              <a16:creationId xmlns:a16="http://schemas.microsoft.com/office/drawing/2014/main" id="{00000000-0008-0000-0000-00002E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 textlink="">
      <xdr:nvSpPr>
        <xdr:cNvPr id="47" name="Oval 46">
          <a:extLst>
            <a:ext uri="{FF2B5EF4-FFF2-40B4-BE49-F238E27FC236}">
              <a16:creationId xmlns:a16="http://schemas.microsoft.com/office/drawing/2014/main" id="{00000000-0008-0000-0000-00002F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267</xdr:row>
      <xdr:rowOff>19050</xdr:rowOff>
    </xdr:from>
    <xdr:to>
      <xdr:col>9</xdr:col>
      <xdr:colOff>156210</xdr:colOff>
      <xdr:row>267</xdr:row>
      <xdr:rowOff>156210</xdr:rowOff>
    </xdr:to>
    <xdr:sp macro="[1]!ConstructionFinanceDefinition" textlink="">
      <xdr:nvSpPr>
        <xdr:cNvPr id="48" name="Oval 47">
          <a:extLst>
            <a:ext uri="{FF2B5EF4-FFF2-40B4-BE49-F238E27FC236}">
              <a16:creationId xmlns:a16="http://schemas.microsoft.com/office/drawing/2014/main" id="{00000000-0008-0000-0000-000030000000}"/>
            </a:ext>
          </a:extLst>
        </xdr:cNvPr>
        <xdr:cNvSpPr/>
      </xdr:nvSpPr>
      <xdr:spPr>
        <a:xfrm>
          <a:off x="1741170" y="2908554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49" name="Oval 48">
          <a:extLst>
            <a:ext uri="{FF2B5EF4-FFF2-40B4-BE49-F238E27FC236}">
              <a16:creationId xmlns:a16="http://schemas.microsoft.com/office/drawing/2014/main" id="{00000000-0008-0000-0000-000031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223</xdr:row>
      <xdr:rowOff>19050</xdr:rowOff>
    </xdr:from>
    <xdr:to>
      <xdr:col>9</xdr:col>
      <xdr:colOff>156210</xdr:colOff>
      <xdr:row>223</xdr:row>
      <xdr:rowOff>156210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1741170" y="2505456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488</xdr:row>
      <xdr:rowOff>19050</xdr:rowOff>
    </xdr:from>
    <xdr:to>
      <xdr:col>9</xdr:col>
      <xdr:colOff>156210</xdr:colOff>
      <xdr:row>488</xdr:row>
      <xdr:rowOff>156210</xdr:rowOff>
    </xdr:to>
    <xdr:sp macro="[1]!InterconnectionCostDefinition" textlink="">
      <xdr:nvSpPr>
        <xdr:cNvPr id="51" name="Oval 50">
          <a:extLst>
            <a:ext uri="{FF2B5EF4-FFF2-40B4-BE49-F238E27FC236}">
              <a16:creationId xmlns:a16="http://schemas.microsoft.com/office/drawing/2014/main" id="{00000000-0008-0000-0000-000033000000}"/>
            </a:ext>
          </a:extLst>
        </xdr:cNvPr>
        <xdr:cNvSpPr/>
      </xdr:nvSpPr>
      <xdr:spPr>
        <a:xfrm>
          <a:off x="1741170" y="415290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532</xdr:row>
      <xdr:rowOff>19050</xdr:rowOff>
    </xdr:from>
    <xdr:to>
      <xdr:col>9</xdr:col>
      <xdr:colOff>156210</xdr:colOff>
      <xdr:row>532</xdr:row>
      <xdr:rowOff>156210</xdr:rowOff>
    </xdr:to>
    <xdr:sp macro="" textlink="">
      <xdr:nvSpPr>
        <xdr:cNvPr id="52" name="Oval 51">
          <a:extLst>
            <a:ext uri="{FF2B5EF4-FFF2-40B4-BE49-F238E27FC236}">
              <a16:creationId xmlns:a16="http://schemas.microsoft.com/office/drawing/2014/main" id="{00000000-0008-0000-0000-000034000000}"/>
            </a:ext>
          </a:extLst>
        </xdr:cNvPr>
        <xdr:cNvSpPr/>
      </xdr:nvSpPr>
      <xdr:spPr>
        <a:xfrm>
          <a:off x="1741170" y="4555998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900" b="1">
            <a:solidFill>
              <a:srgbClr val="FFC000"/>
            </a:solidFill>
          </a:endParaRPr>
        </a:p>
        <a:p>
          <a:pPr algn="ctr"/>
          <a:endParaRPr lang="en-US" sz="900" b="1">
            <a:solidFill>
              <a:srgbClr val="FFC000"/>
            </a:solidFill>
          </a:endParaRP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53" name="Oval 52">
          <a:extLst>
            <a:ext uri="{FF2B5EF4-FFF2-40B4-BE49-F238E27FC236}">
              <a16:creationId xmlns:a16="http://schemas.microsoft.com/office/drawing/2014/main" id="{00000000-0008-0000-0000-000035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54" name="Oval 53">
          <a:extLst>
            <a:ext uri="{FF2B5EF4-FFF2-40B4-BE49-F238E27FC236}">
              <a16:creationId xmlns:a16="http://schemas.microsoft.com/office/drawing/2014/main" id="{00000000-0008-0000-0000-000036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55" name="Oval 54">
          <a:extLst>
            <a:ext uri="{FF2B5EF4-FFF2-40B4-BE49-F238E27FC236}">
              <a16:creationId xmlns:a16="http://schemas.microsoft.com/office/drawing/2014/main" id="{00000000-0008-0000-0000-000037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56" name="Oval 55">
          <a:extLst>
            <a:ext uri="{FF2B5EF4-FFF2-40B4-BE49-F238E27FC236}">
              <a16:creationId xmlns:a16="http://schemas.microsoft.com/office/drawing/2014/main" id="{00000000-0008-0000-0000-000038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57" name="Oval 56">
          <a:extLst>
            <a:ext uri="{FF2B5EF4-FFF2-40B4-BE49-F238E27FC236}">
              <a16:creationId xmlns:a16="http://schemas.microsoft.com/office/drawing/2014/main" id="{00000000-0008-0000-0000-000039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442</xdr:row>
      <xdr:rowOff>19050</xdr:rowOff>
    </xdr:from>
    <xdr:to>
      <xdr:col>9</xdr:col>
      <xdr:colOff>156210</xdr:colOff>
      <xdr:row>442</xdr:row>
      <xdr:rowOff>156210</xdr:rowOff>
    </xdr:to>
    <xdr:sp macro="[1]!OperatingExpensesDefinition" textlink="">
      <xdr:nvSpPr>
        <xdr:cNvPr id="58" name="Oval 57">
          <a:extLst>
            <a:ext uri="{FF2B5EF4-FFF2-40B4-BE49-F238E27FC236}">
              <a16:creationId xmlns:a16="http://schemas.microsoft.com/office/drawing/2014/main" id="{00000000-0008-0000-0000-00003A000000}"/>
            </a:ext>
          </a:extLst>
        </xdr:cNvPr>
        <xdr:cNvSpPr/>
      </xdr:nvSpPr>
      <xdr:spPr>
        <a:xfrm>
          <a:off x="1741170" y="371475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792480</xdr:colOff>
          <xdr:row>2</xdr:row>
          <xdr:rowOff>106680</xdr:rowOff>
        </xdr:from>
        <xdr:to>
          <xdr:col>11</xdr:col>
          <xdr:colOff>381000</xdr:colOff>
          <xdr:row>4</xdr:row>
          <xdr:rowOff>106680</xdr:rowOff>
        </xdr:to>
        <xdr:sp macro="" textlink="">
          <xdr:nvSpPr>
            <xdr:cNvPr id="1027" name="Button 3" descr="Assumption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Asumptions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68580</xdr:colOff>
          <xdr:row>2</xdr:row>
          <xdr:rowOff>106680</xdr:rowOff>
        </xdr:from>
        <xdr:to>
          <xdr:col>16</xdr:col>
          <xdr:colOff>106680</xdr:colOff>
          <xdr:row>4</xdr:row>
          <xdr:rowOff>106680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106680</xdr:rowOff>
        </xdr:from>
        <xdr:to>
          <xdr:col>13</xdr:col>
          <xdr:colOff>723900</xdr:colOff>
          <xdr:row>4</xdr:row>
          <xdr:rowOff>106680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Projections</a:t>
              </a:r>
            </a:p>
          </xdr:txBody>
        </xdr:sp>
        <xdr:clientData fPrintsWithSheet="0"/>
      </xdr:twoCellAnchor>
    </mc:Choice>
    <mc:Fallback/>
  </mc:AlternateContent>
  <xdr:twoCellAnchor editAs="absolute">
    <xdr:from>
      <xdr:col>13</xdr:col>
      <xdr:colOff>227616</xdr:colOff>
      <xdr:row>27</xdr:row>
      <xdr:rowOff>53523</xdr:rowOff>
    </xdr:from>
    <xdr:to>
      <xdr:col>16</xdr:col>
      <xdr:colOff>429361</xdr:colOff>
      <xdr:row>33</xdr:row>
      <xdr:rowOff>29122</xdr:rowOff>
    </xdr:to>
    <xdr:grpSp>
      <xdr:nvGrpSpPr>
        <xdr:cNvPr id="62" name="Group 61">
          <a:extLst>
            <a:ext uri="{FF2B5EF4-FFF2-40B4-BE49-F238E27FC236}">
              <a16:creationId xmlns:a16="http://schemas.microsoft.com/office/drawing/2014/main" id="{00000000-0008-0000-0000-00003E000000}"/>
            </a:ext>
          </a:extLst>
        </xdr:cNvPr>
        <xdr:cNvGrpSpPr/>
      </xdr:nvGrpSpPr>
      <xdr:grpSpPr>
        <a:xfrm>
          <a:off x="7990491" y="5558973"/>
          <a:ext cx="2478220" cy="1004299"/>
          <a:chOff x="13054538" y="5396921"/>
          <a:chExt cx="2780122" cy="1623002"/>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3054538" y="5396921"/>
            <a:ext cx="2780122" cy="1623002"/>
            <a:chOff x="13254563" y="6469224"/>
            <a:chExt cx="2780122" cy="1793033"/>
          </a:xfrm>
        </xdr:grpSpPr>
        <xdr:grpSp>
          <xdr:nvGrpSpPr>
            <xdr:cNvPr id="65" name="Group 64">
              <a:extLst>
                <a:ext uri="{FF2B5EF4-FFF2-40B4-BE49-F238E27FC236}">
                  <a16:creationId xmlns:a16="http://schemas.microsoft.com/office/drawing/2014/main" id="{00000000-0008-0000-0000-000041000000}"/>
                </a:ext>
              </a:extLst>
            </xdr:cNvPr>
            <xdr:cNvGrpSpPr/>
          </xdr:nvGrpSpPr>
          <xdr:grpSpPr>
            <a:xfrm>
              <a:off x="13335000" y="6945086"/>
              <a:ext cx="2699685" cy="1317171"/>
              <a:chOff x="13335000" y="6945086"/>
              <a:chExt cx="2699685" cy="1317171"/>
            </a:xfrm>
          </xdr:grpSpPr>
          <mc:AlternateContent xmlns:mc="http://schemas.openxmlformats.org/markup-compatibility/2006">
            <mc:Choice xmlns:a14="http://schemas.microsoft.com/office/drawing/2010/main" Requires="a14">
              <xdr:sp macro="" textlink="">
                <xdr:nvSpPr>
                  <xdr:cNvPr id="1030" name="RD Butt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13367964" y="6999232"/>
                    <a:ext cx="2666721" cy="37846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R&amp;D Financials</a:t>
                    </a:r>
                  </a:p>
                </xdr:txBody>
              </xdr:sp>
            </mc:Choice>
            <mc:Fallback/>
          </mc:AlternateContent>
          <xdr:sp macro="" textlink="">
            <xdr:nvSpPr>
              <xdr:cNvPr id="68" name="Rectangle 67">
                <a:extLst>
                  <a:ext uri="{FF2B5EF4-FFF2-40B4-BE49-F238E27FC236}">
                    <a16:creationId xmlns:a16="http://schemas.microsoft.com/office/drawing/2014/main" id="{00000000-0008-0000-0000-000044000000}"/>
                  </a:ext>
                </a:extLst>
              </xdr:cNvPr>
              <xdr:cNvSpPr/>
            </xdr:nvSpPr>
            <xdr:spPr>
              <a:xfrm>
                <a:off x="13335000" y="6945086"/>
                <a:ext cx="2471057" cy="131717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6" name="TextBox 65">
              <a:extLst>
                <a:ext uri="{FF2B5EF4-FFF2-40B4-BE49-F238E27FC236}">
                  <a16:creationId xmlns:a16="http://schemas.microsoft.com/office/drawing/2014/main" id="{00000000-0008-0000-0000-000042000000}"/>
                </a:ext>
              </a:extLst>
            </xdr:cNvPr>
            <xdr:cNvSpPr txBox="1"/>
          </xdr:nvSpPr>
          <xdr:spPr>
            <a:xfrm>
              <a:off x="13254563" y="6469224"/>
              <a:ext cx="1795931" cy="3604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200" b="1"/>
                <a:t>Financial Model</a:t>
              </a:r>
            </a:p>
          </xdr:txBody>
        </xdr:sp>
      </xdr:grpSp>
      <mc:AlternateContent xmlns:mc="http://schemas.openxmlformats.org/markup-compatibility/2006">
        <mc:Choice xmlns:a14="http://schemas.microsoft.com/office/drawing/2010/main" Requires="a14">
          <xdr:sp macro="" textlink="">
            <xdr:nvSpPr>
              <xdr:cNvPr id="1031" name="Market Button"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3171174" y="6585587"/>
                <a:ext cx="2249806" cy="19621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Market Factors Financials</a:t>
                </a:r>
              </a:p>
            </xdr:txBody>
          </xdr:sp>
        </mc:Choice>
        <mc:Fallback/>
      </mc:AlternateContent>
    </xdr:grpSp>
    <xdr:clientData/>
  </xdr:twoCellAnchor>
  <xdr:twoCellAnchor editAs="absolute">
    <xdr:from>
      <xdr:col>13</xdr:col>
      <xdr:colOff>410543</xdr:colOff>
      <xdr:row>37</xdr:row>
      <xdr:rowOff>127021</xdr:rowOff>
    </xdr:from>
    <xdr:to>
      <xdr:col>16</xdr:col>
      <xdr:colOff>37624</xdr:colOff>
      <xdr:row>45</xdr:row>
      <xdr:rowOff>130243</xdr:rowOff>
    </xdr:to>
    <xdr:grpSp>
      <xdr:nvGrpSpPr>
        <xdr:cNvPr id="69" name="Group 68">
          <a:extLst>
            <a:ext uri="{FF2B5EF4-FFF2-40B4-BE49-F238E27FC236}">
              <a16:creationId xmlns:a16="http://schemas.microsoft.com/office/drawing/2014/main" id="{00000000-0008-0000-0000-000045000000}"/>
            </a:ext>
          </a:extLst>
        </xdr:cNvPr>
        <xdr:cNvGrpSpPr/>
      </xdr:nvGrpSpPr>
      <xdr:grpSpPr>
        <a:xfrm>
          <a:off x="8173418" y="7346971"/>
          <a:ext cx="1903556" cy="1374822"/>
          <a:chOff x="13147339" y="6691880"/>
          <a:chExt cx="2835077" cy="1507067"/>
        </a:xfrm>
      </xdr:grpSpPr>
      <xdr:sp macro="" textlink="">
        <xdr:nvSpPr>
          <xdr:cNvPr id="70" name="Rectangle 69">
            <a:extLst>
              <a:ext uri="{FF2B5EF4-FFF2-40B4-BE49-F238E27FC236}">
                <a16:creationId xmlns:a16="http://schemas.microsoft.com/office/drawing/2014/main" id="{00000000-0008-0000-0000-000046000000}"/>
              </a:ext>
            </a:extLst>
          </xdr:cNvPr>
          <xdr:cNvSpPr/>
        </xdr:nvSpPr>
        <xdr:spPr>
          <a:xfrm>
            <a:off x="13184183" y="6691880"/>
            <a:ext cx="2798233" cy="1507067"/>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TextBox 70">
            <a:extLst>
              <a:ext uri="{FF2B5EF4-FFF2-40B4-BE49-F238E27FC236}">
                <a16:creationId xmlns:a16="http://schemas.microsoft.com/office/drawing/2014/main" id="{00000000-0008-0000-0000-000047000000}"/>
              </a:ext>
            </a:extLst>
          </xdr:cNvPr>
          <xdr:cNvSpPr txBox="1"/>
        </xdr:nvSpPr>
        <xdr:spPr>
          <a:xfrm>
            <a:off x="13147339" y="6734598"/>
            <a:ext cx="2697313" cy="2770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Choose</a:t>
            </a:r>
            <a:r>
              <a:rPr lang="en-US" sz="1200" b="1" baseline="0"/>
              <a:t> a Capital Recovery Period (CRP)</a:t>
            </a:r>
            <a:endParaRPr lang="en-US" sz="1200" b="1"/>
          </a:p>
        </xdr:txBody>
      </xdr:sp>
      <mc:AlternateContent xmlns:mc="http://schemas.openxmlformats.org/markup-compatibility/2006">
        <mc:Choice xmlns:a14="http://schemas.microsoft.com/office/drawing/2010/main" Requires="a14">
          <xdr:sp macro="" textlink="">
            <xdr:nvSpPr>
              <xdr:cNvPr id="1032" name="20 ye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13304454" y="7107312"/>
                <a:ext cx="1093266" cy="19034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20 year</a:t>
                </a:r>
              </a:p>
            </xdr:txBody>
          </xdr:sp>
        </mc:Choice>
        <mc:Fallback/>
      </mc:AlternateContent>
      <mc:AlternateContent xmlns:mc="http://schemas.openxmlformats.org/markup-compatibility/2006">
        <mc:Choice xmlns:a14="http://schemas.microsoft.com/office/drawing/2010/main" Requires="a14">
          <xdr:sp macro="" textlink="">
            <xdr:nvSpPr>
              <xdr:cNvPr id="1033" name="30 yea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13302045" y="7355117"/>
                <a:ext cx="1093266" cy="19791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30 year</a:t>
                </a:r>
              </a:p>
            </xdr:txBody>
          </xdr:sp>
        </mc:Choice>
        <mc:Fallback/>
      </mc:AlternateContent>
      <mc:AlternateContent xmlns:mc="http://schemas.openxmlformats.org/markup-compatibility/2006">
        <mc:Choice xmlns:a14="http://schemas.microsoft.com/office/drawing/2010/main" Requires="a14">
          <xdr:sp macro="" textlink="">
            <xdr:nvSpPr>
              <xdr:cNvPr id="1034" name="Tech Life"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13303255" y="7587192"/>
                <a:ext cx="1530048" cy="214239"/>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Technology Life (30 years)</a:t>
                </a:r>
              </a:p>
            </xdr:txBody>
          </xdr:sp>
        </mc:Choice>
        <mc:Fallback/>
      </mc:AlternateContent>
      <mc:AlternateContent xmlns:mc="http://schemas.openxmlformats.org/markup-compatibility/2006">
        <mc:Choice xmlns:a14="http://schemas.microsoft.com/office/drawing/2010/main" Requires="a14">
          <xdr:sp macro="" textlink="">
            <xdr:nvSpPr>
              <xdr:cNvPr id="1035" name="Custom CRP"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13302191" y="7846486"/>
                <a:ext cx="1102780" cy="186268"/>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CustomCRP</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15</xdr:col>
          <xdr:colOff>22860</xdr:colOff>
          <xdr:row>36</xdr:row>
          <xdr:rowOff>121920</xdr:rowOff>
        </xdr:from>
        <xdr:to>
          <xdr:col>17</xdr:col>
          <xdr:colOff>480060</xdr:colOff>
          <xdr:row>46</xdr:row>
          <xdr:rowOff>22860</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62</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289560</xdr:colOff>
          <xdr:row>30</xdr:row>
          <xdr:rowOff>60960</xdr:rowOff>
        </xdr:from>
        <xdr:to>
          <xdr:col>18</xdr:col>
          <xdr:colOff>198120</xdr:colOff>
          <xdr:row>33</xdr:row>
          <xdr:rowOff>99060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Apply Finances to all Technologies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274320</xdr:colOff>
          <xdr:row>37</xdr:row>
          <xdr:rowOff>30480</xdr:rowOff>
        </xdr:from>
        <xdr:to>
          <xdr:col>18</xdr:col>
          <xdr:colOff>160020</xdr:colOff>
          <xdr:row>41</xdr:row>
          <xdr:rowOff>7620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Apply CRP to all Technologies</a:t>
              </a:r>
            </a:p>
          </xdr:txBody>
        </xdr:sp>
        <xdr:clientData fPrintsWithSheet="0"/>
      </xdr:twoCellAnchor>
    </mc:Choice>
    <mc:Fallback/>
  </mc:AlternateContent>
  <xdr:twoCellAnchor>
    <xdr:from>
      <xdr:col>9</xdr:col>
      <xdr:colOff>19050</xdr:colOff>
      <xdr:row>355</xdr:row>
      <xdr:rowOff>19050</xdr:rowOff>
    </xdr:from>
    <xdr:to>
      <xdr:col>9</xdr:col>
      <xdr:colOff>156210</xdr:colOff>
      <xdr:row>355</xdr:row>
      <xdr:rowOff>156210</xdr:rowOff>
    </xdr:to>
    <xdr:sp macro="[1]!OvernightCapitalCostDefinition" textlink="">
      <xdr:nvSpPr>
        <xdr:cNvPr id="79" name="Oval 78">
          <a:extLst>
            <a:ext uri="{FF2B5EF4-FFF2-40B4-BE49-F238E27FC236}">
              <a16:creationId xmlns:a16="http://schemas.microsoft.com/office/drawing/2014/main" id="{00000000-0008-0000-0000-00004F000000}"/>
            </a:ext>
          </a:extLst>
        </xdr:cNvPr>
        <xdr:cNvSpPr/>
      </xdr:nvSpPr>
      <xdr:spPr>
        <a:xfrm>
          <a:off x="1714500" y="324231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355</xdr:row>
      <xdr:rowOff>19050</xdr:rowOff>
    </xdr:from>
    <xdr:to>
      <xdr:col>9</xdr:col>
      <xdr:colOff>156210</xdr:colOff>
      <xdr:row>355</xdr:row>
      <xdr:rowOff>156210</xdr:rowOff>
    </xdr:to>
    <xdr:sp macro="[1]!OvernightCapitalCostDefinition" textlink="">
      <xdr:nvSpPr>
        <xdr:cNvPr id="80" name="Oval 79">
          <a:extLst>
            <a:ext uri="{FF2B5EF4-FFF2-40B4-BE49-F238E27FC236}">
              <a16:creationId xmlns:a16="http://schemas.microsoft.com/office/drawing/2014/main" id="{00000000-0008-0000-0000-000050000000}"/>
            </a:ext>
          </a:extLst>
        </xdr:cNvPr>
        <xdr:cNvSpPr/>
      </xdr:nvSpPr>
      <xdr:spPr>
        <a:xfrm>
          <a:off x="1714500" y="324231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1]!CapacityFactorDefinition" textlink="">
      <xdr:nvSpPr>
        <xdr:cNvPr id="81" name="Oval 80">
          <a:extLst>
            <a:ext uri="{FF2B5EF4-FFF2-40B4-BE49-F238E27FC236}">
              <a16:creationId xmlns:a16="http://schemas.microsoft.com/office/drawing/2014/main" id="{00000000-0008-0000-0000-000051000000}"/>
            </a:ext>
          </a:extLst>
        </xdr:cNvPr>
        <xdr:cNvSpPr/>
      </xdr:nvSpPr>
      <xdr:spPr>
        <a:xfrm>
          <a:off x="1885950" y="166497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 textlink="">
      <xdr:nvSpPr>
        <xdr:cNvPr id="82" name="Oval 81">
          <a:extLst>
            <a:ext uri="{FF2B5EF4-FFF2-40B4-BE49-F238E27FC236}">
              <a16:creationId xmlns:a16="http://schemas.microsoft.com/office/drawing/2014/main" id="{00000000-0008-0000-0000-000052000000}"/>
            </a:ext>
          </a:extLst>
        </xdr:cNvPr>
        <xdr:cNvSpPr/>
      </xdr:nvSpPr>
      <xdr:spPr>
        <a:xfrm>
          <a:off x="1885950" y="166497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 textlink="">
      <xdr:nvSpPr>
        <xdr:cNvPr id="83" name="Oval 82">
          <a:extLst>
            <a:ext uri="{FF2B5EF4-FFF2-40B4-BE49-F238E27FC236}">
              <a16:creationId xmlns:a16="http://schemas.microsoft.com/office/drawing/2014/main" id="{00000000-0008-0000-0000-000053000000}"/>
            </a:ext>
          </a:extLst>
        </xdr:cNvPr>
        <xdr:cNvSpPr/>
      </xdr:nvSpPr>
      <xdr:spPr>
        <a:xfrm>
          <a:off x="1885950" y="166497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1]!CapacityFactorDefinition" textlink="">
      <xdr:nvSpPr>
        <xdr:cNvPr id="84" name="Oval 83">
          <a:extLst>
            <a:ext uri="{FF2B5EF4-FFF2-40B4-BE49-F238E27FC236}">
              <a16:creationId xmlns:a16="http://schemas.microsoft.com/office/drawing/2014/main" id="{00000000-0008-0000-0000-000054000000}"/>
            </a:ext>
          </a:extLst>
        </xdr:cNvPr>
        <xdr:cNvSpPr/>
      </xdr:nvSpPr>
      <xdr:spPr>
        <a:xfrm>
          <a:off x="1885950" y="166497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 textlink="">
      <xdr:nvSpPr>
        <xdr:cNvPr id="85" name="Oval 84">
          <a:extLst>
            <a:ext uri="{FF2B5EF4-FFF2-40B4-BE49-F238E27FC236}">
              <a16:creationId xmlns:a16="http://schemas.microsoft.com/office/drawing/2014/main" id="{00000000-0008-0000-0000-000055000000}"/>
            </a:ext>
          </a:extLst>
        </xdr:cNvPr>
        <xdr:cNvSpPr/>
      </xdr:nvSpPr>
      <xdr:spPr>
        <a:xfrm>
          <a:off x="1885950" y="166497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 textlink="">
      <xdr:nvSpPr>
        <xdr:cNvPr id="86" name="Oval 85">
          <a:extLst>
            <a:ext uri="{FF2B5EF4-FFF2-40B4-BE49-F238E27FC236}">
              <a16:creationId xmlns:a16="http://schemas.microsoft.com/office/drawing/2014/main" id="{00000000-0008-0000-0000-000056000000}"/>
            </a:ext>
          </a:extLst>
        </xdr:cNvPr>
        <xdr:cNvSpPr/>
      </xdr:nvSpPr>
      <xdr:spPr>
        <a:xfrm>
          <a:off x="1885950" y="16649700"/>
          <a:ext cx="137160" cy="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367805</xdr:colOff>
      <xdr:row>39</xdr:row>
      <xdr:rowOff>98584</xdr:rowOff>
    </xdr:from>
    <xdr:to>
      <xdr:col>8</xdr:col>
      <xdr:colOff>497345</xdr:colOff>
      <xdr:row>40</xdr:row>
      <xdr:rowOff>78582</xdr:rowOff>
    </xdr:to>
    <xdr:sp macro="[1]!WACCDefinition" textlink="">
      <xdr:nvSpPr>
        <xdr:cNvPr id="29" name="Oval 28">
          <a:extLst>
            <a:ext uri="{FF2B5EF4-FFF2-40B4-BE49-F238E27FC236}">
              <a16:creationId xmlns:a16="http://schemas.microsoft.com/office/drawing/2014/main" id="{00000000-0008-0000-0100-00001D000000}"/>
            </a:ext>
          </a:extLst>
        </xdr:cNvPr>
        <xdr:cNvSpPr/>
      </xdr:nvSpPr>
      <xdr:spPr>
        <a:xfrm>
          <a:off x="1472705" y="7680484"/>
          <a:ext cx="129540" cy="151448"/>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792480</xdr:colOff>
          <xdr:row>2</xdr:row>
          <xdr:rowOff>106680</xdr:rowOff>
        </xdr:from>
        <xdr:to>
          <xdr:col>11</xdr:col>
          <xdr:colOff>381000</xdr:colOff>
          <xdr:row>4</xdr:row>
          <xdr:rowOff>106680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106680</xdr:rowOff>
        </xdr:from>
        <xdr:to>
          <xdr:col>13</xdr:col>
          <xdr:colOff>723900</xdr:colOff>
          <xdr:row>4</xdr:row>
          <xdr:rowOff>106680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792480</xdr:colOff>
          <xdr:row>2</xdr:row>
          <xdr:rowOff>106680</xdr:rowOff>
        </xdr:from>
        <xdr:to>
          <xdr:col>11</xdr:col>
          <xdr:colOff>381000</xdr:colOff>
          <xdr:row>4</xdr:row>
          <xdr:rowOff>106680</xdr:rowOff>
        </xdr:to>
        <xdr:sp macro="" textlink="">
          <xdr:nvSpPr>
            <xdr:cNvPr id="2051" name="Button 3" descr="Assumpt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Asumptions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68580</xdr:colOff>
          <xdr:row>2</xdr:row>
          <xdr:rowOff>106680</xdr:rowOff>
        </xdr:from>
        <xdr:to>
          <xdr:col>16</xdr:col>
          <xdr:colOff>106680</xdr:colOff>
          <xdr:row>4</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106680</xdr:rowOff>
        </xdr:from>
        <xdr:to>
          <xdr:col>13</xdr:col>
          <xdr:colOff>723900</xdr:colOff>
          <xdr:row>4</xdr:row>
          <xdr:rowOff>106680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Projections</a:t>
              </a:r>
            </a:p>
          </xdr:txBody>
        </xdr:sp>
        <xdr:clientData fPrintsWithSheet="0"/>
      </xdr:twoCellAnchor>
    </mc:Choice>
    <mc:Fallback/>
  </mc:AlternateContent>
  <xdr:twoCellAnchor>
    <xdr:from>
      <xdr:col>16</xdr:col>
      <xdr:colOff>103163</xdr:colOff>
      <xdr:row>146</xdr:row>
      <xdr:rowOff>22286</xdr:rowOff>
    </xdr:from>
    <xdr:to>
      <xdr:col>23</xdr:col>
      <xdr:colOff>628503</xdr:colOff>
      <xdr:row>181</xdr:row>
      <xdr:rowOff>89828</xdr:rowOff>
    </xdr:to>
    <xdr:graphicFrame macro="">
      <xdr:nvGraphicFramePr>
        <xdr:cNvPr id="30" name="Chart 29">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298238</xdr:colOff>
      <xdr:row>186</xdr:row>
      <xdr:rowOff>154304</xdr:rowOff>
    </xdr:from>
    <xdr:to>
      <xdr:col>23</xdr:col>
      <xdr:colOff>363643</xdr:colOff>
      <xdr:row>211</xdr:row>
      <xdr:rowOff>35347</xdr:rowOff>
    </xdr:to>
    <xdr:graphicFrame macro="">
      <xdr:nvGraphicFramePr>
        <xdr:cNvPr id="31" name="Chart 30">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dolph/Desktop/Rudolph/0%20-%20CMU%20-%20Portugal%20PhD%20Files/0%20-%20Research/Wind%20Energy/Offshore%20Wind%20Costs/Data/2021-ATB-Data_Mast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face and Contents"/>
      <sheetName val="Financial Definitions"/>
      <sheetName val="Offshore Wind"/>
      <sheetName val="Land-Based Wind"/>
      <sheetName val="Solar - Utility PV"/>
      <sheetName val="Solar - PV Dist. Comm"/>
      <sheetName val="Solar - PV Dist. Res"/>
      <sheetName val="Solar - CSP"/>
      <sheetName val="Geothermal"/>
      <sheetName val="Hydropower"/>
      <sheetName val="Nuclear"/>
      <sheetName val="Biopower"/>
      <sheetName val="Utility-Scale PV-Plus-Battery"/>
      <sheetName val="Coal_FE"/>
      <sheetName val="Natural Gas_FE"/>
      <sheetName val="Utility-Scale Battery Storage"/>
      <sheetName val="Commercial Battery Storage"/>
      <sheetName val="Residential Battery Storage"/>
      <sheetName val="Pumped Storage Hydropower"/>
      <sheetName val="WACC Calc"/>
      <sheetName val="Summary"/>
      <sheetName val="Summary_CAPEX"/>
      <sheetName val="Summary_CF"/>
      <sheetName val="Summary_LCOE"/>
      <sheetName val="Summary_FOM"/>
      <sheetName val="Summary_VOM"/>
      <sheetName val="Summary_Fuel"/>
      <sheetName val="LCOE Range"/>
      <sheetName val="PV OCC"/>
      <sheetName val="Program Goals"/>
      <sheetName val="2021-ATB-Data_Master_new"/>
    </sheetNames>
    <definedNames>
      <definedName name="AnnualEnergyProductionDefinition"/>
      <definedName name="CapacityFactorDefinition"/>
      <definedName name="CapitalCostDefinition"/>
      <definedName name="ConstructionFinanceDefinition"/>
      <definedName name="InterconnectionCostDefinition"/>
      <definedName name="LCOEDefinition"/>
      <definedName name="Module4.CurrentCostsJump"/>
      <definedName name="Module4.FutureProjectionsJump"/>
      <definedName name="Module4.HistoricTrendsJump"/>
      <definedName name="OffWindMarket"/>
      <definedName name="OffWindRD"/>
      <definedName name="OperatingExpensesDefinition"/>
      <definedName name="Oval75_Click"/>
      <definedName name="OvernightCapitalCostDefinition"/>
      <definedName name="ThisWorkbook.ApplyAll"/>
      <definedName name="ThisWorkbook.ApplyAllFinances"/>
      <definedName name="ThisWorkbook.CustomLifeButton_Click"/>
      <definedName name="ThisWorkbook.TechLifeButton_Click"/>
      <definedName name="ThisWorkbook.ThirtyYearButton_Click"/>
      <definedName name="ThisWorkbook.TwentyYearButton_Click"/>
      <definedName name="WACCDefinition"/>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368">
          <cell r="F368">
            <v>2.5000000000000001E-2</v>
          </cell>
          <cell r="G368">
            <v>2.5000000000000001E-2</v>
          </cell>
          <cell r="H368">
            <v>2.5000000000000001E-2</v>
          </cell>
          <cell r="I368">
            <v>2.5000000000000001E-2</v>
          </cell>
          <cell r="J368">
            <v>2.5000000000000001E-2</v>
          </cell>
          <cell r="K368">
            <v>2.5000000000000001E-2</v>
          </cell>
          <cell r="L368">
            <v>2.5000000000000001E-2</v>
          </cell>
          <cell r="M368">
            <v>2.5000000000000001E-2</v>
          </cell>
          <cell r="N368">
            <v>2.5000000000000001E-2</v>
          </cell>
          <cell r="O368">
            <v>2.5000000000000001E-2</v>
          </cell>
          <cell r="P368">
            <v>2.5000000000000001E-2</v>
          </cell>
          <cell r="Q368">
            <v>2.5000000000000001E-2</v>
          </cell>
          <cell r="R368">
            <v>2.5000000000000001E-2</v>
          </cell>
          <cell r="S368">
            <v>2.5000000000000001E-2</v>
          </cell>
          <cell r="T368">
            <v>2.5000000000000001E-2</v>
          </cell>
          <cell r="U368">
            <v>2.5000000000000001E-2</v>
          </cell>
          <cell r="V368">
            <v>2.5000000000000001E-2</v>
          </cell>
          <cell r="W368">
            <v>2.5000000000000001E-2</v>
          </cell>
          <cell r="X368">
            <v>2.5000000000000001E-2</v>
          </cell>
          <cell r="Y368">
            <v>2.5000000000000001E-2</v>
          </cell>
          <cell r="Z368">
            <v>2.5000000000000001E-2</v>
          </cell>
          <cell r="AA368">
            <v>2.5000000000000001E-2</v>
          </cell>
          <cell r="AB368">
            <v>2.5000000000000001E-2</v>
          </cell>
          <cell r="AC368">
            <v>2.5000000000000001E-2</v>
          </cell>
          <cell r="AD368">
            <v>2.5000000000000001E-2</v>
          </cell>
          <cell r="AE368">
            <v>2.5000000000000001E-2</v>
          </cell>
          <cell r="AF368">
            <v>2.5000000000000001E-2</v>
          </cell>
          <cell r="AG368">
            <v>2.5000000000000001E-2</v>
          </cell>
          <cell r="AH368">
            <v>2.5000000000000001E-2</v>
          </cell>
          <cell r="AI368">
            <v>2.5000000000000001E-2</v>
          </cell>
          <cell r="AJ368">
            <v>2.5000000000000001E-2</v>
          </cell>
          <cell r="AK368">
            <v>2.5000000000000001E-2</v>
          </cell>
        </row>
        <row r="369">
          <cell r="F369">
            <v>0.04</v>
          </cell>
          <cell r="G369">
            <v>0.04</v>
          </cell>
          <cell r="H369">
            <v>0.04</v>
          </cell>
          <cell r="I369">
            <v>0.04</v>
          </cell>
          <cell r="J369">
            <v>0.04</v>
          </cell>
          <cell r="K369">
            <v>0.04</v>
          </cell>
          <cell r="L369">
            <v>0.04</v>
          </cell>
          <cell r="M369">
            <v>0.04</v>
          </cell>
          <cell r="N369">
            <v>0.04</v>
          </cell>
          <cell r="O369">
            <v>0.04</v>
          </cell>
          <cell r="P369">
            <v>0.04</v>
          </cell>
          <cell r="Q369">
            <v>0.04</v>
          </cell>
          <cell r="R369">
            <v>0.04</v>
          </cell>
          <cell r="S369">
            <v>0.04</v>
          </cell>
          <cell r="T369">
            <v>0.04</v>
          </cell>
          <cell r="U369">
            <v>0.04</v>
          </cell>
          <cell r="V369">
            <v>0.04</v>
          </cell>
          <cell r="W369">
            <v>0.04</v>
          </cell>
          <cell r="X369">
            <v>0.04</v>
          </cell>
          <cell r="Y369">
            <v>0.04</v>
          </cell>
          <cell r="Z369">
            <v>0.04</v>
          </cell>
          <cell r="AA369">
            <v>0.04</v>
          </cell>
          <cell r="AB369">
            <v>0.04</v>
          </cell>
          <cell r="AC369">
            <v>0.04</v>
          </cell>
          <cell r="AD369">
            <v>0.04</v>
          </cell>
          <cell r="AE369">
            <v>0.04</v>
          </cell>
          <cell r="AF369">
            <v>0.04</v>
          </cell>
          <cell r="AG369">
            <v>0.04</v>
          </cell>
          <cell r="AH369">
            <v>0.04</v>
          </cell>
          <cell r="AI369">
            <v>0.04</v>
          </cell>
          <cell r="AJ369">
            <v>0.04</v>
          </cell>
          <cell r="AK369">
            <v>0.04</v>
          </cell>
        </row>
        <row r="370">
          <cell r="F370">
            <v>0.04</v>
          </cell>
          <cell r="G370">
            <v>0.04</v>
          </cell>
          <cell r="H370">
            <v>0.04</v>
          </cell>
          <cell r="I370">
            <v>0.04</v>
          </cell>
          <cell r="J370">
            <v>0.04</v>
          </cell>
          <cell r="K370">
            <v>0.04</v>
          </cell>
          <cell r="L370">
            <v>0.04</v>
          </cell>
          <cell r="M370">
            <v>0.04</v>
          </cell>
          <cell r="N370">
            <v>0.04</v>
          </cell>
          <cell r="O370">
            <v>0.04</v>
          </cell>
          <cell r="P370">
            <v>0.04</v>
          </cell>
          <cell r="Q370">
            <v>0.04</v>
          </cell>
          <cell r="R370">
            <v>0.04</v>
          </cell>
          <cell r="S370">
            <v>0.04</v>
          </cell>
          <cell r="T370">
            <v>0.04</v>
          </cell>
          <cell r="U370">
            <v>0.04</v>
          </cell>
          <cell r="V370">
            <v>0.04</v>
          </cell>
          <cell r="W370">
            <v>0.04</v>
          </cell>
          <cell r="X370">
            <v>0.04</v>
          </cell>
          <cell r="Y370">
            <v>0.04</v>
          </cell>
          <cell r="Z370">
            <v>0.04</v>
          </cell>
          <cell r="AA370">
            <v>0.04</v>
          </cell>
          <cell r="AB370">
            <v>0.04</v>
          </cell>
          <cell r="AC370">
            <v>0.04</v>
          </cell>
          <cell r="AD370">
            <v>0.04</v>
          </cell>
          <cell r="AE370">
            <v>0.04</v>
          </cell>
          <cell r="AF370">
            <v>0.04</v>
          </cell>
          <cell r="AG370">
            <v>0.04</v>
          </cell>
          <cell r="AH370">
            <v>0.04</v>
          </cell>
          <cell r="AI370">
            <v>0.04</v>
          </cell>
          <cell r="AJ370">
            <v>0.04</v>
          </cell>
          <cell r="AK370">
            <v>0.04</v>
          </cell>
        </row>
        <row r="371">
          <cell r="F371">
            <v>0.04</v>
          </cell>
          <cell r="G371">
            <v>0.04</v>
          </cell>
          <cell r="H371">
            <v>0.04</v>
          </cell>
          <cell r="I371">
            <v>0.04</v>
          </cell>
          <cell r="J371">
            <v>0.04</v>
          </cell>
          <cell r="K371">
            <v>0.04</v>
          </cell>
          <cell r="L371">
            <v>0.04</v>
          </cell>
          <cell r="M371">
            <v>0.04</v>
          </cell>
          <cell r="N371">
            <v>0.04</v>
          </cell>
          <cell r="O371">
            <v>0.04</v>
          </cell>
          <cell r="P371">
            <v>0.04</v>
          </cell>
          <cell r="Q371">
            <v>0.04</v>
          </cell>
          <cell r="R371">
            <v>0.04</v>
          </cell>
          <cell r="S371">
            <v>0.04</v>
          </cell>
          <cell r="T371">
            <v>0.04</v>
          </cell>
          <cell r="U371">
            <v>0.04</v>
          </cell>
          <cell r="V371">
            <v>0.04</v>
          </cell>
          <cell r="W371">
            <v>0.04</v>
          </cell>
          <cell r="X371">
            <v>0.04</v>
          </cell>
          <cell r="Y371">
            <v>0.04</v>
          </cell>
          <cell r="Z371">
            <v>0.04</v>
          </cell>
          <cell r="AA371">
            <v>0.04</v>
          </cell>
          <cell r="AB371">
            <v>0.04</v>
          </cell>
          <cell r="AC371">
            <v>0.04</v>
          </cell>
          <cell r="AD371">
            <v>0.04</v>
          </cell>
          <cell r="AE371">
            <v>0.04</v>
          </cell>
          <cell r="AF371">
            <v>0.04</v>
          </cell>
          <cell r="AG371">
            <v>0.04</v>
          </cell>
          <cell r="AH371">
            <v>0.04</v>
          </cell>
          <cell r="AI371">
            <v>0.04</v>
          </cell>
          <cell r="AJ371">
            <v>0.04</v>
          </cell>
          <cell r="AK371">
            <v>0.04</v>
          </cell>
        </row>
        <row r="372">
          <cell r="F372">
            <v>1.4634146341463428E-2</v>
          </cell>
          <cell r="G372">
            <v>1.4634146341463428E-2</v>
          </cell>
          <cell r="H372">
            <v>1.4634146341463428E-2</v>
          </cell>
          <cell r="I372">
            <v>1.4634146341463428E-2</v>
          </cell>
          <cell r="J372">
            <v>1.4634146341463428E-2</v>
          </cell>
          <cell r="K372">
            <v>1.4634146341463428E-2</v>
          </cell>
          <cell r="L372">
            <v>1.4634146341463428E-2</v>
          </cell>
          <cell r="M372">
            <v>1.4634146341463428E-2</v>
          </cell>
          <cell r="N372">
            <v>1.4634146341463428E-2</v>
          </cell>
          <cell r="O372">
            <v>1.4634146341463428E-2</v>
          </cell>
          <cell r="P372">
            <v>1.4634146341463428E-2</v>
          </cell>
          <cell r="Q372">
            <v>1.4634146341463428E-2</v>
          </cell>
          <cell r="R372">
            <v>1.4634146341463428E-2</v>
          </cell>
          <cell r="S372">
            <v>1.4634146341463428E-2</v>
          </cell>
          <cell r="T372">
            <v>1.4634146341463428E-2</v>
          </cell>
          <cell r="U372">
            <v>1.4634146341463428E-2</v>
          </cell>
          <cell r="V372">
            <v>1.4634146341463428E-2</v>
          </cell>
          <cell r="W372">
            <v>1.4634146341463428E-2</v>
          </cell>
          <cell r="X372">
            <v>1.4634146341463428E-2</v>
          </cell>
          <cell r="Y372">
            <v>1.4634146341463428E-2</v>
          </cell>
          <cell r="Z372">
            <v>1.4634146341463428E-2</v>
          </cell>
          <cell r="AA372">
            <v>1.4634146341463428E-2</v>
          </cell>
          <cell r="AB372">
            <v>1.4634146341463428E-2</v>
          </cell>
          <cell r="AC372">
            <v>1.4634146341463428E-2</v>
          </cell>
          <cell r="AD372">
            <v>1.4634146341463428E-2</v>
          </cell>
          <cell r="AE372">
            <v>1.4634146341463428E-2</v>
          </cell>
          <cell r="AF372">
            <v>1.4634146341463428E-2</v>
          </cell>
          <cell r="AG372">
            <v>1.4634146341463428E-2</v>
          </cell>
          <cell r="AH372">
            <v>1.4634146341463428E-2</v>
          </cell>
          <cell r="AI372">
            <v>1.4634146341463428E-2</v>
          </cell>
          <cell r="AJ372">
            <v>1.4634146341463428E-2</v>
          </cell>
          <cell r="AK372">
            <v>1.4634146341463428E-2</v>
          </cell>
        </row>
        <row r="373">
          <cell r="F373">
            <v>1.4634146341463428E-2</v>
          </cell>
          <cell r="G373">
            <v>1.4634146341463428E-2</v>
          </cell>
          <cell r="H373">
            <v>1.4634146341463428E-2</v>
          </cell>
          <cell r="I373">
            <v>1.4634146341463428E-2</v>
          </cell>
          <cell r="J373">
            <v>1.4634146341463428E-2</v>
          </cell>
          <cell r="K373">
            <v>1.4634146341463428E-2</v>
          </cell>
          <cell r="L373">
            <v>1.4634146341463428E-2</v>
          </cell>
          <cell r="M373">
            <v>1.4634146341463428E-2</v>
          </cell>
          <cell r="N373">
            <v>1.4634146341463428E-2</v>
          </cell>
          <cell r="O373">
            <v>1.4634146341463428E-2</v>
          </cell>
          <cell r="P373">
            <v>1.4634146341463428E-2</v>
          </cell>
          <cell r="Q373">
            <v>1.4634146341463428E-2</v>
          </cell>
          <cell r="R373">
            <v>1.4634146341463428E-2</v>
          </cell>
          <cell r="S373">
            <v>1.4634146341463428E-2</v>
          </cell>
          <cell r="T373">
            <v>1.4634146341463428E-2</v>
          </cell>
          <cell r="U373">
            <v>1.4634146341463428E-2</v>
          </cell>
          <cell r="V373">
            <v>1.4634146341463428E-2</v>
          </cell>
          <cell r="W373">
            <v>1.4634146341463428E-2</v>
          </cell>
          <cell r="X373">
            <v>1.4634146341463428E-2</v>
          </cell>
          <cell r="Y373">
            <v>1.4634146341463428E-2</v>
          </cell>
          <cell r="Z373">
            <v>1.4634146341463428E-2</v>
          </cell>
          <cell r="AA373">
            <v>1.4634146341463428E-2</v>
          </cell>
          <cell r="AB373">
            <v>1.4634146341463428E-2</v>
          </cell>
          <cell r="AC373">
            <v>1.4634146341463428E-2</v>
          </cell>
          <cell r="AD373">
            <v>1.4634146341463428E-2</v>
          </cell>
          <cell r="AE373">
            <v>1.4634146341463428E-2</v>
          </cell>
          <cell r="AF373">
            <v>1.4634146341463428E-2</v>
          </cell>
          <cell r="AG373">
            <v>1.4634146341463428E-2</v>
          </cell>
          <cell r="AH373">
            <v>1.4634146341463428E-2</v>
          </cell>
          <cell r="AI373">
            <v>1.4634146341463428E-2</v>
          </cell>
          <cell r="AJ373">
            <v>1.4634146341463428E-2</v>
          </cell>
          <cell r="AK373">
            <v>1.4634146341463428E-2</v>
          </cell>
        </row>
        <row r="374">
          <cell r="F374">
            <v>1.4634146341463428E-2</v>
          </cell>
          <cell r="G374">
            <v>1.4634146341463428E-2</v>
          </cell>
          <cell r="H374">
            <v>1.4634146341463428E-2</v>
          </cell>
          <cell r="I374">
            <v>1.4634146341463428E-2</v>
          </cell>
          <cell r="J374">
            <v>1.4634146341463428E-2</v>
          </cell>
          <cell r="K374">
            <v>1.4634146341463428E-2</v>
          </cell>
          <cell r="L374">
            <v>1.4634146341463428E-2</v>
          </cell>
          <cell r="M374">
            <v>1.4634146341463428E-2</v>
          </cell>
          <cell r="N374">
            <v>1.4634146341463428E-2</v>
          </cell>
          <cell r="O374">
            <v>1.4634146341463428E-2</v>
          </cell>
          <cell r="P374">
            <v>1.4634146341463428E-2</v>
          </cell>
          <cell r="Q374">
            <v>1.4634146341463428E-2</v>
          </cell>
          <cell r="R374">
            <v>1.4634146341463428E-2</v>
          </cell>
          <cell r="S374">
            <v>1.4634146341463428E-2</v>
          </cell>
          <cell r="T374">
            <v>1.4634146341463428E-2</v>
          </cell>
          <cell r="U374">
            <v>1.4634146341463428E-2</v>
          </cell>
          <cell r="V374">
            <v>1.4634146341463428E-2</v>
          </cell>
          <cell r="W374">
            <v>1.4634146341463428E-2</v>
          </cell>
          <cell r="X374">
            <v>1.4634146341463428E-2</v>
          </cell>
          <cell r="Y374">
            <v>1.4634146341463428E-2</v>
          </cell>
          <cell r="Z374">
            <v>1.4634146341463428E-2</v>
          </cell>
          <cell r="AA374">
            <v>1.4634146341463428E-2</v>
          </cell>
          <cell r="AB374">
            <v>1.4634146341463428E-2</v>
          </cell>
          <cell r="AC374">
            <v>1.4634146341463428E-2</v>
          </cell>
          <cell r="AD374">
            <v>1.4634146341463428E-2</v>
          </cell>
          <cell r="AE374">
            <v>1.4634146341463428E-2</v>
          </cell>
          <cell r="AF374">
            <v>1.4634146341463428E-2</v>
          </cell>
          <cell r="AG374">
            <v>1.4634146341463428E-2</v>
          </cell>
          <cell r="AH374">
            <v>1.4634146341463428E-2</v>
          </cell>
          <cell r="AI374">
            <v>1.4634146341463428E-2</v>
          </cell>
          <cell r="AJ374">
            <v>1.4634146341463428E-2</v>
          </cell>
          <cell r="AK374">
            <v>1.4634146341463428E-2</v>
          </cell>
        </row>
        <row r="375">
          <cell r="F375">
            <v>0.04</v>
          </cell>
          <cell r="G375">
            <v>0.04</v>
          </cell>
          <cell r="H375">
            <v>0.04</v>
          </cell>
          <cell r="I375">
            <v>0.04</v>
          </cell>
          <cell r="J375">
            <v>0.04</v>
          </cell>
          <cell r="K375">
            <v>0.04</v>
          </cell>
          <cell r="L375">
            <v>0.04</v>
          </cell>
          <cell r="M375">
            <v>0.04</v>
          </cell>
          <cell r="N375">
            <v>0.04</v>
          </cell>
          <cell r="O375">
            <v>0.04</v>
          </cell>
          <cell r="P375">
            <v>0.04</v>
          </cell>
          <cell r="Q375">
            <v>0.04</v>
          </cell>
          <cell r="R375">
            <v>0.04</v>
          </cell>
          <cell r="S375">
            <v>0.04</v>
          </cell>
          <cell r="T375">
            <v>0.04</v>
          </cell>
          <cell r="U375">
            <v>0.04</v>
          </cell>
          <cell r="V375">
            <v>0.04</v>
          </cell>
          <cell r="W375">
            <v>0.04</v>
          </cell>
          <cell r="X375">
            <v>0.04</v>
          </cell>
          <cell r="Y375">
            <v>0.04</v>
          </cell>
          <cell r="Z375">
            <v>0.04</v>
          </cell>
          <cell r="AA375">
            <v>0.04</v>
          </cell>
          <cell r="AB375">
            <v>0.04</v>
          </cell>
          <cell r="AC375">
            <v>0.04</v>
          </cell>
          <cell r="AD375">
            <v>0.04</v>
          </cell>
          <cell r="AE375">
            <v>0.04</v>
          </cell>
          <cell r="AF375">
            <v>0.04</v>
          </cell>
          <cell r="AG375">
            <v>0.04</v>
          </cell>
          <cell r="AH375">
            <v>0.04</v>
          </cell>
          <cell r="AI375">
            <v>0.04</v>
          </cell>
          <cell r="AJ375">
            <v>0.04</v>
          </cell>
          <cell r="AK375">
            <v>0.04</v>
          </cell>
        </row>
        <row r="376">
          <cell r="F376">
            <v>0.1</v>
          </cell>
          <cell r="G376">
            <v>0.1</v>
          </cell>
          <cell r="H376">
            <v>0.1</v>
          </cell>
          <cell r="I376">
            <v>0.1</v>
          </cell>
          <cell r="J376">
            <v>0.1</v>
          </cell>
          <cell r="K376">
            <v>0.1</v>
          </cell>
          <cell r="L376">
            <v>0.1</v>
          </cell>
          <cell r="M376">
            <v>0.1</v>
          </cell>
          <cell r="N376">
            <v>0.1</v>
          </cell>
          <cell r="O376">
            <v>0.1</v>
          </cell>
          <cell r="P376">
            <v>0.1</v>
          </cell>
          <cell r="Q376">
            <v>0.1</v>
          </cell>
          <cell r="R376">
            <v>0.1</v>
          </cell>
          <cell r="S376">
            <v>0.1</v>
          </cell>
          <cell r="T376">
            <v>0.1</v>
          </cell>
          <cell r="U376">
            <v>0.1</v>
          </cell>
          <cell r="V376">
            <v>0.1</v>
          </cell>
          <cell r="W376">
            <v>0.1</v>
          </cell>
          <cell r="X376">
            <v>0.1</v>
          </cell>
          <cell r="Y376">
            <v>0.1</v>
          </cell>
          <cell r="Z376">
            <v>0.1</v>
          </cell>
          <cell r="AA376">
            <v>0.1</v>
          </cell>
          <cell r="AB376">
            <v>0.1</v>
          </cell>
          <cell r="AC376">
            <v>0.1</v>
          </cell>
          <cell r="AD376">
            <v>0.1</v>
          </cell>
          <cell r="AE376">
            <v>0.1</v>
          </cell>
          <cell r="AF376">
            <v>0.1</v>
          </cell>
          <cell r="AG376">
            <v>0.1</v>
          </cell>
          <cell r="AH376">
            <v>0.1</v>
          </cell>
          <cell r="AI376">
            <v>0.1</v>
          </cell>
          <cell r="AJ376">
            <v>0.1</v>
          </cell>
          <cell r="AK376">
            <v>0.1</v>
          </cell>
        </row>
        <row r="377">
          <cell r="F377">
            <v>0.1</v>
          </cell>
          <cell r="G377">
            <v>0.1</v>
          </cell>
          <cell r="H377">
            <v>0.1</v>
          </cell>
          <cell r="I377">
            <v>0.1</v>
          </cell>
          <cell r="J377">
            <v>0.1</v>
          </cell>
          <cell r="K377">
            <v>0.1</v>
          </cell>
          <cell r="L377">
            <v>0.1</v>
          </cell>
          <cell r="M377">
            <v>0.1</v>
          </cell>
          <cell r="N377">
            <v>0.1</v>
          </cell>
          <cell r="O377">
            <v>0.1</v>
          </cell>
          <cell r="P377">
            <v>0.1</v>
          </cell>
          <cell r="Q377">
            <v>0.1</v>
          </cell>
          <cell r="R377">
            <v>0.1</v>
          </cell>
          <cell r="S377">
            <v>0.1</v>
          </cell>
          <cell r="T377">
            <v>0.1</v>
          </cell>
          <cell r="U377">
            <v>0.1</v>
          </cell>
          <cell r="V377">
            <v>0.1</v>
          </cell>
          <cell r="W377">
            <v>0.1</v>
          </cell>
          <cell r="X377">
            <v>0.1</v>
          </cell>
          <cell r="Y377">
            <v>0.1</v>
          </cell>
          <cell r="Z377">
            <v>0.1</v>
          </cell>
          <cell r="AA377">
            <v>0.1</v>
          </cell>
          <cell r="AB377">
            <v>0.1</v>
          </cell>
          <cell r="AC377">
            <v>0.1</v>
          </cell>
          <cell r="AD377">
            <v>0.1</v>
          </cell>
          <cell r="AE377">
            <v>0.1</v>
          </cell>
          <cell r="AF377">
            <v>0.1</v>
          </cell>
          <cell r="AG377">
            <v>0.1</v>
          </cell>
          <cell r="AH377">
            <v>0.1</v>
          </cell>
          <cell r="AI377">
            <v>0.1</v>
          </cell>
          <cell r="AJ377">
            <v>0.1</v>
          </cell>
          <cell r="AK377">
            <v>0.1</v>
          </cell>
        </row>
        <row r="378">
          <cell r="F378">
            <v>0.1</v>
          </cell>
          <cell r="G378">
            <v>0.1</v>
          </cell>
          <cell r="H378">
            <v>0.1</v>
          </cell>
          <cell r="I378">
            <v>0.1</v>
          </cell>
          <cell r="J378">
            <v>0.1</v>
          </cell>
          <cell r="K378">
            <v>0.1</v>
          </cell>
          <cell r="L378">
            <v>0.1</v>
          </cell>
          <cell r="M378">
            <v>0.1</v>
          </cell>
          <cell r="N378">
            <v>0.1</v>
          </cell>
          <cell r="O378">
            <v>0.1</v>
          </cell>
          <cell r="P378">
            <v>0.1</v>
          </cell>
          <cell r="Q378">
            <v>0.1</v>
          </cell>
          <cell r="R378">
            <v>0.1</v>
          </cell>
          <cell r="S378">
            <v>0.1</v>
          </cell>
          <cell r="T378">
            <v>0.1</v>
          </cell>
          <cell r="U378">
            <v>0.1</v>
          </cell>
          <cell r="V378">
            <v>0.1</v>
          </cell>
          <cell r="W378">
            <v>0.1</v>
          </cell>
          <cell r="X378">
            <v>0.1</v>
          </cell>
          <cell r="Y378">
            <v>0.1</v>
          </cell>
          <cell r="Z378">
            <v>0.1</v>
          </cell>
          <cell r="AA378">
            <v>0.1</v>
          </cell>
          <cell r="AB378">
            <v>0.1</v>
          </cell>
          <cell r="AC378">
            <v>0.1</v>
          </cell>
          <cell r="AD378">
            <v>0.1</v>
          </cell>
          <cell r="AE378">
            <v>0.1</v>
          </cell>
          <cell r="AF378">
            <v>0.1</v>
          </cell>
          <cell r="AG378">
            <v>0.1</v>
          </cell>
          <cell r="AH378">
            <v>0.1</v>
          </cell>
          <cell r="AI378">
            <v>0.1</v>
          </cell>
          <cell r="AJ378">
            <v>0.1</v>
          </cell>
          <cell r="AK378">
            <v>0.1</v>
          </cell>
        </row>
        <row r="379">
          <cell r="F379">
            <v>7.317073170731736E-2</v>
          </cell>
          <cell r="G379">
            <v>7.317073170731736E-2</v>
          </cell>
          <cell r="H379">
            <v>7.317073170731736E-2</v>
          </cell>
          <cell r="I379">
            <v>7.317073170731736E-2</v>
          </cell>
          <cell r="J379">
            <v>7.317073170731736E-2</v>
          </cell>
          <cell r="K379">
            <v>7.317073170731736E-2</v>
          </cell>
          <cell r="L379">
            <v>7.317073170731736E-2</v>
          </cell>
          <cell r="M379">
            <v>7.317073170731736E-2</v>
          </cell>
          <cell r="N379">
            <v>7.317073170731736E-2</v>
          </cell>
          <cell r="O379">
            <v>7.317073170731736E-2</v>
          </cell>
          <cell r="P379">
            <v>7.317073170731736E-2</v>
          </cell>
          <cell r="Q379">
            <v>7.317073170731736E-2</v>
          </cell>
          <cell r="R379">
            <v>7.317073170731736E-2</v>
          </cell>
          <cell r="S379">
            <v>7.317073170731736E-2</v>
          </cell>
          <cell r="T379">
            <v>7.317073170731736E-2</v>
          </cell>
          <cell r="U379">
            <v>7.317073170731736E-2</v>
          </cell>
          <cell r="V379">
            <v>7.317073170731736E-2</v>
          </cell>
          <cell r="W379">
            <v>7.317073170731736E-2</v>
          </cell>
          <cell r="X379">
            <v>7.317073170731736E-2</v>
          </cell>
          <cell r="Y379">
            <v>7.317073170731736E-2</v>
          </cell>
          <cell r="Z379">
            <v>7.317073170731736E-2</v>
          </cell>
          <cell r="AA379">
            <v>7.317073170731736E-2</v>
          </cell>
          <cell r="AB379">
            <v>7.317073170731736E-2</v>
          </cell>
          <cell r="AC379">
            <v>7.317073170731736E-2</v>
          </cell>
          <cell r="AD379">
            <v>7.317073170731736E-2</v>
          </cell>
          <cell r="AE379">
            <v>7.317073170731736E-2</v>
          </cell>
          <cell r="AF379">
            <v>7.317073170731736E-2</v>
          </cell>
          <cell r="AG379">
            <v>7.317073170731736E-2</v>
          </cell>
          <cell r="AH379">
            <v>7.317073170731736E-2</v>
          </cell>
          <cell r="AI379">
            <v>7.317073170731736E-2</v>
          </cell>
          <cell r="AJ379">
            <v>7.317073170731736E-2</v>
          </cell>
          <cell r="AK379">
            <v>7.317073170731736E-2</v>
          </cell>
        </row>
        <row r="380">
          <cell r="F380">
            <v>7.317073170731736E-2</v>
          </cell>
          <cell r="G380">
            <v>7.317073170731736E-2</v>
          </cell>
          <cell r="H380">
            <v>7.317073170731736E-2</v>
          </cell>
          <cell r="I380">
            <v>7.317073170731736E-2</v>
          </cell>
          <cell r="J380">
            <v>7.317073170731736E-2</v>
          </cell>
          <cell r="K380">
            <v>7.317073170731736E-2</v>
          </cell>
          <cell r="L380">
            <v>7.317073170731736E-2</v>
          </cell>
          <cell r="M380">
            <v>7.317073170731736E-2</v>
          </cell>
          <cell r="N380">
            <v>7.317073170731736E-2</v>
          </cell>
          <cell r="O380">
            <v>7.317073170731736E-2</v>
          </cell>
          <cell r="P380">
            <v>7.317073170731736E-2</v>
          </cell>
          <cell r="Q380">
            <v>7.317073170731736E-2</v>
          </cell>
          <cell r="R380">
            <v>7.317073170731736E-2</v>
          </cell>
          <cell r="S380">
            <v>7.317073170731736E-2</v>
          </cell>
          <cell r="T380">
            <v>7.317073170731736E-2</v>
          </cell>
          <cell r="U380">
            <v>7.317073170731736E-2</v>
          </cell>
          <cell r="V380">
            <v>7.317073170731736E-2</v>
          </cell>
          <cell r="W380">
            <v>7.317073170731736E-2</v>
          </cell>
          <cell r="X380">
            <v>7.317073170731736E-2</v>
          </cell>
          <cell r="Y380">
            <v>7.317073170731736E-2</v>
          </cell>
          <cell r="Z380">
            <v>7.317073170731736E-2</v>
          </cell>
          <cell r="AA380">
            <v>7.317073170731736E-2</v>
          </cell>
          <cell r="AB380">
            <v>7.317073170731736E-2</v>
          </cell>
          <cell r="AC380">
            <v>7.317073170731736E-2</v>
          </cell>
          <cell r="AD380">
            <v>7.317073170731736E-2</v>
          </cell>
          <cell r="AE380">
            <v>7.317073170731736E-2</v>
          </cell>
          <cell r="AF380">
            <v>7.317073170731736E-2</v>
          </cell>
          <cell r="AG380">
            <v>7.317073170731736E-2</v>
          </cell>
          <cell r="AH380">
            <v>7.317073170731736E-2</v>
          </cell>
          <cell r="AI380">
            <v>7.317073170731736E-2</v>
          </cell>
          <cell r="AJ380">
            <v>7.317073170731736E-2</v>
          </cell>
          <cell r="AK380">
            <v>7.317073170731736E-2</v>
          </cell>
        </row>
        <row r="381">
          <cell r="F381">
            <v>7.317073170731736E-2</v>
          </cell>
          <cell r="G381">
            <v>7.317073170731736E-2</v>
          </cell>
          <cell r="H381">
            <v>7.317073170731736E-2</v>
          </cell>
          <cell r="I381">
            <v>7.317073170731736E-2</v>
          </cell>
          <cell r="J381">
            <v>7.317073170731736E-2</v>
          </cell>
          <cell r="K381">
            <v>7.317073170731736E-2</v>
          </cell>
          <cell r="L381">
            <v>7.317073170731736E-2</v>
          </cell>
          <cell r="M381">
            <v>7.317073170731736E-2</v>
          </cell>
          <cell r="N381">
            <v>7.317073170731736E-2</v>
          </cell>
          <cell r="O381">
            <v>7.317073170731736E-2</v>
          </cell>
          <cell r="P381">
            <v>7.317073170731736E-2</v>
          </cell>
          <cell r="Q381">
            <v>7.317073170731736E-2</v>
          </cell>
          <cell r="R381">
            <v>7.317073170731736E-2</v>
          </cell>
          <cell r="S381">
            <v>7.317073170731736E-2</v>
          </cell>
          <cell r="T381">
            <v>7.317073170731736E-2</v>
          </cell>
          <cell r="U381">
            <v>7.317073170731736E-2</v>
          </cell>
          <cell r="V381">
            <v>7.317073170731736E-2</v>
          </cell>
          <cell r="W381">
            <v>7.317073170731736E-2</v>
          </cell>
          <cell r="X381">
            <v>7.317073170731736E-2</v>
          </cell>
          <cell r="Y381">
            <v>7.317073170731736E-2</v>
          </cell>
          <cell r="Z381">
            <v>7.317073170731736E-2</v>
          </cell>
          <cell r="AA381">
            <v>7.317073170731736E-2</v>
          </cell>
          <cell r="AB381">
            <v>7.317073170731736E-2</v>
          </cell>
          <cell r="AC381">
            <v>7.317073170731736E-2</v>
          </cell>
          <cell r="AD381">
            <v>7.317073170731736E-2</v>
          </cell>
          <cell r="AE381">
            <v>7.317073170731736E-2</v>
          </cell>
          <cell r="AF381">
            <v>7.317073170731736E-2</v>
          </cell>
          <cell r="AG381">
            <v>7.317073170731736E-2</v>
          </cell>
          <cell r="AH381">
            <v>7.317073170731736E-2</v>
          </cell>
          <cell r="AI381">
            <v>7.317073170731736E-2</v>
          </cell>
          <cell r="AJ381">
            <v>7.317073170731736E-2</v>
          </cell>
          <cell r="AK381">
            <v>7.317073170731736E-2</v>
          </cell>
        </row>
        <row r="382">
          <cell r="F382">
            <v>0.68500000000000005</v>
          </cell>
          <cell r="G382">
            <v>0.68500000000000005</v>
          </cell>
          <cell r="H382">
            <v>0.68500000000000005</v>
          </cell>
          <cell r="I382">
            <v>0.68500000000000005</v>
          </cell>
          <cell r="J382">
            <v>0.68500000000000005</v>
          </cell>
          <cell r="K382">
            <v>0.68500000000000005</v>
          </cell>
          <cell r="L382">
            <v>0.68500000000000005</v>
          </cell>
          <cell r="M382">
            <v>0.68500000000000005</v>
          </cell>
          <cell r="N382">
            <v>0.68500000000000005</v>
          </cell>
          <cell r="O382">
            <v>0.68500000000000005</v>
          </cell>
          <cell r="P382">
            <v>0.68500000000000005</v>
          </cell>
          <cell r="Q382">
            <v>0.68500000000000005</v>
          </cell>
          <cell r="R382">
            <v>0.68500000000000005</v>
          </cell>
          <cell r="S382">
            <v>0.68500000000000005</v>
          </cell>
          <cell r="T382">
            <v>0.68500000000000005</v>
          </cell>
          <cell r="U382">
            <v>0.68500000000000005</v>
          </cell>
          <cell r="V382">
            <v>0.68500000000000005</v>
          </cell>
          <cell r="W382">
            <v>0.68500000000000005</v>
          </cell>
          <cell r="X382">
            <v>0.68500000000000005</v>
          </cell>
          <cell r="Y382">
            <v>0.68500000000000005</v>
          </cell>
          <cell r="Z382">
            <v>0.68500000000000005</v>
          </cell>
          <cell r="AA382">
            <v>0.68500000000000005</v>
          </cell>
          <cell r="AB382">
            <v>0.68500000000000005</v>
          </cell>
          <cell r="AC382">
            <v>0.68500000000000005</v>
          </cell>
          <cell r="AD382">
            <v>0.68500000000000005</v>
          </cell>
          <cell r="AE382">
            <v>0.68500000000000005</v>
          </cell>
          <cell r="AF382">
            <v>0.68500000000000005</v>
          </cell>
          <cell r="AG382">
            <v>0.68500000000000005</v>
          </cell>
          <cell r="AH382">
            <v>0.68500000000000005</v>
          </cell>
          <cell r="AI382">
            <v>0.68500000000000005</v>
          </cell>
          <cell r="AJ382">
            <v>0.68500000000000005</v>
          </cell>
          <cell r="AK382">
            <v>0.68500000000000005</v>
          </cell>
        </row>
        <row r="383">
          <cell r="F383">
            <v>0.68500000000000005</v>
          </cell>
          <cell r="G383">
            <v>0.68500000000000005</v>
          </cell>
          <cell r="H383">
            <v>0.68500000000000005</v>
          </cell>
          <cell r="I383">
            <v>0.68500000000000005</v>
          </cell>
          <cell r="J383">
            <v>0.68500000000000005</v>
          </cell>
          <cell r="K383">
            <v>0.68500000000000005</v>
          </cell>
          <cell r="L383">
            <v>0.68500000000000005</v>
          </cell>
          <cell r="M383">
            <v>0.68500000000000005</v>
          </cell>
          <cell r="N383">
            <v>0.68500000000000005</v>
          </cell>
          <cell r="O383">
            <v>0.68500000000000005</v>
          </cell>
          <cell r="P383">
            <v>0.68500000000000005</v>
          </cell>
          <cell r="Q383">
            <v>0.68500000000000005</v>
          </cell>
          <cell r="R383">
            <v>0.68500000000000005</v>
          </cell>
          <cell r="S383">
            <v>0.68500000000000005</v>
          </cell>
          <cell r="T383">
            <v>0.68500000000000005</v>
          </cell>
          <cell r="U383">
            <v>0.68500000000000005</v>
          </cell>
          <cell r="V383">
            <v>0.68500000000000005</v>
          </cell>
          <cell r="W383">
            <v>0.68500000000000005</v>
          </cell>
          <cell r="X383">
            <v>0.68500000000000005</v>
          </cell>
          <cell r="Y383">
            <v>0.68500000000000005</v>
          </cell>
          <cell r="Z383">
            <v>0.68500000000000005</v>
          </cell>
          <cell r="AA383">
            <v>0.68500000000000005</v>
          </cell>
          <cell r="AB383">
            <v>0.68500000000000005</v>
          </cell>
          <cell r="AC383">
            <v>0.68500000000000005</v>
          </cell>
          <cell r="AD383">
            <v>0.68500000000000005</v>
          </cell>
          <cell r="AE383">
            <v>0.68500000000000005</v>
          </cell>
          <cell r="AF383">
            <v>0.68500000000000005</v>
          </cell>
          <cell r="AG383">
            <v>0.68500000000000005</v>
          </cell>
          <cell r="AH383">
            <v>0.68500000000000005</v>
          </cell>
          <cell r="AI383">
            <v>0.68500000000000005</v>
          </cell>
          <cell r="AJ383">
            <v>0.68500000000000005</v>
          </cell>
          <cell r="AK383">
            <v>0.68500000000000005</v>
          </cell>
        </row>
        <row r="384">
          <cell r="F384">
            <v>0.68500000000000005</v>
          </cell>
          <cell r="G384">
            <v>0.68500000000000005</v>
          </cell>
          <cell r="H384">
            <v>0.68500000000000005</v>
          </cell>
          <cell r="I384">
            <v>0.68500000000000005</v>
          </cell>
          <cell r="J384">
            <v>0.68500000000000005</v>
          </cell>
          <cell r="K384">
            <v>0.68500000000000005</v>
          </cell>
          <cell r="L384">
            <v>0.68500000000000005</v>
          </cell>
          <cell r="M384">
            <v>0.68500000000000005</v>
          </cell>
          <cell r="N384">
            <v>0.68500000000000005</v>
          </cell>
          <cell r="O384">
            <v>0.68500000000000005</v>
          </cell>
          <cell r="P384">
            <v>0.68500000000000005</v>
          </cell>
          <cell r="Q384">
            <v>0.68500000000000005</v>
          </cell>
          <cell r="R384">
            <v>0.68500000000000005</v>
          </cell>
          <cell r="S384">
            <v>0.68500000000000005</v>
          </cell>
          <cell r="T384">
            <v>0.68500000000000005</v>
          </cell>
          <cell r="U384">
            <v>0.68500000000000005</v>
          </cell>
          <cell r="V384">
            <v>0.68500000000000005</v>
          </cell>
          <cell r="W384">
            <v>0.68500000000000005</v>
          </cell>
          <cell r="X384">
            <v>0.68500000000000005</v>
          </cell>
          <cell r="Y384">
            <v>0.68500000000000005</v>
          </cell>
          <cell r="Z384">
            <v>0.68500000000000005</v>
          </cell>
          <cell r="AA384">
            <v>0.68500000000000005</v>
          </cell>
          <cell r="AB384">
            <v>0.68500000000000005</v>
          </cell>
          <cell r="AC384">
            <v>0.68500000000000005</v>
          </cell>
          <cell r="AD384">
            <v>0.68500000000000005</v>
          </cell>
          <cell r="AE384">
            <v>0.68500000000000005</v>
          </cell>
          <cell r="AF384">
            <v>0.68500000000000005</v>
          </cell>
          <cell r="AG384">
            <v>0.68500000000000005</v>
          </cell>
          <cell r="AH384">
            <v>0.68500000000000005</v>
          </cell>
          <cell r="AI384">
            <v>0.68500000000000005</v>
          </cell>
          <cell r="AJ384">
            <v>0.68500000000000005</v>
          </cell>
          <cell r="AK384">
            <v>0.68500000000000005</v>
          </cell>
        </row>
        <row r="385">
          <cell r="F385">
            <v>0.25740000000000002</v>
          </cell>
          <cell r="G385">
            <v>0.25740000000000002</v>
          </cell>
          <cell r="H385">
            <v>0.25740000000000002</v>
          </cell>
          <cell r="I385">
            <v>0.25740000000000002</v>
          </cell>
          <cell r="J385">
            <v>0.25740000000000002</v>
          </cell>
          <cell r="K385">
            <v>0.25740000000000002</v>
          </cell>
          <cell r="L385">
            <v>0.25740000000000002</v>
          </cell>
          <cell r="M385">
            <v>0.25740000000000002</v>
          </cell>
          <cell r="N385">
            <v>0.25740000000000002</v>
          </cell>
          <cell r="O385">
            <v>0.25740000000000002</v>
          </cell>
          <cell r="P385">
            <v>0.25740000000000002</v>
          </cell>
          <cell r="Q385">
            <v>0.25740000000000002</v>
          </cell>
          <cell r="R385">
            <v>0.25740000000000002</v>
          </cell>
          <cell r="S385">
            <v>0.25740000000000002</v>
          </cell>
          <cell r="T385">
            <v>0.25740000000000002</v>
          </cell>
          <cell r="U385">
            <v>0.25740000000000002</v>
          </cell>
          <cell r="V385">
            <v>0.25740000000000002</v>
          </cell>
          <cell r="W385">
            <v>0.25740000000000002</v>
          </cell>
          <cell r="X385">
            <v>0.25740000000000002</v>
          </cell>
          <cell r="Y385">
            <v>0.25740000000000002</v>
          </cell>
          <cell r="Z385">
            <v>0.25740000000000002</v>
          </cell>
          <cell r="AA385">
            <v>0.25740000000000002</v>
          </cell>
          <cell r="AB385">
            <v>0.25740000000000002</v>
          </cell>
          <cell r="AC385">
            <v>0.25740000000000002</v>
          </cell>
          <cell r="AD385">
            <v>0.25740000000000002</v>
          </cell>
          <cell r="AE385">
            <v>0.25740000000000002</v>
          </cell>
          <cell r="AF385">
            <v>0.25740000000000002</v>
          </cell>
          <cell r="AG385">
            <v>0.25740000000000002</v>
          </cell>
          <cell r="AH385">
            <v>0.25740000000000002</v>
          </cell>
          <cell r="AI385">
            <v>0.25740000000000002</v>
          </cell>
          <cell r="AJ385">
            <v>0.25740000000000002</v>
          </cell>
          <cell r="AK385">
            <v>0.25740000000000002</v>
          </cell>
        </row>
        <row r="386">
          <cell r="F386">
            <v>5.1847239999999996E-2</v>
          </cell>
          <cell r="G386">
            <v>5.1847239999999996E-2</v>
          </cell>
          <cell r="H386">
            <v>5.1847239999999996E-2</v>
          </cell>
          <cell r="I386">
            <v>5.1847239999999996E-2</v>
          </cell>
          <cell r="J386">
            <v>5.1847239999999996E-2</v>
          </cell>
          <cell r="K386">
            <v>5.1847239999999996E-2</v>
          </cell>
          <cell r="L386">
            <v>5.1847239999999996E-2</v>
          </cell>
          <cell r="M386">
            <v>5.1847239999999996E-2</v>
          </cell>
          <cell r="N386">
            <v>5.1847239999999996E-2</v>
          </cell>
          <cell r="O386">
            <v>5.1847239999999996E-2</v>
          </cell>
          <cell r="P386">
            <v>5.1847239999999996E-2</v>
          </cell>
          <cell r="Q386">
            <v>5.1847239999999996E-2</v>
          </cell>
          <cell r="R386">
            <v>5.1847239999999996E-2</v>
          </cell>
          <cell r="S386">
            <v>5.1847239999999996E-2</v>
          </cell>
          <cell r="T386">
            <v>5.1847239999999996E-2</v>
          </cell>
          <cell r="U386">
            <v>5.1847239999999996E-2</v>
          </cell>
          <cell r="V386">
            <v>5.1847239999999996E-2</v>
          </cell>
          <cell r="W386">
            <v>5.1847239999999996E-2</v>
          </cell>
          <cell r="X386">
            <v>5.1847239999999996E-2</v>
          </cell>
          <cell r="Y386">
            <v>5.1847239999999996E-2</v>
          </cell>
          <cell r="Z386">
            <v>5.1847239999999996E-2</v>
          </cell>
          <cell r="AA386">
            <v>5.1847239999999996E-2</v>
          </cell>
          <cell r="AB386">
            <v>5.1847239999999996E-2</v>
          </cell>
          <cell r="AC386">
            <v>5.1847239999999996E-2</v>
          </cell>
          <cell r="AD386">
            <v>5.1847239999999996E-2</v>
          </cell>
          <cell r="AE386">
            <v>5.1847239999999996E-2</v>
          </cell>
          <cell r="AF386">
            <v>5.1847239999999996E-2</v>
          </cell>
          <cell r="AG386">
            <v>5.1847239999999996E-2</v>
          </cell>
          <cell r="AH386">
            <v>5.1847239999999996E-2</v>
          </cell>
          <cell r="AI386">
            <v>5.1847239999999996E-2</v>
          </cell>
          <cell r="AJ386">
            <v>5.1847239999999996E-2</v>
          </cell>
          <cell r="AK386">
            <v>5.1847239999999996E-2</v>
          </cell>
        </row>
        <row r="387">
          <cell r="F387">
            <v>5.1847239999999996E-2</v>
          </cell>
          <cell r="G387">
            <v>5.1847239999999996E-2</v>
          </cell>
          <cell r="H387">
            <v>5.1847239999999996E-2</v>
          </cell>
          <cell r="I387">
            <v>5.1847239999999996E-2</v>
          </cell>
          <cell r="J387">
            <v>5.1847239999999996E-2</v>
          </cell>
          <cell r="K387">
            <v>5.1847239999999996E-2</v>
          </cell>
          <cell r="L387">
            <v>5.1847239999999996E-2</v>
          </cell>
          <cell r="M387">
            <v>5.1847239999999996E-2</v>
          </cell>
          <cell r="N387">
            <v>5.1847239999999996E-2</v>
          </cell>
          <cell r="O387">
            <v>5.1847239999999996E-2</v>
          </cell>
          <cell r="P387">
            <v>5.1847239999999996E-2</v>
          </cell>
          <cell r="Q387">
            <v>5.1847239999999996E-2</v>
          </cell>
          <cell r="R387">
            <v>5.1847239999999996E-2</v>
          </cell>
          <cell r="S387">
            <v>5.1847239999999996E-2</v>
          </cell>
          <cell r="T387">
            <v>5.1847239999999996E-2</v>
          </cell>
          <cell r="U387">
            <v>5.1847239999999996E-2</v>
          </cell>
          <cell r="V387">
            <v>5.1847239999999996E-2</v>
          </cell>
          <cell r="W387">
            <v>5.1847239999999996E-2</v>
          </cell>
          <cell r="X387">
            <v>5.1847239999999996E-2</v>
          </cell>
          <cell r="Y387">
            <v>5.1847239999999996E-2</v>
          </cell>
          <cell r="Z387">
            <v>5.1847239999999996E-2</v>
          </cell>
          <cell r="AA387">
            <v>5.1847239999999996E-2</v>
          </cell>
          <cell r="AB387">
            <v>5.1847239999999996E-2</v>
          </cell>
          <cell r="AC387">
            <v>5.1847239999999996E-2</v>
          </cell>
          <cell r="AD387">
            <v>5.1847239999999996E-2</v>
          </cell>
          <cell r="AE387">
            <v>5.1847239999999996E-2</v>
          </cell>
          <cell r="AF387">
            <v>5.1847239999999996E-2</v>
          </cell>
          <cell r="AG387">
            <v>5.1847239999999996E-2</v>
          </cell>
          <cell r="AH387">
            <v>5.1847239999999996E-2</v>
          </cell>
          <cell r="AI387">
            <v>5.1847239999999996E-2</v>
          </cell>
          <cell r="AJ387">
            <v>5.1847239999999996E-2</v>
          </cell>
          <cell r="AK387">
            <v>5.1847239999999996E-2</v>
          </cell>
        </row>
        <row r="388">
          <cell r="F388">
            <v>5.1847239999999996E-2</v>
          </cell>
          <cell r="G388">
            <v>5.1847239999999996E-2</v>
          </cell>
          <cell r="H388">
            <v>5.1847239999999996E-2</v>
          </cell>
          <cell r="I388">
            <v>5.1847239999999996E-2</v>
          </cell>
          <cell r="J388">
            <v>5.1847239999999996E-2</v>
          </cell>
          <cell r="K388">
            <v>5.1847239999999996E-2</v>
          </cell>
          <cell r="L388">
            <v>5.1847239999999996E-2</v>
          </cell>
          <cell r="M388">
            <v>5.1847239999999996E-2</v>
          </cell>
          <cell r="N388">
            <v>5.1847239999999996E-2</v>
          </cell>
          <cell r="O388">
            <v>5.1847239999999996E-2</v>
          </cell>
          <cell r="P388">
            <v>5.1847239999999996E-2</v>
          </cell>
          <cell r="Q388">
            <v>5.1847239999999996E-2</v>
          </cell>
          <cell r="R388">
            <v>5.1847239999999996E-2</v>
          </cell>
          <cell r="S388">
            <v>5.1847239999999996E-2</v>
          </cell>
          <cell r="T388">
            <v>5.1847239999999996E-2</v>
          </cell>
          <cell r="U388">
            <v>5.1847239999999996E-2</v>
          </cell>
          <cell r="V388">
            <v>5.1847239999999996E-2</v>
          </cell>
          <cell r="W388">
            <v>5.1847239999999996E-2</v>
          </cell>
          <cell r="X388">
            <v>5.1847239999999996E-2</v>
          </cell>
          <cell r="Y388">
            <v>5.1847239999999996E-2</v>
          </cell>
          <cell r="Z388">
            <v>5.1847239999999996E-2</v>
          </cell>
          <cell r="AA388">
            <v>5.1847239999999996E-2</v>
          </cell>
          <cell r="AB388">
            <v>5.1847239999999996E-2</v>
          </cell>
          <cell r="AC388">
            <v>5.1847239999999996E-2</v>
          </cell>
          <cell r="AD388">
            <v>5.1847239999999996E-2</v>
          </cell>
          <cell r="AE388">
            <v>5.1847239999999996E-2</v>
          </cell>
          <cell r="AF388">
            <v>5.1847239999999996E-2</v>
          </cell>
          <cell r="AG388">
            <v>5.1847239999999996E-2</v>
          </cell>
          <cell r="AH388">
            <v>5.1847239999999996E-2</v>
          </cell>
          <cell r="AI388">
            <v>5.1847239999999996E-2</v>
          </cell>
          <cell r="AJ388">
            <v>5.1847239999999996E-2</v>
          </cell>
          <cell r="AK388">
            <v>5.1847239999999996E-2</v>
          </cell>
        </row>
        <row r="389">
          <cell r="F389">
            <v>2.6192429268292905E-2</v>
          </cell>
          <cell r="G389">
            <v>2.6192429268292905E-2</v>
          </cell>
          <cell r="H389">
            <v>2.6192429268292905E-2</v>
          </cell>
          <cell r="I389">
            <v>2.6192429268292905E-2</v>
          </cell>
          <cell r="J389">
            <v>2.6192429268292905E-2</v>
          </cell>
          <cell r="K389">
            <v>2.6192429268292905E-2</v>
          </cell>
          <cell r="L389">
            <v>2.6192429268292905E-2</v>
          </cell>
          <cell r="M389">
            <v>2.6192429268292905E-2</v>
          </cell>
          <cell r="N389">
            <v>2.6192429268292905E-2</v>
          </cell>
          <cell r="O389">
            <v>2.6192429268292905E-2</v>
          </cell>
          <cell r="P389">
            <v>2.6192429268292905E-2</v>
          </cell>
          <cell r="Q389">
            <v>2.6192429268292905E-2</v>
          </cell>
          <cell r="R389">
            <v>2.6192429268292905E-2</v>
          </cell>
          <cell r="S389">
            <v>2.6192429268292905E-2</v>
          </cell>
          <cell r="T389">
            <v>2.6192429268292905E-2</v>
          </cell>
          <cell r="U389">
            <v>2.6192429268292905E-2</v>
          </cell>
          <cell r="V389">
            <v>2.6192429268292905E-2</v>
          </cell>
          <cell r="W389">
            <v>2.6192429268292905E-2</v>
          </cell>
          <cell r="X389">
            <v>2.6192429268292905E-2</v>
          </cell>
          <cell r="Y389">
            <v>2.6192429268292905E-2</v>
          </cell>
          <cell r="Z389">
            <v>2.6192429268292905E-2</v>
          </cell>
          <cell r="AA389">
            <v>2.6192429268292905E-2</v>
          </cell>
          <cell r="AB389">
            <v>2.6192429268292905E-2</v>
          </cell>
          <cell r="AC389">
            <v>2.6192429268292905E-2</v>
          </cell>
          <cell r="AD389">
            <v>2.6192429268292905E-2</v>
          </cell>
          <cell r="AE389">
            <v>2.6192429268292905E-2</v>
          </cell>
          <cell r="AF389">
            <v>2.6192429268292905E-2</v>
          </cell>
          <cell r="AG389">
            <v>2.6192429268292905E-2</v>
          </cell>
          <cell r="AH389">
            <v>2.6192429268292905E-2</v>
          </cell>
          <cell r="AI389">
            <v>2.6192429268292905E-2</v>
          </cell>
          <cell r="AJ389">
            <v>2.6192429268292905E-2</v>
          </cell>
          <cell r="AK389">
            <v>2.6192429268292905E-2</v>
          </cell>
        </row>
        <row r="390">
          <cell r="F390">
            <v>2.6192429268292905E-2</v>
          </cell>
          <cell r="G390">
            <v>2.6192429268292905E-2</v>
          </cell>
          <cell r="H390">
            <v>2.6192429268292905E-2</v>
          </cell>
          <cell r="I390">
            <v>2.6192429268292905E-2</v>
          </cell>
          <cell r="J390">
            <v>2.6192429268292905E-2</v>
          </cell>
          <cell r="K390">
            <v>2.6192429268292905E-2</v>
          </cell>
          <cell r="L390">
            <v>2.6192429268292905E-2</v>
          </cell>
          <cell r="M390">
            <v>2.6192429268292905E-2</v>
          </cell>
          <cell r="N390">
            <v>2.6192429268292905E-2</v>
          </cell>
          <cell r="O390">
            <v>2.6192429268292905E-2</v>
          </cell>
          <cell r="P390">
            <v>2.6192429268292905E-2</v>
          </cell>
          <cell r="Q390">
            <v>2.6192429268292905E-2</v>
          </cell>
          <cell r="R390">
            <v>2.6192429268292905E-2</v>
          </cell>
          <cell r="S390">
            <v>2.6192429268292905E-2</v>
          </cell>
          <cell r="T390">
            <v>2.6192429268292905E-2</v>
          </cell>
          <cell r="U390">
            <v>2.6192429268292905E-2</v>
          </cell>
          <cell r="V390">
            <v>2.6192429268292905E-2</v>
          </cell>
          <cell r="W390">
            <v>2.6192429268292905E-2</v>
          </cell>
          <cell r="X390">
            <v>2.6192429268292905E-2</v>
          </cell>
          <cell r="Y390">
            <v>2.6192429268292905E-2</v>
          </cell>
          <cell r="Z390">
            <v>2.6192429268292905E-2</v>
          </cell>
          <cell r="AA390">
            <v>2.6192429268292905E-2</v>
          </cell>
          <cell r="AB390">
            <v>2.6192429268292905E-2</v>
          </cell>
          <cell r="AC390">
            <v>2.6192429268292905E-2</v>
          </cell>
          <cell r="AD390">
            <v>2.6192429268292905E-2</v>
          </cell>
          <cell r="AE390">
            <v>2.6192429268292905E-2</v>
          </cell>
          <cell r="AF390">
            <v>2.6192429268292905E-2</v>
          </cell>
          <cell r="AG390">
            <v>2.6192429268292905E-2</v>
          </cell>
          <cell r="AH390">
            <v>2.6192429268292905E-2</v>
          </cell>
          <cell r="AI390">
            <v>2.6192429268292905E-2</v>
          </cell>
          <cell r="AJ390">
            <v>2.6192429268292905E-2</v>
          </cell>
          <cell r="AK390">
            <v>2.6192429268292905E-2</v>
          </cell>
        </row>
        <row r="391">
          <cell r="F391">
            <v>2.6192429268292905E-2</v>
          </cell>
          <cell r="G391">
            <v>2.6192429268292905E-2</v>
          </cell>
          <cell r="H391">
            <v>2.6192429268292905E-2</v>
          </cell>
          <cell r="I391">
            <v>2.6192429268292905E-2</v>
          </cell>
          <cell r="J391">
            <v>2.6192429268292905E-2</v>
          </cell>
          <cell r="K391">
            <v>2.6192429268292905E-2</v>
          </cell>
          <cell r="L391">
            <v>2.6192429268292905E-2</v>
          </cell>
          <cell r="M391">
            <v>2.6192429268292905E-2</v>
          </cell>
          <cell r="N391">
            <v>2.6192429268292905E-2</v>
          </cell>
          <cell r="O391">
            <v>2.6192429268292905E-2</v>
          </cell>
          <cell r="P391">
            <v>2.6192429268292905E-2</v>
          </cell>
          <cell r="Q391">
            <v>2.6192429268292905E-2</v>
          </cell>
          <cell r="R391">
            <v>2.6192429268292905E-2</v>
          </cell>
          <cell r="S391">
            <v>2.6192429268292905E-2</v>
          </cell>
          <cell r="T391">
            <v>2.6192429268292905E-2</v>
          </cell>
          <cell r="U391">
            <v>2.6192429268292905E-2</v>
          </cell>
          <cell r="V391">
            <v>2.6192429268292905E-2</v>
          </cell>
          <cell r="W391">
            <v>2.6192429268292905E-2</v>
          </cell>
          <cell r="X391">
            <v>2.6192429268292905E-2</v>
          </cell>
          <cell r="Y391">
            <v>2.6192429268292905E-2</v>
          </cell>
          <cell r="Z391">
            <v>2.6192429268292905E-2</v>
          </cell>
          <cell r="AA391">
            <v>2.6192429268292905E-2</v>
          </cell>
          <cell r="AB391">
            <v>2.6192429268292905E-2</v>
          </cell>
          <cell r="AC391">
            <v>2.6192429268292905E-2</v>
          </cell>
          <cell r="AD391">
            <v>2.6192429268292905E-2</v>
          </cell>
          <cell r="AE391">
            <v>2.6192429268292905E-2</v>
          </cell>
          <cell r="AF391">
            <v>2.6192429268292905E-2</v>
          </cell>
          <cell r="AG391">
            <v>2.6192429268292905E-2</v>
          </cell>
          <cell r="AH391">
            <v>2.6192429268292905E-2</v>
          </cell>
          <cell r="AI391">
            <v>2.6192429268292905E-2</v>
          </cell>
          <cell r="AJ391">
            <v>2.6192429268292905E-2</v>
          </cell>
          <cell r="AK391">
            <v>2.6192429268292905E-2</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atb.nrel.gov/electricity/2021/offshore_wind" TargetMode="External"/><Relationship Id="rId18" Type="http://schemas.openxmlformats.org/officeDocument/2006/relationships/hyperlink" Target="https://atb.nrel.gov/electricity/2021/offshore_wind" TargetMode="External"/><Relationship Id="rId26" Type="http://schemas.openxmlformats.org/officeDocument/2006/relationships/vmlDrawing" Target="../drawings/vmlDrawing1.vml"/><Relationship Id="rId39" Type="http://schemas.openxmlformats.org/officeDocument/2006/relationships/ctrlProp" Target="../ctrlProps/ctrlProp13.xml"/><Relationship Id="rId21" Type="http://schemas.openxmlformats.org/officeDocument/2006/relationships/hyperlink" Target="https://atb.nrel.gov/electricity/2021/offshore_wind" TargetMode="External"/><Relationship Id="rId34" Type="http://schemas.openxmlformats.org/officeDocument/2006/relationships/ctrlProp" Target="../ctrlProps/ctrlProp8.xml"/><Relationship Id="rId7" Type="http://schemas.openxmlformats.org/officeDocument/2006/relationships/hyperlink" Target="https://atb.nrel.gov/electricity/2021/offshore_wind" TargetMode="External"/><Relationship Id="rId12" Type="http://schemas.openxmlformats.org/officeDocument/2006/relationships/hyperlink" Target="https://atb.nrel.gov/electricity/2021/offshore_wind" TargetMode="External"/><Relationship Id="rId17" Type="http://schemas.openxmlformats.org/officeDocument/2006/relationships/hyperlink" Target="https://atb.nrel.gov/electricity/2021/offshore_wind" TargetMode="External"/><Relationship Id="rId25" Type="http://schemas.openxmlformats.org/officeDocument/2006/relationships/drawing" Target="../drawings/drawing1.xml"/><Relationship Id="rId33" Type="http://schemas.openxmlformats.org/officeDocument/2006/relationships/ctrlProp" Target="../ctrlProps/ctrlProp7.xml"/><Relationship Id="rId38" Type="http://schemas.openxmlformats.org/officeDocument/2006/relationships/ctrlProp" Target="../ctrlProps/ctrlProp12.xml"/><Relationship Id="rId2" Type="http://schemas.openxmlformats.org/officeDocument/2006/relationships/hyperlink" Target="https://atb.nrel.gov/electricity/2021/offshore_wind" TargetMode="External"/><Relationship Id="rId16" Type="http://schemas.openxmlformats.org/officeDocument/2006/relationships/hyperlink" Target="https://atb.nrel.gov/electricity/2021/offshore_wind" TargetMode="External"/><Relationship Id="rId20" Type="http://schemas.openxmlformats.org/officeDocument/2006/relationships/hyperlink" Target="https://atb.nrel.gov/electricity/2021/offshore_wind" TargetMode="External"/><Relationship Id="rId29" Type="http://schemas.openxmlformats.org/officeDocument/2006/relationships/ctrlProp" Target="../ctrlProps/ctrlProp3.xml"/><Relationship Id="rId1" Type="http://schemas.openxmlformats.org/officeDocument/2006/relationships/hyperlink" Target="https://atb.nrel.gov/electricity/2021/offshore_wind" TargetMode="External"/><Relationship Id="rId6" Type="http://schemas.openxmlformats.org/officeDocument/2006/relationships/hyperlink" Target="https://atb.nrel.gov/electricity/2021/offshore_wind" TargetMode="External"/><Relationship Id="rId11" Type="http://schemas.openxmlformats.org/officeDocument/2006/relationships/hyperlink" Target="https://atb.nrel.gov/electricity/2021/offshore_wind" TargetMode="External"/><Relationship Id="rId24" Type="http://schemas.openxmlformats.org/officeDocument/2006/relationships/printerSettings" Target="../printerSettings/printerSettings1.bin"/><Relationship Id="rId32" Type="http://schemas.openxmlformats.org/officeDocument/2006/relationships/ctrlProp" Target="../ctrlProps/ctrlProp6.xml"/><Relationship Id="rId37" Type="http://schemas.openxmlformats.org/officeDocument/2006/relationships/ctrlProp" Target="../ctrlProps/ctrlProp11.xml"/><Relationship Id="rId40" Type="http://schemas.openxmlformats.org/officeDocument/2006/relationships/ctrlProp" Target="../ctrlProps/ctrlProp14.xml"/><Relationship Id="rId5" Type="http://schemas.openxmlformats.org/officeDocument/2006/relationships/hyperlink" Target="https://atb.nrel.gov/electricity/2021/offshore_wind" TargetMode="External"/><Relationship Id="rId15" Type="http://schemas.openxmlformats.org/officeDocument/2006/relationships/hyperlink" Target="https://atb.nrel.gov/electricity/2021/offshore_wind" TargetMode="External"/><Relationship Id="rId23" Type="http://schemas.openxmlformats.org/officeDocument/2006/relationships/hyperlink" Target="https://atb.nrel.gov/electricity/2021/offshore_wind" TargetMode="External"/><Relationship Id="rId28" Type="http://schemas.openxmlformats.org/officeDocument/2006/relationships/ctrlProp" Target="../ctrlProps/ctrlProp2.xml"/><Relationship Id="rId36" Type="http://schemas.openxmlformats.org/officeDocument/2006/relationships/ctrlProp" Target="../ctrlProps/ctrlProp10.xml"/><Relationship Id="rId10" Type="http://schemas.openxmlformats.org/officeDocument/2006/relationships/hyperlink" Target="https://atb.nrel.gov/electricity/2021/offshore_wind" TargetMode="External"/><Relationship Id="rId19" Type="http://schemas.openxmlformats.org/officeDocument/2006/relationships/hyperlink" Target="https://atb.nrel.gov/electricity/2021/offshore_wind" TargetMode="External"/><Relationship Id="rId31" Type="http://schemas.openxmlformats.org/officeDocument/2006/relationships/ctrlProp" Target="../ctrlProps/ctrlProp5.xml"/><Relationship Id="rId4" Type="http://schemas.openxmlformats.org/officeDocument/2006/relationships/hyperlink" Target="https://atb.nrel.gov/electricity/2021/offshore_wind" TargetMode="External"/><Relationship Id="rId9" Type="http://schemas.openxmlformats.org/officeDocument/2006/relationships/hyperlink" Target="https://atb.nrel.gov/electricity/2021/offshore_wind" TargetMode="External"/><Relationship Id="rId14" Type="http://schemas.openxmlformats.org/officeDocument/2006/relationships/hyperlink" Target="https://atb.nrel.gov/electricity/2021/offshore_wind" TargetMode="External"/><Relationship Id="rId22" Type="http://schemas.openxmlformats.org/officeDocument/2006/relationships/hyperlink" Target="https://atb.nrel.gov/electricity/2021/offshore_wind" TargetMode="External"/><Relationship Id="rId27" Type="http://schemas.openxmlformats.org/officeDocument/2006/relationships/ctrlProp" Target="../ctrlProps/ctrlProp1.xml"/><Relationship Id="rId30" Type="http://schemas.openxmlformats.org/officeDocument/2006/relationships/ctrlProp" Target="../ctrlProps/ctrlProp4.xml"/><Relationship Id="rId35" Type="http://schemas.openxmlformats.org/officeDocument/2006/relationships/ctrlProp" Target="../ctrlProps/ctrlProp9.xml"/><Relationship Id="rId8" Type="http://schemas.openxmlformats.org/officeDocument/2006/relationships/hyperlink" Target="https://atb.nrel.gov/electricity/2021/offshore_wind" TargetMode="External"/><Relationship Id="rId3" Type="http://schemas.openxmlformats.org/officeDocument/2006/relationships/hyperlink" Target="https://atb.nrel.gov/electricity/2021/offshore_wind"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atb.nrel.gov/electricity/2021/offshore_wind" TargetMode="External"/><Relationship Id="rId13" Type="http://schemas.openxmlformats.org/officeDocument/2006/relationships/hyperlink" Target="https://atb.nrel.gov/electricity/2021/offshore_wind" TargetMode="External"/><Relationship Id="rId18" Type="http://schemas.openxmlformats.org/officeDocument/2006/relationships/hyperlink" Target="https://atb.nrel.gov/electricity/2021/offshore_wind" TargetMode="External"/><Relationship Id="rId26" Type="http://schemas.openxmlformats.org/officeDocument/2006/relationships/vmlDrawing" Target="../drawings/vmlDrawing2.vml"/><Relationship Id="rId3" Type="http://schemas.openxmlformats.org/officeDocument/2006/relationships/hyperlink" Target="https://atb.nrel.gov/electricity/2021/offshore_wind" TargetMode="External"/><Relationship Id="rId21" Type="http://schemas.openxmlformats.org/officeDocument/2006/relationships/hyperlink" Target="https://atb.nrel.gov/electricity/2021/offshore_wind" TargetMode="External"/><Relationship Id="rId7" Type="http://schemas.openxmlformats.org/officeDocument/2006/relationships/hyperlink" Target="https://atb.nrel.gov/electricity/2021/offshore_wind" TargetMode="External"/><Relationship Id="rId12" Type="http://schemas.openxmlformats.org/officeDocument/2006/relationships/hyperlink" Target="https://atb.nrel.gov/electricity/2021/offshore_wind" TargetMode="External"/><Relationship Id="rId17" Type="http://schemas.openxmlformats.org/officeDocument/2006/relationships/hyperlink" Target="https://atb.nrel.gov/electricity/2021/offshore_wind" TargetMode="External"/><Relationship Id="rId25" Type="http://schemas.openxmlformats.org/officeDocument/2006/relationships/drawing" Target="../drawings/drawing2.xml"/><Relationship Id="rId2" Type="http://schemas.openxmlformats.org/officeDocument/2006/relationships/hyperlink" Target="https://atb.nrel.gov/electricity/2021/offshore_wind" TargetMode="External"/><Relationship Id="rId16" Type="http://schemas.openxmlformats.org/officeDocument/2006/relationships/hyperlink" Target="https://atb.nrel.gov/electricity/2021/offshore_wind" TargetMode="External"/><Relationship Id="rId20" Type="http://schemas.openxmlformats.org/officeDocument/2006/relationships/hyperlink" Target="https://atb.nrel.gov/electricity/2021/offshore_wind" TargetMode="External"/><Relationship Id="rId29" Type="http://schemas.openxmlformats.org/officeDocument/2006/relationships/ctrlProp" Target="../ctrlProps/ctrlProp17.xml"/><Relationship Id="rId1" Type="http://schemas.openxmlformats.org/officeDocument/2006/relationships/hyperlink" Target="https://atb.nrel.gov/electricity/2021/offshore_wind" TargetMode="External"/><Relationship Id="rId6" Type="http://schemas.openxmlformats.org/officeDocument/2006/relationships/hyperlink" Target="https://atb.nrel.gov/electricity/2021/offshore_wind" TargetMode="External"/><Relationship Id="rId11" Type="http://schemas.openxmlformats.org/officeDocument/2006/relationships/hyperlink" Target="https://atb.nrel.gov/electricity/2021/offshore_wind" TargetMode="External"/><Relationship Id="rId24" Type="http://schemas.openxmlformats.org/officeDocument/2006/relationships/printerSettings" Target="../printerSettings/printerSettings2.bin"/><Relationship Id="rId5" Type="http://schemas.openxmlformats.org/officeDocument/2006/relationships/hyperlink" Target="https://atb.nrel.gov/electricity/2021/offshore_wind" TargetMode="External"/><Relationship Id="rId15" Type="http://schemas.openxmlformats.org/officeDocument/2006/relationships/hyperlink" Target="https://atb.nrel.gov/electricity/2021/offshore_wind" TargetMode="External"/><Relationship Id="rId23" Type="http://schemas.openxmlformats.org/officeDocument/2006/relationships/hyperlink" Target="https://atb.nrel.gov/electricity/2021/offshore_wind" TargetMode="External"/><Relationship Id="rId28" Type="http://schemas.openxmlformats.org/officeDocument/2006/relationships/ctrlProp" Target="../ctrlProps/ctrlProp16.xml"/><Relationship Id="rId10" Type="http://schemas.openxmlformats.org/officeDocument/2006/relationships/hyperlink" Target="https://atb.nrel.gov/electricity/2021/offshore_wind" TargetMode="External"/><Relationship Id="rId19" Type="http://schemas.openxmlformats.org/officeDocument/2006/relationships/hyperlink" Target="https://atb.nrel.gov/electricity/2021/offshore_wind" TargetMode="External"/><Relationship Id="rId31" Type="http://schemas.openxmlformats.org/officeDocument/2006/relationships/ctrlProp" Target="../ctrlProps/ctrlProp19.xml"/><Relationship Id="rId4" Type="http://schemas.openxmlformats.org/officeDocument/2006/relationships/hyperlink" Target="https://atb.nrel.gov/electricity/2021/offshore_wind" TargetMode="External"/><Relationship Id="rId9" Type="http://schemas.openxmlformats.org/officeDocument/2006/relationships/hyperlink" Target="https://atb.nrel.gov/electricity/2021/offshore_wind" TargetMode="External"/><Relationship Id="rId14" Type="http://schemas.openxmlformats.org/officeDocument/2006/relationships/hyperlink" Target="https://atb.nrel.gov/electricity/2021/offshore_wind" TargetMode="External"/><Relationship Id="rId22" Type="http://schemas.openxmlformats.org/officeDocument/2006/relationships/hyperlink" Target="https://atb.nrel.gov/electricity/2021/offshore_wind" TargetMode="External"/><Relationship Id="rId27" Type="http://schemas.openxmlformats.org/officeDocument/2006/relationships/ctrlProp" Target="../ctrlProps/ctrlProp15.xml"/><Relationship Id="rId30"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ACFD2-04D0-4F51-83D3-1612FDC819E6}">
  <sheetPr codeName="Sheet11">
    <tabColor rgb="FF007BBD"/>
  </sheetPr>
  <dimension ref="A1:DF856"/>
  <sheetViews>
    <sheetView showGridLines="0" zoomScale="80" zoomScaleNormal="80" workbookViewId="0">
      <pane xSplit="5" ySplit="5" topLeftCell="F202" activePane="bottomRight" state="frozen"/>
      <selection activeCell="T89" sqref="T89"/>
      <selection pane="topRight" activeCell="T89" sqref="T89"/>
      <selection pane="bottomLeft" activeCell="T89" sqref="T89"/>
      <selection pane="bottomRight" activeCell="A620" sqref="A620:XFD620"/>
    </sheetView>
  </sheetViews>
  <sheetFormatPr defaultColWidth="9.44140625" defaultRowHeight="14.1" customHeight="1" x14ac:dyDescent="0.25"/>
  <cols>
    <col min="1" max="1" width="2.5546875" style="3" customWidth="1"/>
    <col min="2" max="7" width="1.44140625" style="3" customWidth="1"/>
    <col min="8" max="8" width="5.44140625" style="3" customWidth="1"/>
    <col min="9" max="9" width="27.109375" style="3" customWidth="1"/>
    <col min="10" max="10" width="18.44140625" style="3" customWidth="1"/>
    <col min="11" max="11" width="28.6640625" style="3" customWidth="1"/>
    <col min="12" max="15" width="11.44140625" style="3" customWidth="1"/>
    <col min="16" max="16" width="10.44140625" style="3" customWidth="1"/>
    <col min="17" max="17" width="13.44140625" style="3" customWidth="1"/>
    <col min="18" max="18" width="10.44140625" style="3" customWidth="1"/>
    <col min="19" max="21" width="11.44140625" style="3" customWidth="1"/>
    <col min="22" max="22" width="13.44140625" style="3" customWidth="1"/>
    <col min="23" max="23" width="10.44140625" style="3" customWidth="1"/>
    <col min="24" max="24" width="12.44140625" style="3" bestFit="1" customWidth="1"/>
    <col min="25" max="25" width="12.44140625" style="3" customWidth="1"/>
    <col min="26" max="26" width="11.44140625" style="3" customWidth="1"/>
    <col min="27" max="27" width="14" style="3" customWidth="1"/>
    <col min="28" max="43" width="10.44140625" style="3" customWidth="1"/>
    <col min="44" max="45" width="11.44140625" style="3" customWidth="1"/>
    <col min="46" max="16384" width="9.44140625" style="3"/>
  </cols>
  <sheetData>
    <row r="1" spans="1:110" ht="17.399999999999999" x14ac:dyDescent="0.3">
      <c r="A1" s="1" t="s">
        <v>0</v>
      </c>
      <c r="B1" s="1"/>
      <c r="C1" s="1"/>
      <c r="D1" s="1"/>
      <c r="E1" s="1"/>
      <c r="F1" s="1"/>
      <c r="G1" s="1"/>
      <c r="H1" s="1"/>
      <c r="I1" s="2"/>
      <c r="L1" s="4" t="s">
        <v>1</v>
      </c>
    </row>
    <row r="2" spans="1:110" ht="14.1" customHeight="1" x14ac:dyDescent="0.3">
      <c r="A2"/>
      <c r="B2"/>
      <c r="C2"/>
      <c r="D2"/>
      <c r="E2"/>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row>
    <row r="3" spans="1:110" ht="14.1" customHeight="1" x14ac:dyDescent="0.3">
      <c r="A3"/>
      <c r="B3"/>
      <c r="C3"/>
      <c r="D3"/>
      <c r="E3"/>
      <c r="T3" s="6" t="s">
        <v>2</v>
      </c>
    </row>
    <row r="4" spans="1:110" ht="14.1" customHeight="1" x14ac:dyDescent="0.25">
      <c r="J4" s="7" t="s">
        <v>3</v>
      </c>
      <c r="T4" s="8" t="s">
        <v>4</v>
      </c>
    </row>
    <row r="7" spans="1:110" s="9" customFormat="1" ht="14.4" x14ac:dyDescent="0.3">
      <c r="B7" s="10" t="s">
        <v>5</v>
      </c>
      <c r="G7" s="232" t="s">
        <v>6</v>
      </c>
      <c r="H7" s="233"/>
      <c r="I7" s="233"/>
      <c r="J7" s="233"/>
      <c r="K7" s="233"/>
      <c r="L7" s="233"/>
      <c r="M7" s="233"/>
      <c r="N7" s="233"/>
      <c r="O7" s="233"/>
      <c r="P7" s="233"/>
      <c r="Q7" s="233"/>
      <c r="R7" s="233"/>
      <c r="S7" s="233"/>
      <c r="T7" s="233"/>
      <c r="U7" s="233"/>
      <c r="V7" s="233"/>
      <c r="W7" s="233"/>
      <c r="X7" s="233"/>
      <c r="Y7" s="233"/>
      <c r="Z7" s="233"/>
      <c r="AA7" s="233"/>
      <c r="AB7" s="233"/>
      <c r="AC7" s="233"/>
      <c r="AD7" s="234"/>
    </row>
    <row r="8" spans="1:110" ht="14.1" customHeight="1" thickBot="1" x14ac:dyDescent="0.3">
      <c r="G8" s="11"/>
      <c r="AD8" s="12"/>
    </row>
    <row r="9" spans="1:110" ht="14.1" customHeight="1" thickBot="1" x14ac:dyDescent="0.3">
      <c r="G9" s="11"/>
      <c r="H9" s="235" t="s">
        <v>7</v>
      </c>
      <c r="J9" s="13" t="s">
        <v>8</v>
      </c>
      <c r="K9" s="14"/>
      <c r="L9" s="15">
        <v>2019</v>
      </c>
      <c r="M9" s="16"/>
      <c r="N9" s="16"/>
      <c r="O9" s="17"/>
      <c r="Q9" s="18"/>
      <c r="U9" s="19"/>
      <c r="V9" s="19"/>
      <c r="W9" s="19"/>
      <c r="AD9" s="12"/>
    </row>
    <row r="10" spans="1:110" ht="14.1" customHeight="1" thickBot="1" x14ac:dyDescent="0.35">
      <c r="G10" s="11"/>
      <c r="H10" s="236"/>
      <c r="J10" s="13" t="s">
        <v>9</v>
      </c>
      <c r="O10" s="20"/>
      <c r="Q10"/>
      <c r="U10" s="19"/>
      <c r="V10" s="19"/>
      <c r="W10" s="19"/>
      <c r="AD10" s="12"/>
    </row>
    <row r="11" spans="1:110" ht="14.1" customHeight="1" thickBot="1" x14ac:dyDescent="0.35">
      <c r="G11" s="11"/>
      <c r="H11" s="236"/>
      <c r="J11" s="21" t="s">
        <v>10</v>
      </c>
      <c r="K11" s="22"/>
      <c r="L11" s="22"/>
      <c r="M11" s="22"/>
      <c r="N11" s="22"/>
      <c r="O11" s="23"/>
      <c r="Q11"/>
      <c r="U11" s="19"/>
      <c r="V11" s="19"/>
      <c r="W11" s="19"/>
      <c r="AD11" s="12"/>
    </row>
    <row r="12" spans="1:110" ht="78" customHeight="1" thickBot="1" x14ac:dyDescent="0.3">
      <c r="G12" s="11"/>
      <c r="H12" s="236"/>
      <c r="J12" s="24" t="s">
        <v>11</v>
      </c>
      <c r="K12" s="25"/>
      <c r="L12" s="24" t="s">
        <v>12</v>
      </c>
      <c r="M12" s="24" t="s">
        <v>13</v>
      </c>
      <c r="N12" s="24" t="s">
        <v>14</v>
      </c>
      <c r="O12" s="24" t="s">
        <v>15</v>
      </c>
      <c r="P12" s="24" t="s">
        <v>16</v>
      </c>
      <c r="Q12" s="24" t="s">
        <v>17</v>
      </c>
      <c r="R12" s="24" t="s">
        <v>18</v>
      </c>
      <c r="S12" s="24" t="s">
        <v>19</v>
      </c>
      <c r="T12" s="26" t="s">
        <v>20</v>
      </c>
      <c r="U12" s="19"/>
      <c r="V12" s="19"/>
      <c r="W12" s="19"/>
      <c r="AD12" s="12"/>
    </row>
    <row r="13" spans="1:110" ht="14.1" customHeight="1" thickBot="1" x14ac:dyDescent="0.3">
      <c r="G13" s="11"/>
      <c r="H13" s="236"/>
      <c r="J13" s="27" t="s">
        <v>21</v>
      </c>
      <c r="K13" s="28" t="s">
        <v>22</v>
      </c>
      <c r="L13" s="28">
        <v>22.955379281131862</v>
      </c>
      <c r="M13" s="28">
        <v>35.196264973008937</v>
      </c>
      <c r="N13" s="29">
        <v>3612</v>
      </c>
      <c r="O13" s="28">
        <v>114</v>
      </c>
      <c r="P13" s="30">
        <v>0.44969767365991592</v>
      </c>
      <c r="Q13" s="31">
        <v>8.741383425452419</v>
      </c>
      <c r="R13" s="32">
        <v>13.57</v>
      </c>
      <c r="S13" s="32">
        <v>55.10279072199608</v>
      </c>
      <c r="T13" s="33">
        <f t="shared" ref="T13:T19" si="0">R13/SUM($R$13:$R$19)</f>
        <v>2.0005307229626137E-2</v>
      </c>
      <c r="U13" s="19"/>
      <c r="V13" s="19"/>
      <c r="W13" s="19"/>
      <c r="Z13" s="34"/>
      <c r="AD13" s="12"/>
    </row>
    <row r="14" spans="1:110" ht="14.1" customHeight="1" thickBot="1" x14ac:dyDescent="0.3">
      <c r="G14" s="11"/>
      <c r="H14" s="236"/>
      <c r="J14" s="35"/>
      <c r="K14" s="36" t="s">
        <v>23</v>
      </c>
      <c r="L14" s="36">
        <v>24.256881285507209</v>
      </c>
      <c r="M14" s="36">
        <v>38.303821336596933</v>
      </c>
      <c r="N14" s="37">
        <v>3700</v>
      </c>
      <c r="O14" s="36">
        <v>116</v>
      </c>
      <c r="P14" s="38">
        <v>0.43823313802288072</v>
      </c>
      <c r="Q14" s="39">
        <v>8.616747967479677</v>
      </c>
      <c r="R14" s="40">
        <v>13.57</v>
      </c>
      <c r="S14" s="40">
        <v>53.496739315037722</v>
      </c>
      <c r="T14" s="41">
        <f t="shared" si="0"/>
        <v>2.0005307229626137E-2</v>
      </c>
      <c r="U14" s="19"/>
      <c r="V14" s="19"/>
      <c r="W14" s="19"/>
      <c r="Z14" s="34"/>
      <c r="AD14" s="12"/>
    </row>
    <row r="15" spans="1:110" ht="14.1" customHeight="1" thickBot="1" x14ac:dyDescent="0.3">
      <c r="G15" s="11"/>
      <c r="H15" s="236"/>
      <c r="J15" s="35"/>
      <c r="K15" s="28" t="s">
        <v>24</v>
      </c>
      <c r="L15" s="28">
        <v>27.890273582699528</v>
      </c>
      <c r="M15" s="28">
        <v>40.422292330366801</v>
      </c>
      <c r="N15" s="29">
        <v>3848</v>
      </c>
      <c r="O15" s="28">
        <v>118</v>
      </c>
      <c r="P15" s="30">
        <v>0.44150886156131119</v>
      </c>
      <c r="Q15" s="31">
        <v>8.6324373170421254</v>
      </c>
      <c r="R15" s="32">
        <v>27.13</v>
      </c>
      <c r="S15" s="32">
        <v>105.43894871456529</v>
      </c>
      <c r="T15" s="33">
        <f t="shared" si="0"/>
        <v>3.9995872154735233E-2</v>
      </c>
      <c r="U15" s="19"/>
      <c r="V15" s="19"/>
      <c r="W15" s="19"/>
      <c r="Y15" s="3" t="s">
        <v>25</v>
      </c>
      <c r="Z15" s="34"/>
      <c r="AD15" s="12"/>
    </row>
    <row r="16" spans="1:110" ht="14.1" customHeight="1" thickBot="1" x14ac:dyDescent="0.3">
      <c r="G16" s="11"/>
      <c r="H16" s="236"/>
      <c r="J16" s="35"/>
      <c r="K16" s="36" t="s">
        <v>26</v>
      </c>
      <c r="L16" s="36">
        <v>32.290207598477018</v>
      </c>
      <c r="M16" s="36">
        <v>44.9335608845347</v>
      </c>
      <c r="N16" s="37">
        <v>3995</v>
      </c>
      <c r="O16" s="36">
        <v>119</v>
      </c>
      <c r="P16" s="38">
        <v>0.43950042314812782</v>
      </c>
      <c r="Q16" s="39">
        <v>8.6144740391458328</v>
      </c>
      <c r="R16" s="40">
        <v>54.26</v>
      </c>
      <c r="S16" s="40">
        <v>214.18829240882962</v>
      </c>
      <c r="T16" s="41">
        <f t="shared" si="0"/>
        <v>7.9991744309470467E-2</v>
      </c>
      <c r="U16" s="19"/>
      <c r="V16" s="19"/>
      <c r="W16" s="19"/>
      <c r="Z16" s="34"/>
      <c r="AD16" s="12"/>
    </row>
    <row r="17" spans="7:35" ht="14.1" customHeight="1" thickBot="1" x14ac:dyDescent="0.3">
      <c r="G17" s="11"/>
      <c r="H17" s="236"/>
      <c r="J17" s="35"/>
      <c r="K17" s="28" t="s">
        <v>27</v>
      </c>
      <c r="L17" s="28">
        <v>32.086348828172241</v>
      </c>
      <c r="M17" s="28">
        <v>64.990917799578298</v>
      </c>
      <c r="N17" s="29">
        <v>4193</v>
      </c>
      <c r="O17" s="28">
        <v>123</v>
      </c>
      <c r="P17" s="30">
        <v>0.43241803582209049</v>
      </c>
      <c r="Q17" s="31">
        <v>8.5864817122875223</v>
      </c>
      <c r="R17" s="32">
        <v>108.53</v>
      </c>
      <c r="S17" s="32">
        <v>419.47973619017171</v>
      </c>
      <c r="T17" s="33">
        <f t="shared" si="0"/>
        <v>0.15999823092345797</v>
      </c>
      <c r="U17" s="19"/>
      <c r="V17" s="19"/>
      <c r="AD17" s="12"/>
    </row>
    <row r="18" spans="7:35" ht="14.1" customHeight="1" thickBot="1" x14ac:dyDescent="0.3">
      <c r="G18" s="11"/>
      <c r="H18" s="236"/>
      <c r="J18" s="35"/>
      <c r="K18" s="36" t="s">
        <v>28</v>
      </c>
      <c r="L18" s="36">
        <v>33.144018072919323</v>
      </c>
      <c r="M18" s="36">
        <v>73.525879522612996</v>
      </c>
      <c r="N18" s="37">
        <v>4163</v>
      </c>
      <c r="O18" s="36">
        <v>121</v>
      </c>
      <c r="P18" s="38">
        <v>0.37125153586784693</v>
      </c>
      <c r="Q18" s="39">
        <v>7.8339738048307401</v>
      </c>
      <c r="R18" s="40">
        <v>217.06</v>
      </c>
      <c r="S18" s="40">
        <v>732.41597058761533</v>
      </c>
      <c r="T18" s="41">
        <f t="shared" si="0"/>
        <v>0.31999646184691594</v>
      </c>
      <c r="U18" s="19"/>
      <c r="V18" s="19"/>
      <c r="AD18" s="12"/>
      <c r="AF18" s="34"/>
    </row>
    <row r="19" spans="7:35" ht="14.1" customHeight="1" thickBot="1" x14ac:dyDescent="0.3">
      <c r="G19" s="11"/>
      <c r="H19" s="236"/>
      <c r="J19" s="42"/>
      <c r="K19" s="28" t="s">
        <v>29</v>
      </c>
      <c r="L19" s="43">
        <v>35.897615947018913</v>
      </c>
      <c r="M19" s="43">
        <v>76.560116448534572</v>
      </c>
      <c r="N19" s="44">
        <v>4200</v>
      </c>
      <c r="O19" s="43">
        <v>115</v>
      </c>
      <c r="P19" s="45">
        <v>0.28680284645602261</v>
      </c>
      <c r="Q19" s="46">
        <v>6.779013025791933</v>
      </c>
      <c r="R19" s="47">
        <v>244.2</v>
      </c>
      <c r="S19" s="47">
        <v>633.68714160707805</v>
      </c>
      <c r="T19" s="48">
        <f t="shared" si="0"/>
        <v>0.36000707630616818</v>
      </c>
      <c r="U19" s="19"/>
      <c r="V19" s="19"/>
      <c r="AD19" s="12"/>
      <c r="AF19" s="34"/>
    </row>
    <row r="20" spans="7:35" ht="14.1" customHeight="1" thickBot="1" x14ac:dyDescent="0.3">
      <c r="G20" s="11"/>
      <c r="H20" s="236"/>
      <c r="J20" s="27" t="s">
        <v>30</v>
      </c>
      <c r="K20" s="49" t="s">
        <v>31</v>
      </c>
      <c r="L20" s="49">
        <v>159.3591647790314</v>
      </c>
      <c r="M20" s="49">
        <v>45.247611716801941</v>
      </c>
      <c r="N20" s="50">
        <v>5214</v>
      </c>
      <c r="O20" s="49">
        <v>84</v>
      </c>
      <c r="P20" s="51">
        <v>0.51549603131273936</v>
      </c>
      <c r="Q20" s="52">
        <v>9.5933707138065234</v>
      </c>
      <c r="R20" s="53">
        <v>27.6</v>
      </c>
      <c r="S20" s="53">
        <v>126.38872285083832</v>
      </c>
      <c r="T20" s="54">
        <f t="shared" ref="T20:T26" si="1">R20/SUM($R$20:$R$26)</f>
        <v>2.0004058794538024E-2</v>
      </c>
      <c r="U20" s="19"/>
      <c r="V20" s="19"/>
      <c r="AD20" s="12"/>
      <c r="AF20" s="34"/>
    </row>
    <row r="21" spans="7:35" ht="14.1" customHeight="1" thickBot="1" x14ac:dyDescent="0.3">
      <c r="G21" s="11"/>
      <c r="H21" s="236"/>
      <c r="J21" s="35"/>
      <c r="K21" s="28" t="s">
        <v>32</v>
      </c>
      <c r="L21" s="28">
        <v>176.93398521209909</v>
      </c>
      <c r="M21" s="28">
        <v>53.57784590992717</v>
      </c>
      <c r="N21" s="29">
        <v>5309</v>
      </c>
      <c r="O21" s="28">
        <v>85</v>
      </c>
      <c r="P21" s="30">
        <v>0.50289544287036791</v>
      </c>
      <c r="Q21" s="31">
        <v>9.41833518451487</v>
      </c>
      <c r="R21" s="32">
        <v>27.6</v>
      </c>
      <c r="S21" s="32">
        <v>123.17849894812473</v>
      </c>
      <c r="T21" s="33">
        <f t="shared" si="1"/>
        <v>2.0004058794538024E-2</v>
      </c>
      <c r="U21" s="19"/>
      <c r="V21" s="19"/>
      <c r="AD21" s="12"/>
      <c r="AF21" s="34"/>
    </row>
    <row r="22" spans="7:35" ht="14.1" customHeight="1" thickBot="1" x14ac:dyDescent="0.3">
      <c r="G22" s="11"/>
      <c r="H22" s="236"/>
      <c r="J22" s="35"/>
      <c r="K22" s="36" t="s">
        <v>33</v>
      </c>
      <c r="L22" s="36">
        <v>167.29219477631531</v>
      </c>
      <c r="M22" s="36">
        <v>55.599599737426693</v>
      </c>
      <c r="N22" s="37">
        <v>5426</v>
      </c>
      <c r="O22" s="36">
        <v>88</v>
      </c>
      <c r="P22" s="38">
        <v>0.49398347834367479</v>
      </c>
      <c r="Q22" s="39">
        <v>9.303659640496198</v>
      </c>
      <c r="R22" s="40">
        <v>55.19</v>
      </c>
      <c r="S22" s="40">
        <v>240.85297815225536</v>
      </c>
      <c r="T22" s="41">
        <f t="shared" si="1"/>
        <v>4.0000869741686713E-2</v>
      </c>
      <c r="U22" s="19"/>
      <c r="V22" s="19"/>
      <c r="AD22" s="12"/>
      <c r="AF22" s="34"/>
    </row>
    <row r="23" spans="7:35" ht="14.1" customHeight="1" thickBot="1" x14ac:dyDescent="0.3">
      <c r="G23" s="11"/>
      <c r="H23" s="236"/>
      <c r="J23" s="35"/>
      <c r="K23" s="28" t="s">
        <v>34</v>
      </c>
      <c r="L23" s="28">
        <v>128.3166104972446</v>
      </c>
      <c r="M23" s="28">
        <v>90.171835813624497</v>
      </c>
      <c r="N23" s="29">
        <v>5809</v>
      </c>
      <c r="O23" s="28">
        <v>95</v>
      </c>
      <c r="P23" s="30">
        <v>0.48729883251106471</v>
      </c>
      <c r="Q23" s="31">
        <v>9.3288127785979942</v>
      </c>
      <c r="R23" s="32">
        <v>110.38</v>
      </c>
      <c r="S23" s="32">
        <v>477.15384772933481</v>
      </c>
      <c r="T23" s="33">
        <f t="shared" si="1"/>
        <v>8.0001739483373427E-2</v>
      </c>
      <c r="U23" s="19"/>
      <c r="V23" s="19"/>
      <c r="AD23" s="12"/>
      <c r="AF23" s="34"/>
    </row>
    <row r="24" spans="7:35" ht="14.1" customHeight="1" thickBot="1" x14ac:dyDescent="0.3">
      <c r="G24" s="11"/>
      <c r="H24" s="236"/>
      <c r="J24" s="35"/>
      <c r="K24" s="36" t="s">
        <v>35</v>
      </c>
      <c r="L24" s="36">
        <v>193.3462136909059</v>
      </c>
      <c r="M24" s="36">
        <v>122.16855397413499</v>
      </c>
      <c r="N24" s="37">
        <v>6057</v>
      </c>
      <c r="O24" s="36">
        <v>101</v>
      </c>
      <c r="P24" s="38">
        <v>0.45913088942219121</v>
      </c>
      <c r="Q24" s="39">
        <v>9.0511816403215395</v>
      </c>
      <c r="R24" s="40">
        <v>220.75</v>
      </c>
      <c r="S24" s="40">
        <v>919.01469014443785</v>
      </c>
      <c r="T24" s="41">
        <f t="shared" si="1"/>
        <v>0.15999623111935754</v>
      </c>
      <c r="U24" s="19"/>
      <c r="V24" s="19"/>
      <c r="AD24" s="12"/>
    </row>
    <row r="25" spans="7:35" ht="14.1" customHeight="1" thickBot="1" x14ac:dyDescent="0.35">
      <c r="G25" s="11"/>
      <c r="H25" s="236"/>
      <c r="J25" s="35"/>
      <c r="K25" s="28" t="s">
        <v>36</v>
      </c>
      <c r="L25" s="28">
        <v>608.41556439351689</v>
      </c>
      <c r="M25" s="28">
        <v>136.7671006925973</v>
      </c>
      <c r="N25" s="29">
        <v>6219</v>
      </c>
      <c r="O25" s="28">
        <v>104</v>
      </c>
      <c r="P25" s="30">
        <v>0.36613381249776611</v>
      </c>
      <c r="Q25" s="31">
        <v>7.9635027661563349</v>
      </c>
      <c r="R25" s="32">
        <v>441.5</v>
      </c>
      <c r="S25" s="32">
        <v>1494.6551737243794</v>
      </c>
      <c r="T25" s="33">
        <f t="shared" si="1"/>
        <v>0.31999246223871508</v>
      </c>
      <c r="U25" s="19"/>
      <c r="V25" s="19"/>
      <c r="AD25" s="55"/>
      <c r="AG25" s="34"/>
      <c r="AH25"/>
      <c r="AI25"/>
    </row>
    <row r="26" spans="7:35" ht="14.1" customHeight="1" thickBot="1" x14ac:dyDescent="0.3">
      <c r="G26" s="11"/>
      <c r="H26" s="236"/>
      <c r="J26" s="42"/>
      <c r="K26" s="49" t="s">
        <v>37</v>
      </c>
      <c r="L26" s="49">
        <v>635.04634439578069</v>
      </c>
      <c r="M26" s="49">
        <v>160.91864618315981</v>
      </c>
      <c r="N26" s="50">
        <v>6291</v>
      </c>
      <c r="O26" s="49">
        <v>94</v>
      </c>
      <c r="P26" s="51">
        <v>0.30093682532174387</v>
      </c>
      <c r="Q26" s="52">
        <v>7.0414561358436982</v>
      </c>
      <c r="R26" s="53">
        <v>496.7</v>
      </c>
      <c r="S26" s="53">
        <v>1339.7644193949625</v>
      </c>
      <c r="T26" s="54">
        <f t="shared" si="1"/>
        <v>0.36000057982779116</v>
      </c>
      <c r="U26" s="19"/>
      <c r="V26" s="19"/>
      <c r="AD26" s="55"/>
    </row>
    <row r="27" spans="7:35" ht="14.1" customHeight="1" thickBot="1" x14ac:dyDescent="0.3">
      <c r="G27" s="11"/>
      <c r="H27" s="236"/>
      <c r="J27" s="56" t="s">
        <v>38</v>
      </c>
      <c r="K27" s="57"/>
      <c r="L27" s="58"/>
      <c r="M27" s="58"/>
      <c r="N27" s="58"/>
      <c r="O27" s="58"/>
      <c r="P27" s="58"/>
      <c r="Q27" s="58"/>
      <c r="R27" s="59">
        <f>SUM(R13:R26)</f>
        <v>2058.04</v>
      </c>
      <c r="S27" s="59">
        <f>SUM(S13:S26)</f>
        <v>6934.8179504896261</v>
      </c>
      <c r="T27" s="60"/>
      <c r="U27" s="19"/>
      <c r="V27" s="19"/>
      <c r="AD27" s="55"/>
    </row>
    <row r="28" spans="7:35" ht="14.1" customHeight="1" x14ac:dyDescent="0.25">
      <c r="G28" s="11"/>
      <c r="H28" s="61"/>
      <c r="I28" s="19"/>
      <c r="J28" s="19"/>
      <c r="K28" s="19"/>
      <c r="L28" s="19"/>
      <c r="AD28" s="12"/>
    </row>
    <row r="29" spans="7:35" ht="14.1" customHeight="1" thickBot="1" x14ac:dyDescent="0.35">
      <c r="G29" s="11"/>
      <c r="H29" s="61"/>
      <c r="I29" s="19"/>
      <c r="J29" s="19"/>
      <c r="K29" s="19"/>
      <c r="L29" s="19"/>
      <c r="O29"/>
      <c r="P29"/>
      <c r="Q29"/>
      <c r="R29"/>
      <c r="S29"/>
      <c r="T29"/>
      <c r="V29" s="62"/>
      <c r="AD29" s="12"/>
    </row>
    <row r="30" spans="7:35" ht="14.1" customHeight="1" x14ac:dyDescent="0.25">
      <c r="G30" s="11"/>
      <c r="H30" s="237" t="s">
        <v>39</v>
      </c>
      <c r="J30" s="239" t="s">
        <v>40</v>
      </c>
      <c r="K30" s="240"/>
      <c r="L30" s="240"/>
      <c r="M30" s="240"/>
      <c r="N30" s="241"/>
      <c r="O30" s="20"/>
      <c r="AD30" s="12"/>
    </row>
    <row r="31" spans="7:35" ht="14.1" customHeight="1" x14ac:dyDescent="0.25">
      <c r="G31" s="11"/>
      <c r="H31" s="238"/>
      <c r="J31" s="242" t="s">
        <v>41</v>
      </c>
      <c r="K31" s="243"/>
      <c r="L31" s="243"/>
      <c r="M31" s="243"/>
      <c r="N31" s="63">
        <f>L58</f>
        <v>2.5000000000000001E-2</v>
      </c>
      <c r="O31" s="20"/>
      <c r="AD31" s="12"/>
    </row>
    <row r="32" spans="7:35" ht="14.1" customHeight="1" x14ac:dyDescent="0.25">
      <c r="G32" s="11"/>
      <c r="H32" s="238"/>
      <c r="J32" s="244" t="s">
        <v>42</v>
      </c>
      <c r="K32" s="245"/>
      <c r="L32" s="245"/>
      <c r="M32" s="245"/>
      <c r="N32" s="64">
        <f>S32</f>
        <v>30</v>
      </c>
      <c r="O32" s="20"/>
      <c r="S32" s="3">
        <v>30</v>
      </c>
      <c r="V32" s="19"/>
      <c r="Y32" s="34"/>
      <c r="AD32" s="12"/>
    </row>
    <row r="33" spans="7:30" ht="14.1" customHeight="1" x14ac:dyDescent="0.25">
      <c r="G33" s="11"/>
      <c r="H33" s="238"/>
      <c r="J33" s="244" t="s">
        <v>43</v>
      </c>
      <c r="K33" s="245"/>
      <c r="L33" s="245"/>
      <c r="M33" s="245"/>
      <c r="N33" s="65">
        <f>L60</f>
        <v>0.04</v>
      </c>
      <c r="O33" s="20"/>
      <c r="AB33" s="19"/>
      <c r="AD33" s="12"/>
    </row>
    <row r="34" spans="7:30" ht="14.1" customHeight="1" x14ac:dyDescent="0.25">
      <c r="G34" s="11"/>
      <c r="H34" s="238"/>
      <c r="J34" s="244" t="s">
        <v>44</v>
      </c>
      <c r="K34" s="245"/>
      <c r="L34" s="245"/>
      <c r="M34" s="245"/>
      <c r="N34" s="66">
        <f>L63</f>
        <v>1.4634146341463428E-2</v>
      </c>
      <c r="O34" s="20"/>
      <c r="AB34" s="19"/>
      <c r="AD34" s="12"/>
    </row>
    <row r="35" spans="7:30" ht="14.1" customHeight="1" x14ac:dyDescent="0.25">
      <c r="G35" s="11"/>
      <c r="H35" s="238"/>
      <c r="J35" s="244" t="s">
        <v>45</v>
      </c>
      <c r="K35" s="245"/>
      <c r="L35" s="245"/>
      <c r="M35" s="245"/>
      <c r="N35" s="65">
        <f>L65</f>
        <v>0.04</v>
      </c>
      <c r="O35" s="20"/>
      <c r="AB35" s="19"/>
      <c r="AD35" s="12"/>
    </row>
    <row r="36" spans="7:30" ht="14.1" customHeight="1" x14ac:dyDescent="0.25">
      <c r="G36" s="11"/>
      <c r="H36" s="238"/>
      <c r="J36" s="244" t="s">
        <v>46</v>
      </c>
      <c r="K36" s="245"/>
      <c r="L36" s="245"/>
      <c r="M36" s="245"/>
      <c r="N36" s="65">
        <f>L67</f>
        <v>0.1</v>
      </c>
      <c r="O36" s="20"/>
      <c r="AB36" s="19"/>
      <c r="AD36" s="12"/>
    </row>
    <row r="37" spans="7:30" ht="14.1" customHeight="1" x14ac:dyDescent="0.25">
      <c r="G37" s="11"/>
      <c r="H37" s="238"/>
      <c r="J37" s="244" t="s">
        <v>47</v>
      </c>
      <c r="K37" s="245"/>
      <c r="L37" s="245"/>
      <c r="M37" s="245"/>
      <c r="N37" s="66">
        <f>L70</f>
        <v>7.317073170731736E-2</v>
      </c>
      <c r="O37" s="20"/>
      <c r="AB37" s="19"/>
      <c r="AD37" s="12"/>
    </row>
    <row r="38" spans="7:30" ht="14.1" customHeight="1" x14ac:dyDescent="0.25">
      <c r="G38" s="11"/>
      <c r="H38" s="238"/>
      <c r="J38" s="244" t="s">
        <v>48</v>
      </c>
      <c r="K38" s="245"/>
      <c r="L38" s="245"/>
      <c r="M38" s="245"/>
      <c r="N38" s="65">
        <f>L73</f>
        <v>0.68500000000000005</v>
      </c>
      <c r="O38" s="20"/>
      <c r="AB38" s="19"/>
      <c r="AD38" s="12"/>
    </row>
    <row r="39" spans="7:30" ht="14.1" customHeight="1" x14ac:dyDescent="0.3">
      <c r="G39" s="11"/>
      <c r="H39" s="238"/>
      <c r="J39" s="244" t="s">
        <v>49</v>
      </c>
      <c r="K39" s="245"/>
      <c r="L39" s="245"/>
      <c r="M39" s="245"/>
      <c r="N39" s="65">
        <f>L75</f>
        <v>0.25740000000000002</v>
      </c>
      <c r="O39" s="20"/>
      <c r="V39" s="19"/>
      <c r="Y39" s="34"/>
      <c r="Z39"/>
      <c r="AA39"/>
      <c r="AD39" s="12"/>
    </row>
    <row r="40" spans="7:30" ht="14.1" customHeight="1" x14ac:dyDescent="0.25">
      <c r="G40" s="11"/>
      <c r="H40" s="238"/>
      <c r="J40" s="244" t="s">
        <v>50</v>
      </c>
      <c r="K40" s="245"/>
      <c r="L40" s="245"/>
      <c r="M40" s="245"/>
      <c r="N40" s="66">
        <f>L77</f>
        <v>5.1847239999999996E-2</v>
      </c>
      <c r="O40" s="20"/>
      <c r="AD40" s="12"/>
    </row>
    <row r="41" spans="7:30" ht="14.1" customHeight="1" x14ac:dyDescent="0.25">
      <c r="G41" s="11"/>
      <c r="H41" s="238"/>
      <c r="J41" s="244" t="s">
        <v>51</v>
      </c>
      <c r="K41" s="245"/>
      <c r="L41" s="245"/>
      <c r="M41" s="245"/>
      <c r="N41" s="66">
        <f>L80</f>
        <v>2.6192429268292905E-2</v>
      </c>
      <c r="O41" s="20"/>
      <c r="AD41" s="12"/>
    </row>
    <row r="42" spans="7:30" ht="14.1" customHeight="1" x14ac:dyDescent="0.25">
      <c r="G42" s="11"/>
      <c r="H42" s="238"/>
      <c r="J42" s="230" t="s">
        <v>52</v>
      </c>
      <c r="K42" s="231"/>
      <c r="L42" s="231"/>
      <c r="M42" s="231"/>
      <c r="N42" s="67">
        <v>5</v>
      </c>
      <c r="O42" s="20"/>
      <c r="AD42" s="12"/>
    </row>
    <row r="43" spans="7:30" ht="14.1" customHeight="1" x14ac:dyDescent="0.25">
      <c r="G43" s="11"/>
      <c r="H43" s="238"/>
      <c r="J43" s="221" t="s">
        <v>53</v>
      </c>
      <c r="K43" s="222"/>
      <c r="L43" s="222"/>
      <c r="M43" s="222"/>
      <c r="N43" s="68">
        <f>SUMPRODUCT(K53:K55,L53:L55,M53:M55)+SUMPRODUCT(K53:K55,O53:O55,N53:N55)</f>
        <v>1.0748002279397495</v>
      </c>
      <c r="O43" s="20"/>
      <c r="AD43" s="12"/>
    </row>
    <row r="44" spans="7:30" ht="14.1" customHeight="1" x14ac:dyDescent="0.25">
      <c r="G44" s="11"/>
      <c r="H44" s="238"/>
      <c r="J44" s="221" t="s">
        <v>54</v>
      </c>
      <c r="K44" s="222"/>
      <c r="L44" s="222"/>
      <c r="M44" s="222"/>
      <c r="N44" s="68">
        <f>SUMPRODUCT(R52:W52,R54:W54)</f>
        <v>0.8704718640870559</v>
      </c>
      <c r="O44" s="20"/>
      <c r="AD44" s="12"/>
    </row>
    <row r="45" spans="7:30" ht="14.1" customHeight="1" x14ac:dyDescent="0.25">
      <c r="G45" s="11"/>
      <c r="H45" s="238"/>
      <c r="J45" s="221" t="s">
        <v>55</v>
      </c>
      <c r="K45" s="222"/>
      <c r="L45" s="222"/>
      <c r="M45" s="222"/>
      <c r="N45" s="68">
        <f xml:space="preserve"> (1 - N39 * N44) / (1 - N39)</f>
        <v>1.0448970403770426</v>
      </c>
      <c r="O45" s="20"/>
      <c r="U45" s="69"/>
      <c r="V45" s="69"/>
      <c r="W45" s="69"/>
      <c r="X45" s="69"/>
      <c r="Y45" s="69"/>
      <c r="Z45" s="69"/>
      <c r="AA45" s="69"/>
      <c r="AD45" s="12"/>
    </row>
    <row r="46" spans="7:30" ht="14.1" customHeight="1" x14ac:dyDescent="0.25">
      <c r="G46" s="11"/>
      <c r="H46" s="238"/>
      <c r="J46" s="221" t="s">
        <v>56</v>
      </c>
      <c r="K46" s="222"/>
      <c r="L46" s="222"/>
      <c r="M46" s="222"/>
      <c r="N46" s="66">
        <f>L83</f>
        <v>6.642760701924641E-2</v>
      </c>
      <c r="O46" s="20"/>
      <c r="AD46" s="12"/>
    </row>
    <row r="47" spans="7:30" ht="14.1" customHeight="1" x14ac:dyDescent="0.25">
      <c r="G47" s="11"/>
      <c r="H47" s="238"/>
      <c r="J47" s="221" t="s">
        <v>57</v>
      </c>
      <c r="K47" s="222"/>
      <c r="L47" s="222"/>
      <c r="M47" s="222"/>
      <c r="N47" s="66">
        <f>L86</f>
        <v>4.854050177050856E-2</v>
      </c>
      <c r="O47" s="70"/>
      <c r="AD47" s="12"/>
    </row>
    <row r="48" spans="7:30" ht="14.1" customHeight="1" x14ac:dyDescent="0.25">
      <c r="G48" s="11"/>
      <c r="H48" s="238"/>
      <c r="J48" s="221" t="s">
        <v>58</v>
      </c>
      <c r="K48" s="222"/>
      <c r="L48" s="222"/>
      <c r="M48" s="222"/>
      <c r="N48" s="65">
        <v>0.02</v>
      </c>
      <c r="O48" s="70"/>
      <c r="AD48" s="12"/>
    </row>
    <row r="49" spans="7:43" ht="14.1" customHeight="1" thickBot="1" x14ac:dyDescent="0.3">
      <c r="G49" s="11"/>
      <c r="H49" s="238"/>
      <c r="J49" s="223" t="s">
        <v>59</v>
      </c>
      <c r="K49" s="224"/>
      <c r="L49" s="224"/>
      <c r="M49" s="224"/>
      <c r="N49" s="71">
        <f>N36+N48</f>
        <v>0.12000000000000001</v>
      </c>
      <c r="O49" s="20"/>
      <c r="V49" s="72"/>
      <c r="AD49" s="12"/>
    </row>
    <row r="50" spans="7:43" ht="14.1" customHeight="1" thickBot="1" x14ac:dyDescent="0.35">
      <c r="H50" s="238"/>
      <c r="J50" s="225" t="s">
        <v>60</v>
      </c>
      <c r="K50" s="225"/>
      <c r="L50" s="226"/>
      <c r="M50" s="73">
        <v>3</v>
      </c>
      <c r="N50" s="74"/>
      <c r="O50" s="75"/>
      <c r="V50" s="72"/>
    </row>
    <row r="51" spans="7:43" ht="14.1" customHeight="1" x14ac:dyDescent="0.25">
      <c r="H51" s="238"/>
      <c r="J51" s="18" t="s">
        <v>61</v>
      </c>
      <c r="K51" s="18" t="s">
        <v>62</v>
      </c>
      <c r="L51" s="76" t="s">
        <v>63</v>
      </c>
      <c r="M51" s="227" t="s">
        <v>64</v>
      </c>
      <c r="N51" s="229" t="s">
        <v>65</v>
      </c>
      <c r="O51" s="76" t="s">
        <v>63</v>
      </c>
      <c r="Q51" s="77" t="s">
        <v>66</v>
      </c>
      <c r="R51" s="78">
        <v>1</v>
      </c>
      <c r="S51" s="78">
        <v>2</v>
      </c>
      <c r="T51" s="78">
        <v>3</v>
      </c>
      <c r="U51" s="78">
        <v>4</v>
      </c>
      <c r="V51" s="78">
        <v>5</v>
      </c>
      <c r="W51" s="79">
        <v>6</v>
      </c>
    </row>
    <row r="52" spans="7:43" ht="14.1" customHeight="1" x14ac:dyDescent="0.25">
      <c r="H52" s="238"/>
      <c r="J52" s="18" t="s">
        <v>67</v>
      </c>
      <c r="K52" s="18" t="s">
        <v>68</v>
      </c>
      <c r="L52" s="76" t="s">
        <v>69</v>
      </c>
      <c r="M52" s="228"/>
      <c r="N52" s="228"/>
      <c r="O52" s="76" t="s">
        <v>70</v>
      </c>
      <c r="Q52" s="80" t="s">
        <v>71</v>
      </c>
      <c r="R52" s="81">
        <v>0.2</v>
      </c>
      <c r="S52" s="82">
        <v>0.32</v>
      </c>
      <c r="T52" s="83">
        <v>0.192</v>
      </c>
      <c r="U52" s="81">
        <v>0.1152</v>
      </c>
      <c r="V52" s="81">
        <v>0.1152</v>
      </c>
      <c r="W52" s="84">
        <v>5.7599999999999998E-2</v>
      </c>
    </row>
    <row r="53" spans="7:43" ht="14.1" customHeight="1" thickBot="1" x14ac:dyDescent="0.3">
      <c r="H53" s="238"/>
      <c r="J53" s="85">
        <v>0</v>
      </c>
      <c r="K53" s="86">
        <v>0.4</v>
      </c>
      <c r="L53" s="87">
        <f>1+((1+N35)^(J53+0.5)-1)</f>
        <v>1.019803902718557</v>
      </c>
      <c r="M53" s="86">
        <v>0.8</v>
      </c>
      <c r="N53" s="66">
        <f>1-M53</f>
        <v>0.19999999999999996</v>
      </c>
      <c r="O53" s="87">
        <f>1+((1+$N$49)^(J53+0.5)-1)</f>
        <v>1.0583005244258363</v>
      </c>
      <c r="Q53" s="88" t="s">
        <v>68</v>
      </c>
      <c r="R53" s="89"/>
      <c r="S53" s="89"/>
      <c r="T53" s="90"/>
      <c r="U53" s="89"/>
      <c r="V53" s="89"/>
      <c r="W53" s="91"/>
    </row>
    <row r="54" spans="7:43" ht="14.1" customHeight="1" x14ac:dyDescent="0.25">
      <c r="H54" s="238"/>
      <c r="J54" s="92">
        <v>1</v>
      </c>
      <c r="K54" s="93">
        <v>0.4</v>
      </c>
      <c r="L54" s="94">
        <f>1+((1+N35)^(J54+0.5)-1)</f>
        <v>1.0605960588272993</v>
      </c>
      <c r="M54" s="93">
        <v>0.8</v>
      </c>
      <c r="N54" s="66">
        <f>1-M54</f>
        <v>0.19999999999999996</v>
      </c>
      <c r="O54" s="94">
        <f>1+((1+$N$49)^(J54+0.5)-1)</f>
        <v>1.1852965873569368</v>
      </c>
      <c r="Q54" s="95" t="s">
        <v>71</v>
      </c>
      <c r="R54" s="96">
        <f>1/((1+N41)*(1+N31))^R51</f>
        <v>0.95070839373976013</v>
      </c>
      <c r="S54" s="96">
        <f>1/((1+N41)*(1+N31))^S51</f>
        <v>0.90384644992723462</v>
      </c>
      <c r="T54" s="97">
        <f>1/((1+N41)*(1+N31))^T51</f>
        <v>0.85929440659770573</v>
      </c>
      <c r="U54" s="96">
        <f>1/((1+N41)*(1+N31))^U51</f>
        <v>0.81693840504606507</v>
      </c>
      <c r="V54" s="96">
        <f>1/((1+N41)*(1+N31))^V51</f>
        <v>0.77667019884566602</v>
      </c>
      <c r="W54" s="98">
        <f>1/((1+N41)*(1+N31))^W51</f>
        <v>0.73838687721010321</v>
      </c>
    </row>
    <row r="55" spans="7:43" ht="14.1" customHeight="1" thickBot="1" x14ac:dyDescent="0.3">
      <c r="H55" s="238"/>
      <c r="J55" s="99">
        <v>2</v>
      </c>
      <c r="K55" s="100">
        <v>0.2</v>
      </c>
      <c r="L55" s="101">
        <f>1+((1+N35)^(J55+0.5)-1)</f>
        <v>1.1030199011803914</v>
      </c>
      <c r="M55" s="100">
        <v>0.8</v>
      </c>
      <c r="N55" s="66">
        <f>1-M55</f>
        <v>0.19999999999999996</v>
      </c>
      <c r="O55" s="101">
        <f>1+((1+$N$49)^(J55+0.5)-1)</f>
        <v>1.3275321778397693</v>
      </c>
      <c r="Q55" s="102" t="s">
        <v>72</v>
      </c>
      <c r="R55" s="103"/>
      <c r="S55" s="103"/>
      <c r="T55" s="104"/>
      <c r="U55" s="103"/>
      <c r="V55" s="103"/>
      <c r="W55" s="105"/>
    </row>
    <row r="56" spans="7:43" ht="14.1" customHeight="1" x14ac:dyDescent="0.25">
      <c r="H56" s="238"/>
    </row>
    <row r="57" spans="7:43" ht="14.1" customHeight="1" x14ac:dyDescent="0.25">
      <c r="G57" s="106"/>
      <c r="H57" s="238"/>
      <c r="L57" s="107">
        <v>2019</v>
      </c>
      <c r="M57" s="107">
        <v>2020</v>
      </c>
      <c r="N57" s="107">
        <v>2021</v>
      </c>
      <c r="O57" s="107">
        <v>2022</v>
      </c>
      <c r="P57" s="107">
        <v>2023</v>
      </c>
      <c r="Q57" s="107">
        <v>2024</v>
      </c>
      <c r="R57" s="107">
        <v>2025</v>
      </c>
      <c r="S57" s="107">
        <v>2026</v>
      </c>
      <c r="T57" s="107">
        <v>2027</v>
      </c>
      <c r="U57" s="107">
        <v>2028</v>
      </c>
      <c r="V57" s="107">
        <v>2029</v>
      </c>
      <c r="W57" s="107">
        <v>2030</v>
      </c>
      <c r="X57" s="107">
        <v>2031</v>
      </c>
      <c r="Y57" s="107">
        <v>2032</v>
      </c>
      <c r="Z57" s="107">
        <v>2033</v>
      </c>
      <c r="AA57" s="107">
        <v>2034</v>
      </c>
      <c r="AB57" s="107">
        <v>2035</v>
      </c>
      <c r="AC57" s="107">
        <v>2036</v>
      </c>
      <c r="AD57" s="107">
        <v>2037</v>
      </c>
      <c r="AE57" s="108">
        <v>2038</v>
      </c>
      <c r="AF57" s="108">
        <v>2039</v>
      </c>
      <c r="AG57" s="108">
        <v>2040</v>
      </c>
      <c r="AH57" s="108">
        <v>2041</v>
      </c>
      <c r="AI57" s="108">
        <v>2042</v>
      </c>
      <c r="AJ57" s="108">
        <v>2043</v>
      </c>
      <c r="AK57" s="108">
        <v>2044</v>
      </c>
      <c r="AL57" s="108">
        <v>2045</v>
      </c>
      <c r="AM57" s="108">
        <v>2046</v>
      </c>
      <c r="AN57" s="108">
        <v>2047</v>
      </c>
      <c r="AO57" s="108">
        <v>2048</v>
      </c>
      <c r="AP57" s="108">
        <v>2049</v>
      </c>
      <c r="AQ57" s="108">
        <v>2050</v>
      </c>
    </row>
    <row r="58" spans="7:43" ht="14.1" customHeight="1" x14ac:dyDescent="0.25">
      <c r="G58" s="106"/>
      <c r="H58" s="238"/>
      <c r="J58" s="210" t="s">
        <v>6</v>
      </c>
      <c r="K58" s="109" t="s">
        <v>41</v>
      </c>
      <c r="L58" s="110">
        <f>'[1]WACC Calc'!F368</f>
        <v>2.5000000000000001E-2</v>
      </c>
      <c r="M58" s="110">
        <f>'[1]WACC Calc'!G368</f>
        <v>2.5000000000000001E-2</v>
      </c>
      <c r="N58" s="110">
        <f>'[1]WACC Calc'!H368</f>
        <v>2.5000000000000001E-2</v>
      </c>
      <c r="O58" s="110">
        <f>'[1]WACC Calc'!I368</f>
        <v>2.5000000000000001E-2</v>
      </c>
      <c r="P58" s="110">
        <f>'[1]WACC Calc'!J368</f>
        <v>2.5000000000000001E-2</v>
      </c>
      <c r="Q58" s="110">
        <f>'[1]WACC Calc'!K368</f>
        <v>2.5000000000000001E-2</v>
      </c>
      <c r="R58" s="110">
        <f>'[1]WACC Calc'!L368</f>
        <v>2.5000000000000001E-2</v>
      </c>
      <c r="S58" s="110">
        <f>'[1]WACC Calc'!M368</f>
        <v>2.5000000000000001E-2</v>
      </c>
      <c r="T58" s="110">
        <f>'[1]WACC Calc'!N368</f>
        <v>2.5000000000000001E-2</v>
      </c>
      <c r="U58" s="110">
        <f>'[1]WACC Calc'!O368</f>
        <v>2.5000000000000001E-2</v>
      </c>
      <c r="V58" s="110">
        <f>'[1]WACC Calc'!P368</f>
        <v>2.5000000000000001E-2</v>
      </c>
      <c r="W58" s="110">
        <f>'[1]WACC Calc'!Q368</f>
        <v>2.5000000000000001E-2</v>
      </c>
      <c r="X58" s="110">
        <f>'[1]WACC Calc'!R368</f>
        <v>2.5000000000000001E-2</v>
      </c>
      <c r="Y58" s="110">
        <f>'[1]WACC Calc'!S368</f>
        <v>2.5000000000000001E-2</v>
      </c>
      <c r="Z58" s="110">
        <f>'[1]WACC Calc'!T368</f>
        <v>2.5000000000000001E-2</v>
      </c>
      <c r="AA58" s="110">
        <f>'[1]WACC Calc'!U368</f>
        <v>2.5000000000000001E-2</v>
      </c>
      <c r="AB58" s="110">
        <f>'[1]WACC Calc'!V368</f>
        <v>2.5000000000000001E-2</v>
      </c>
      <c r="AC58" s="110">
        <f>'[1]WACC Calc'!W368</f>
        <v>2.5000000000000001E-2</v>
      </c>
      <c r="AD58" s="110">
        <f>'[1]WACC Calc'!X368</f>
        <v>2.5000000000000001E-2</v>
      </c>
      <c r="AE58" s="110">
        <f>'[1]WACC Calc'!Y368</f>
        <v>2.5000000000000001E-2</v>
      </c>
      <c r="AF58" s="110">
        <f>'[1]WACC Calc'!Z368</f>
        <v>2.5000000000000001E-2</v>
      </c>
      <c r="AG58" s="110">
        <f>'[1]WACC Calc'!AA368</f>
        <v>2.5000000000000001E-2</v>
      </c>
      <c r="AH58" s="110">
        <f>'[1]WACC Calc'!AB368</f>
        <v>2.5000000000000001E-2</v>
      </c>
      <c r="AI58" s="110">
        <f>'[1]WACC Calc'!AC368</f>
        <v>2.5000000000000001E-2</v>
      </c>
      <c r="AJ58" s="110">
        <f>'[1]WACC Calc'!AD368</f>
        <v>2.5000000000000001E-2</v>
      </c>
      <c r="AK58" s="110">
        <f>'[1]WACC Calc'!AE368</f>
        <v>2.5000000000000001E-2</v>
      </c>
      <c r="AL58" s="110">
        <f>'[1]WACC Calc'!AF368</f>
        <v>2.5000000000000001E-2</v>
      </c>
      <c r="AM58" s="110">
        <f>'[1]WACC Calc'!AG368</f>
        <v>2.5000000000000001E-2</v>
      </c>
      <c r="AN58" s="110">
        <f>'[1]WACC Calc'!AH368</f>
        <v>2.5000000000000001E-2</v>
      </c>
      <c r="AO58" s="110">
        <f>'[1]WACC Calc'!AI368</f>
        <v>2.5000000000000001E-2</v>
      </c>
      <c r="AP58" s="110">
        <f>'[1]WACC Calc'!AJ368</f>
        <v>2.5000000000000001E-2</v>
      </c>
      <c r="AQ58" s="110">
        <f>'[1]WACC Calc'!AK368</f>
        <v>2.5000000000000001E-2</v>
      </c>
    </row>
    <row r="59" spans="7:43" ht="14.1" customHeight="1" x14ac:dyDescent="0.25">
      <c r="G59" s="106"/>
      <c r="H59" s="238"/>
      <c r="J59" s="210"/>
      <c r="K59" s="109" t="s">
        <v>73</v>
      </c>
      <c r="L59" s="110">
        <f>'[1]WACC Calc'!F369</f>
        <v>0.04</v>
      </c>
      <c r="M59" s="110">
        <f>'[1]WACC Calc'!G369</f>
        <v>0.04</v>
      </c>
      <c r="N59" s="110">
        <f>'[1]WACC Calc'!H369</f>
        <v>0.04</v>
      </c>
      <c r="O59" s="110">
        <f>'[1]WACC Calc'!I369</f>
        <v>0.04</v>
      </c>
      <c r="P59" s="110">
        <f>'[1]WACC Calc'!J369</f>
        <v>0.04</v>
      </c>
      <c r="Q59" s="110">
        <f>'[1]WACC Calc'!K369</f>
        <v>0.04</v>
      </c>
      <c r="R59" s="110">
        <f>'[1]WACC Calc'!L369</f>
        <v>0.04</v>
      </c>
      <c r="S59" s="110">
        <f>'[1]WACC Calc'!M369</f>
        <v>0.04</v>
      </c>
      <c r="T59" s="110">
        <f>'[1]WACC Calc'!N369</f>
        <v>0.04</v>
      </c>
      <c r="U59" s="110">
        <f>'[1]WACC Calc'!O369</f>
        <v>0.04</v>
      </c>
      <c r="V59" s="110">
        <f>'[1]WACC Calc'!P369</f>
        <v>0.04</v>
      </c>
      <c r="W59" s="110">
        <f>'[1]WACC Calc'!Q369</f>
        <v>0.04</v>
      </c>
      <c r="X59" s="110">
        <f>'[1]WACC Calc'!R369</f>
        <v>0.04</v>
      </c>
      <c r="Y59" s="110">
        <f>'[1]WACC Calc'!S369</f>
        <v>0.04</v>
      </c>
      <c r="Z59" s="110">
        <f>'[1]WACC Calc'!T369</f>
        <v>0.04</v>
      </c>
      <c r="AA59" s="110">
        <f>'[1]WACC Calc'!U369</f>
        <v>0.04</v>
      </c>
      <c r="AB59" s="110">
        <f>'[1]WACC Calc'!V369</f>
        <v>0.04</v>
      </c>
      <c r="AC59" s="110">
        <f>'[1]WACC Calc'!W369</f>
        <v>0.04</v>
      </c>
      <c r="AD59" s="110">
        <f>'[1]WACC Calc'!X369</f>
        <v>0.04</v>
      </c>
      <c r="AE59" s="110">
        <f>'[1]WACC Calc'!Y369</f>
        <v>0.04</v>
      </c>
      <c r="AF59" s="110">
        <f>'[1]WACC Calc'!Z369</f>
        <v>0.04</v>
      </c>
      <c r="AG59" s="110">
        <f>'[1]WACC Calc'!AA369</f>
        <v>0.04</v>
      </c>
      <c r="AH59" s="110">
        <f>'[1]WACC Calc'!AB369</f>
        <v>0.04</v>
      </c>
      <c r="AI59" s="110">
        <f>'[1]WACC Calc'!AC369</f>
        <v>0.04</v>
      </c>
      <c r="AJ59" s="110">
        <f>'[1]WACC Calc'!AD369</f>
        <v>0.04</v>
      </c>
      <c r="AK59" s="110">
        <f>'[1]WACC Calc'!AE369</f>
        <v>0.04</v>
      </c>
      <c r="AL59" s="110">
        <f>'[1]WACC Calc'!AF369</f>
        <v>0.04</v>
      </c>
      <c r="AM59" s="110">
        <f>'[1]WACC Calc'!AG369</f>
        <v>0.04</v>
      </c>
      <c r="AN59" s="110">
        <f>'[1]WACC Calc'!AH369</f>
        <v>0.04</v>
      </c>
      <c r="AO59" s="110">
        <f>'[1]WACC Calc'!AI369</f>
        <v>0.04</v>
      </c>
      <c r="AP59" s="110">
        <f>'[1]WACC Calc'!AJ369</f>
        <v>0.04</v>
      </c>
      <c r="AQ59" s="110">
        <f>'[1]WACC Calc'!AK369</f>
        <v>0.04</v>
      </c>
    </row>
    <row r="60" spans="7:43" ht="14.1" customHeight="1" x14ac:dyDescent="0.25">
      <c r="G60" s="106"/>
      <c r="H60" s="238"/>
      <c r="J60" s="210"/>
      <c r="K60" s="109" t="s">
        <v>43</v>
      </c>
      <c r="L60" s="110">
        <f>'[1]WACC Calc'!F370</f>
        <v>0.04</v>
      </c>
      <c r="M60" s="110">
        <f>'[1]WACC Calc'!G370</f>
        <v>0.04</v>
      </c>
      <c r="N60" s="110">
        <f>'[1]WACC Calc'!H370</f>
        <v>0.04</v>
      </c>
      <c r="O60" s="110">
        <f>'[1]WACC Calc'!I370</f>
        <v>0.04</v>
      </c>
      <c r="P60" s="110">
        <f>'[1]WACC Calc'!J370</f>
        <v>0.04</v>
      </c>
      <c r="Q60" s="110">
        <f>'[1]WACC Calc'!K370</f>
        <v>0.04</v>
      </c>
      <c r="R60" s="110">
        <f>'[1]WACC Calc'!L370</f>
        <v>0.04</v>
      </c>
      <c r="S60" s="110">
        <f>'[1]WACC Calc'!M370</f>
        <v>0.04</v>
      </c>
      <c r="T60" s="110">
        <f>'[1]WACC Calc'!N370</f>
        <v>0.04</v>
      </c>
      <c r="U60" s="110">
        <f>'[1]WACC Calc'!O370</f>
        <v>0.04</v>
      </c>
      <c r="V60" s="110">
        <f>'[1]WACC Calc'!P370</f>
        <v>0.04</v>
      </c>
      <c r="W60" s="110">
        <f>'[1]WACC Calc'!Q370</f>
        <v>0.04</v>
      </c>
      <c r="X60" s="110">
        <f>'[1]WACC Calc'!R370</f>
        <v>0.04</v>
      </c>
      <c r="Y60" s="110">
        <f>'[1]WACC Calc'!S370</f>
        <v>0.04</v>
      </c>
      <c r="Z60" s="110">
        <f>'[1]WACC Calc'!T370</f>
        <v>0.04</v>
      </c>
      <c r="AA60" s="110">
        <f>'[1]WACC Calc'!U370</f>
        <v>0.04</v>
      </c>
      <c r="AB60" s="110">
        <f>'[1]WACC Calc'!V370</f>
        <v>0.04</v>
      </c>
      <c r="AC60" s="110">
        <f>'[1]WACC Calc'!W370</f>
        <v>0.04</v>
      </c>
      <c r="AD60" s="110">
        <f>'[1]WACC Calc'!X370</f>
        <v>0.04</v>
      </c>
      <c r="AE60" s="110">
        <f>'[1]WACC Calc'!Y370</f>
        <v>0.04</v>
      </c>
      <c r="AF60" s="110">
        <f>'[1]WACC Calc'!Z370</f>
        <v>0.04</v>
      </c>
      <c r="AG60" s="110">
        <f>'[1]WACC Calc'!AA370</f>
        <v>0.04</v>
      </c>
      <c r="AH60" s="110">
        <f>'[1]WACC Calc'!AB370</f>
        <v>0.04</v>
      </c>
      <c r="AI60" s="110">
        <f>'[1]WACC Calc'!AC370</f>
        <v>0.04</v>
      </c>
      <c r="AJ60" s="110">
        <f>'[1]WACC Calc'!AD370</f>
        <v>0.04</v>
      </c>
      <c r="AK60" s="110">
        <f>'[1]WACC Calc'!AE370</f>
        <v>0.04</v>
      </c>
      <c r="AL60" s="110">
        <f>'[1]WACC Calc'!AF370</f>
        <v>0.04</v>
      </c>
      <c r="AM60" s="110">
        <f>'[1]WACC Calc'!AG370</f>
        <v>0.04</v>
      </c>
      <c r="AN60" s="110">
        <f>'[1]WACC Calc'!AH370</f>
        <v>0.04</v>
      </c>
      <c r="AO60" s="110">
        <f>'[1]WACC Calc'!AI370</f>
        <v>0.04</v>
      </c>
      <c r="AP60" s="110">
        <f>'[1]WACC Calc'!AJ370</f>
        <v>0.04</v>
      </c>
      <c r="AQ60" s="110">
        <f>'[1]WACC Calc'!AK370</f>
        <v>0.04</v>
      </c>
    </row>
    <row r="61" spans="7:43" ht="14.1" customHeight="1" x14ac:dyDescent="0.25">
      <c r="G61" s="106"/>
      <c r="H61" s="238"/>
      <c r="J61" s="210"/>
      <c r="K61" s="109" t="s">
        <v>74</v>
      </c>
      <c r="L61" s="110">
        <f>'[1]WACC Calc'!F371</f>
        <v>0.04</v>
      </c>
      <c r="M61" s="110">
        <f>'[1]WACC Calc'!G371</f>
        <v>0.04</v>
      </c>
      <c r="N61" s="110">
        <f>'[1]WACC Calc'!H371</f>
        <v>0.04</v>
      </c>
      <c r="O61" s="110">
        <f>'[1]WACC Calc'!I371</f>
        <v>0.04</v>
      </c>
      <c r="P61" s="110">
        <f>'[1]WACC Calc'!J371</f>
        <v>0.04</v>
      </c>
      <c r="Q61" s="110">
        <f>'[1]WACC Calc'!K371</f>
        <v>0.04</v>
      </c>
      <c r="R61" s="110">
        <f>'[1]WACC Calc'!L371</f>
        <v>0.04</v>
      </c>
      <c r="S61" s="110">
        <f>'[1]WACC Calc'!M371</f>
        <v>0.04</v>
      </c>
      <c r="T61" s="110">
        <f>'[1]WACC Calc'!N371</f>
        <v>0.04</v>
      </c>
      <c r="U61" s="110">
        <f>'[1]WACC Calc'!O371</f>
        <v>0.04</v>
      </c>
      <c r="V61" s="110">
        <f>'[1]WACC Calc'!P371</f>
        <v>0.04</v>
      </c>
      <c r="W61" s="110">
        <f>'[1]WACC Calc'!Q371</f>
        <v>0.04</v>
      </c>
      <c r="X61" s="110">
        <f>'[1]WACC Calc'!R371</f>
        <v>0.04</v>
      </c>
      <c r="Y61" s="110">
        <f>'[1]WACC Calc'!S371</f>
        <v>0.04</v>
      </c>
      <c r="Z61" s="110">
        <f>'[1]WACC Calc'!T371</f>
        <v>0.04</v>
      </c>
      <c r="AA61" s="110">
        <f>'[1]WACC Calc'!U371</f>
        <v>0.04</v>
      </c>
      <c r="AB61" s="110">
        <f>'[1]WACC Calc'!V371</f>
        <v>0.04</v>
      </c>
      <c r="AC61" s="110">
        <f>'[1]WACC Calc'!W371</f>
        <v>0.04</v>
      </c>
      <c r="AD61" s="110">
        <f>'[1]WACC Calc'!X371</f>
        <v>0.04</v>
      </c>
      <c r="AE61" s="110">
        <f>'[1]WACC Calc'!Y371</f>
        <v>0.04</v>
      </c>
      <c r="AF61" s="110">
        <f>'[1]WACC Calc'!Z371</f>
        <v>0.04</v>
      </c>
      <c r="AG61" s="110">
        <f>'[1]WACC Calc'!AA371</f>
        <v>0.04</v>
      </c>
      <c r="AH61" s="110">
        <f>'[1]WACC Calc'!AB371</f>
        <v>0.04</v>
      </c>
      <c r="AI61" s="110">
        <f>'[1]WACC Calc'!AC371</f>
        <v>0.04</v>
      </c>
      <c r="AJ61" s="110">
        <f>'[1]WACC Calc'!AD371</f>
        <v>0.04</v>
      </c>
      <c r="AK61" s="110">
        <f>'[1]WACC Calc'!AE371</f>
        <v>0.04</v>
      </c>
      <c r="AL61" s="110">
        <f>'[1]WACC Calc'!AF371</f>
        <v>0.04</v>
      </c>
      <c r="AM61" s="110">
        <f>'[1]WACC Calc'!AG371</f>
        <v>0.04</v>
      </c>
      <c r="AN61" s="110">
        <f>'[1]WACC Calc'!AH371</f>
        <v>0.04</v>
      </c>
      <c r="AO61" s="110">
        <f>'[1]WACC Calc'!AI371</f>
        <v>0.04</v>
      </c>
      <c r="AP61" s="110">
        <f>'[1]WACC Calc'!AJ371</f>
        <v>0.04</v>
      </c>
      <c r="AQ61" s="110">
        <f>'[1]WACC Calc'!AK371</f>
        <v>0.04</v>
      </c>
    </row>
    <row r="62" spans="7:43" ht="14.1" customHeight="1" x14ac:dyDescent="0.25">
      <c r="G62" s="106"/>
      <c r="H62" s="238"/>
      <c r="J62" s="210"/>
      <c r="K62" s="109" t="s">
        <v>75</v>
      </c>
      <c r="L62" s="110">
        <f>'[1]WACC Calc'!F372</f>
        <v>1.4634146341463428E-2</v>
      </c>
      <c r="M62" s="110">
        <f>'[1]WACC Calc'!G372</f>
        <v>1.4634146341463428E-2</v>
      </c>
      <c r="N62" s="110">
        <f>'[1]WACC Calc'!H372</f>
        <v>1.4634146341463428E-2</v>
      </c>
      <c r="O62" s="110">
        <f>'[1]WACC Calc'!I372</f>
        <v>1.4634146341463428E-2</v>
      </c>
      <c r="P62" s="110">
        <f>'[1]WACC Calc'!J372</f>
        <v>1.4634146341463428E-2</v>
      </c>
      <c r="Q62" s="110">
        <f>'[1]WACC Calc'!K372</f>
        <v>1.4634146341463428E-2</v>
      </c>
      <c r="R62" s="110">
        <f>'[1]WACC Calc'!L372</f>
        <v>1.4634146341463428E-2</v>
      </c>
      <c r="S62" s="110">
        <f>'[1]WACC Calc'!M372</f>
        <v>1.4634146341463428E-2</v>
      </c>
      <c r="T62" s="110">
        <f>'[1]WACC Calc'!N372</f>
        <v>1.4634146341463428E-2</v>
      </c>
      <c r="U62" s="110">
        <f>'[1]WACC Calc'!O372</f>
        <v>1.4634146341463428E-2</v>
      </c>
      <c r="V62" s="110">
        <f>'[1]WACC Calc'!P372</f>
        <v>1.4634146341463428E-2</v>
      </c>
      <c r="W62" s="110">
        <f>'[1]WACC Calc'!Q372</f>
        <v>1.4634146341463428E-2</v>
      </c>
      <c r="X62" s="110">
        <f>'[1]WACC Calc'!R372</f>
        <v>1.4634146341463428E-2</v>
      </c>
      <c r="Y62" s="110">
        <f>'[1]WACC Calc'!S372</f>
        <v>1.4634146341463428E-2</v>
      </c>
      <c r="Z62" s="110">
        <f>'[1]WACC Calc'!T372</f>
        <v>1.4634146341463428E-2</v>
      </c>
      <c r="AA62" s="110">
        <f>'[1]WACC Calc'!U372</f>
        <v>1.4634146341463428E-2</v>
      </c>
      <c r="AB62" s="110">
        <f>'[1]WACC Calc'!V372</f>
        <v>1.4634146341463428E-2</v>
      </c>
      <c r="AC62" s="110">
        <f>'[1]WACC Calc'!W372</f>
        <v>1.4634146341463428E-2</v>
      </c>
      <c r="AD62" s="110">
        <f>'[1]WACC Calc'!X372</f>
        <v>1.4634146341463428E-2</v>
      </c>
      <c r="AE62" s="110">
        <f>'[1]WACC Calc'!Y372</f>
        <v>1.4634146341463428E-2</v>
      </c>
      <c r="AF62" s="110">
        <f>'[1]WACC Calc'!Z372</f>
        <v>1.4634146341463428E-2</v>
      </c>
      <c r="AG62" s="110">
        <f>'[1]WACC Calc'!AA372</f>
        <v>1.4634146341463428E-2</v>
      </c>
      <c r="AH62" s="110">
        <f>'[1]WACC Calc'!AB372</f>
        <v>1.4634146341463428E-2</v>
      </c>
      <c r="AI62" s="110">
        <f>'[1]WACC Calc'!AC372</f>
        <v>1.4634146341463428E-2</v>
      </c>
      <c r="AJ62" s="110">
        <f>'[1]WACC Calc'!AD372</f>
        <v>1.4634146341463428E-2</v>
      </c>
      <c r="AK62" s="110">
        <f>'[1]WACC Calc'!AE372</f>
        <v>1.4634146341463428E-2</v>
      </c>
      <c r="AL62" s="110">
        <f>'[1]WACC Calc'!AF372</f>
        <v>1.4634146341463428E-2</v>
      </c>
      <c r="AM62" s="110">
        <f>'[1]WACC Calc'!AG372</f>
        <v>1.4634146341463428E-2</v>
      </c>
      <c r="AN62" s="110">
        <f>'[1]WACC Calc'!AH372</f>
        <v>1.4634146341463428E-2</v>
      </c>
      <c r="AO62" s="110">
        <f>'[1]WACC Calc'!AI372</f>
        <v>1.4634146341463428E-2</v>
      </c>
      <c r="AP62" s="110">
        <f>'[1]WACC Calc'!AJ372</f>
        <v>1.4634146341463428E-2</v>
      </c>
      <c r="AQ62" s="110">
        <f>'[1]WACC Calc'!AK372</f>
        <v>1.4634146341463428E-2</v>
      </c>
    </row>
    <row r="63" spans="7:43" ht="14.1" customHeight="1" x14ac:dyDescent="0.25">
      <c r="G63" s="106"/>
      <c r="H63" s="238"/>
      <c r="J63" s="210"/>
      <c r="K63" s="109" t="s">
        <v>44</v>
      </c>
      <c r="L63" s="110">
        <f>'[1]WACC Calc'!F373</f>
        <v>1.4634146341463428E-2</v>
      </c>
      <c r="M63" s="110">
        <f>'[1]WACC Calc'!G373</f>
        <v>1.4634146341463428E-2</v>
      </c>
      <c r="N63" s="110">
        <f>'[1]WACC Calc'!H373</f>
        <v>1.4634146341463428E-2</v>
      </c>
      <c r="O63" s="110">
        <f>'[1]WACC Calc'!I373</f>
        <v>1.4634146341463428E-2</v>
      </c>
      <c r="P63" s="110">
        <f>'[1]WACC Calc'!J373</f>
        <v>1.4634146341463428E-2</v>
      </c>
      <c r="Q63" s="110">
        <f>'[1]WACC Calc'!K373</f>
        <v>1.4634146341463428E-2</v>
      </c>
      <c r="R63" s="110">
        <f>'[1]WACC Calc'!L373</f>
        <v>1.4634146341463428E-2</v>
      </c>
      <c r="S63" s="110">
        <f>'[1]WACC Calc'!M373</f>
        <v>1.4634146341463428E-2</v>
      </c>
      <c r="T63" s="110">
        <f>'[1]WACC Calc'!N373</f>
        <v>1.4634146341463428E-2</v>
      </c>
      <c r="U63" s="110">
        <f>'[1]WACC Calc'!O373</f>
        <v>1.4634146341463428E-2</v>
      </c>
      <c r="V63" s="110">
        <f>'[1]WACC Calc'!P373</f>
        <v>1.4634146341463428E-2</v>
      </c>
      <c r="W63" s="110">
        <f>'[1]WACC Calc'!Q373</f>
        <v>1.4634146341463428E-2</v>
      </c>
      <c r="X63" s="110">
        <f>'[1]WACC Calc'!R373</f>
        <v>1.4634146341463428E-2</v>
      </c>
      <c r="Y63" s="110">
        <f>'[1]WACC Calc'!S373</f>
        <v>1.4634146341463428E-2</v>
      </c>
      <c r="Z63" s="110">
        <f>'[1]WACC Calc'!T373</f>
        <v>1.4634146341463428E-2</v>
      </c>
      <c r="AA63" s="110">
        <f>'[1]WACC Calc'!U373</f>
        <v>1.4634146341463428E-2</v>
      </c>
      <c r="AB63" s="110">
        <f>'[1]WACC Calc'!V373</f>
        <v>1.4634146341463428E-2</v>
      </c>
      <c r="AC63" s="110">
        <f>'[1]WACC Calc'!W373</f>
        <v>1.4634146341463428E-2</v>
      </c>
      <c r="AD63" s="110">
        <f>'[1]WACC Calc'!X373</f>
        <v>1.4634146341463428E-2</v>
      </c>
      <c r="AE63" s="110">
        <f>'[1]WACC Calc'!Y373</f>
        <v>1.4634146341463428E-2</v>
      </c>
      <c r="AF63" s="110">
        <f>'[1]WACC Calc'!Z373</f>
        <v>1.4634146341463428E-2</v>
      </c>
      <c r="AG63" s="110">
        <f>'[1]WACC Calc'!AA373</f>
        <v>1.4634146341463428E-2</v>
      </c>
      <c r="AH63" s="110">
        <f>'[1]WACC Calc'!AB373</f>
        <v>1.4634146341463428E-2</v>
      </c>
      <c r="AI63" s="110">
        <f>'[1]WACC Calc'!AC373</f>
        <v>1.4634146341463428E-2</v>
      </c>
      <c r="AJ63" s="110">
        <f>'[1]WACC Calc'!AD373</f>
        <v>1.4634146341463428E-2</v>
      </c>
      <c r="AK63" s="110">
        <f>'[1]WACC Calc'!AE373</f>
        <v>1.4634146341463428E-2</v>
      </c>
      <c r="AL63" s="110">
        <f>'[1]WACC Calc'!AF373</f>
        <v>1.4634146341463428E-2</v>
      </c>
      <c r="AM63" s="110">
        <f>'[1]WACC Calc'!AG373</f>
        <v>1.4634146341463428E-2</v>
      </c>
      <c r="AN63" s="110">
        <f>'[1]WACC Calc'!AH373</f>
        <v>1.4634146341463428E-2</v>
      </c>
      <c r="AO63" s="110">
        <f>'[1]WACC Calc'!AI373</f>
        <v>1.4634146341463428E-2</v>
      </c>
      <c r="AP63" s="110">
        <f>'[1]WACC Calc'!AJ373</f>
        <v>1.4634146341463428E-2</v>
      </c>
      <c r="AQ63" s="110">
        <f>'[1]WACC Calc'!AK373</f>
        <v>1.4634146341463428E-2</v>
      </c>
    </row>
    <row r="64" spans="7:43" ht="14.1" customHeight="1" x14ac:dyDescent="0.25">
      <c r="G64" s="106"/>
      <c r="H64" s="238"/>
      <c r="J64" s="210"/>
      <c r="K64" s="109" t="s">
        <v>76</v>
      </c>
      <c r="L64" s="110">
        <f>'[1]WACC Calc'!F374</f>
        <v>1.4634146341463428E-2</v>
      </c>
      <c r="M64" s="110">
        <f>'[1]WACC Calc'!G374</f>
        <v>1.4634146341463428E-2</v>
      </c>
      <c r="N64" s="110">
        <f>'[1]WACC Calc'!H374</f>
        <v>1.4634146341463428E-2</v>
      </c>
      <c r="O64" s="110">
        <f>'[1]WACC Calc'!I374</f>
        <v>1.4634146341463428E-2</v>
      </c>
      <c r="P64" s="110">
        <f>'[1]WACC Calc'!J374</f>
        <v>1.4634146341463428E-2</v>
      </c>
      <c r="Q64" s="110">
        <f>'[1]WACC Calc'!K374</f>
        <v>1.4634146341463428E-2</v>
      </c>
      <c r="R64" s="110">
        <f>'[1]WACC Calc'!L374</f>
        <v>1.4634146341463428E-2</v>
      </c>
      <c r="S64" s="110">
        <f>'[1]WACC Calc'!M374</f>
        <v>1.4634146341463428E-2</v>
      </c>
      <c r="T64" s="110">
        <f>'[1]WACC Calc'!N374</f>
        <v>1.4634146341463428E-2</v>
      </c>
      <c r="U64" s="110">
        <f>'[1]WACC Calc'!O374</f>
        <v>1.4634146341463428E-2</v>
      </c>
      <c r="V64" s="110">
        <f>'[1]WACC Calc'!P374</f>
        <v>1.4634146341463428E-2</v>
      </c>
      <c r="W64" s="110">
        <f>'[1]WACC Calc'!Q374</f>
        <v>1.4634146341463428E-2</v>
      </c>
      <c r="X64" s="110">
        <f>'[1]WACC Calc'!R374</f>
        <v>1.4634146341463428E-2</v>
      </c>
      <c r="Y64" s="110">
        <f>'[1]WACC Calc'!S374</f>
        <v>1.4634146341463428E-2</v>
      </c>
      <c r="Z64" s="110">
        <f>'[1]WACC Calc'!T374</f>
        <v>1.4634146341463428E-2</v>
      </c>
      <c r="AA64" s="110">
        <f>'[1]WACC Calc'!U374</f>
        <v>1.4634146341463428E-2</v>
      </c>
      <c r="AB64" s="110">
        <f>'[1]WACC Calc'!V374</f>
        <v>1.4634146341463428E-2</v>
      </c>
      <c r="AC64" s="110">
        <f>'[1]WACC Calc'!W374</f>
        <v>1.4634146341463428E-2</v>
      </c>
      <c r="AD64" s="110">
        <f>'[1]WACC Calc'!X374</f>
        <v>1.4634146341463428E-2</v>
      </c>
      <c r="AE64" s="110">
        <f>'[1]WACC Calc'!Y374</f>
        <v>1.4634146341463428E-2</v>
      </c>
      <c r="AF64" s="110">
        <f>'[1]WACC Calc'!Z374</f>
        <v>1.4634146341463428E-2</v>
      </c>
      <c r="AG64" s="110">
        <f>'[1]WACC Calc'!AA374</f>
        <v>1.4634146341463428E-2</v>
      </c>
      <c r="AH64" s="110">
        <f>'[1]WACC Calc'!AB374</f>
        <v>1.4634146341463428E-2</v>
      </c>
      <c r="AI64" s="110">
        <f>'[1]WACC Calc'!AC374</f>
        <v>1.4634146341463428E-2</v>
      </c>
      <c r="AJ64" s="110">
        <f>'[1]WACC Calc'!AD374</f>
        <v>1.4634146341463428E-2</v>
      </c>
      <c r="AK64" s="110">
        <f>'[1]WACC Calc'!AE374</f>
        <v>1.4634146341463428E-2</v>
      </c>
      <c r="AL64" s="110">
        <f>'[1]WACC Calc'!AF374</f>
        <v>1.4634146341463428E-2</v>
      </c>
      <c r="AM64" s="110">
        <f>'[1]WACC Calc'!AG374</f>
        <v>1.4634146341463428E-2</v>
      </c>
      <c r="AN64" s="110">
        <f>'[1]WACC Calc'!AH374</f>
        <v>1.4634146341463428E-2</v>
      </c>
      <c r="AO64" s="110">
        <f>'[1]WACC Calc'!AI374</f>
        <v>1.4634146341463428E-2</v>
      </c>
      <c r="AP64" s="110">
        <f>'[1]WACC Calc'!AJ374</f>
        <v>1.4634146341463428E-2</v>
      </c>
      <c r="AQ64" s="110">
        <f>'[1]WACC Calc'!AK374</f>
        <v>1.4634146341463428E-2</v>
      </c>
    </row>
    <row r="65" spans="7:43" ht="14.1" customHeight="1" x14ac:dyDescent="0.25">
      <c r="G65" s="106"/>
      <c r="H65" s="238"/>
      <c r="J65" s="210"/>
      <c r="K65" s="109" t="s">
        <v>45</v>
      </c>
      <c r="L65" s="110">
        <f>'[1]WACC Calc'!F375</f>
        <v>0.04</v>
      </c>
      <c r="M65" s="110">
        <f>'[1]WACC Calc'!G375</f>
        <v>0.04</v>
      </c>
      <c r="N65" s="110">
        <f>'[1]WACC Calc'!H375</f>
        <v>0.04</v>
      </c>
      <c r="O65" s="110">
        <f>'[1]WACC Calc'!I375</f>
        <v>0.04</v>
      </c>
      <c r="P65" s="110">
        <f>'[1]WACC Calc'!J375</f>
        <v>0.04</v>
      </c>
      <c r="Q65" s="110">
        <f>'[1]WACC Calc'!K375</f>
        <v>0.04</v>
      </c>
      <c r="R65" s="110">
        <f>'[1]WACC Calc'!L375</f>
        <v>0.04</v>
      </c>
      <c r="S65" s="110">
        <f>'[1]WACC Calc'!M375</f>
        <v>0.04</v>
      </c>
      <c r="T65" s="110">
        <f>'[1]WACC Calc'!N375</f>
        <v>0.04</v>
      </c>
      <c r="U65" s="110">
        <f>'[1]WACC Calc'!O375</f>
        <v>0.04</v>
      </c>
      <c r="V65" s="110">
        <f>'[1]WACC Calc'!P375</f>
        <v>0.04</v>
      </c>
      <c r="W65" s="110">
        <f>'[1]WACC Calc'!Q375</f>
        <v>0.04</v>
      </c>
      <c r="X65" s="110">
        <f>'[1]WACC Calc'!R375</f>
        <v>0.04</v>
      </c>
      <c r="Y65" s="110">
        <f>'[1]WACC Calc'!S375</f>
        <v>0.04</v>
      </c>
      <c r="Z65" s="110">
        <f>'[1]WACC Calc'!T375</f>
        <v>0.04</v>
      </c>
      <c r="AA65" s="110">
        <f>'[1]WACC Calc'!U375</f>
        <v>0.04</v>
      </c>
      <c r="AB65" s="110">
        <f>'[1]WACC Calc'!V375</f>
        <v>0.04</v>
      </c>
      <c r="AC65" s="110">
        <f>'[1]WACC Calc'!W375</f>
        <v>0.04</v>
      </c>
      <c r="AD65" s="110">
        <f>'[1]WACC Calc'!X375</f>
        <v>0.04</v>
      </c>
      <c r="AE65" s="110">
        <f>'[1]WACC Calc'!Y375</f>
        <v>0.04</v>
      </c>
      <c r="AF65" s="110">
        <f>'[1]WACC Calc'!Z375</f>
        <v>0.04</v>
      </c>
      <c r="AG65" s="110">
        <f>'[1]WACC Calc'!AA375</f>
        <v>0.04</v>
      </c>
      <c r="AH65" s="110">
        <f>'[1]WACC Calc'!AB375</f>
        <v>0.04</v>
      </c>
      <c r="AI65" s="110">
        <f>'[1]WACC Calc'!AC375</f>
        <v>0.04</v>
      </c>
      <c r="AJ65" s="110">
        <f>'[1]WACC Calc'!AD375</f>
        <v>0.04</v>
      </c>
      <c r="AK65" s="110">
        <f>'[1]WACC Calc'!AE375</f>
        <v>0.04</v>
      </c>
      <c r="AL65" s="110">
        <f>'[1]WACC Calc'!AF375</f>
        <v>0.04</v>
      </c>
      <c r="AM65" s="110">
        <f>'[1]WACC Calc'!AG375</f>
        <v>0.04</v>
      </c>
      <c r="AN65" s="110">
        <f>'[1]WACC Calc'!AH375</f>
        <v>0.04</v>
      </c>
      <c r="AO65" s="110">
        <f>'[1]WACC Calc'!AI375</f>
        <v>0.04</v>
      </c>
      <c r="AP65" s="110">
        <f>'[1]WACC Calc'!AJ375</f>
        <v>0.04</v>
      </c>
      <c r="AQ65" s="110">
        <f>'[1]WACC Calc'!AK375</f>
        <v>0.04</v>
      </c>
    </row>
    <row r="66" spans="7:43" ht="14.1" customHeight="1" x14ac:dyDescent="0.25">
      <c r="G66" s="106"/>
      <c r="H66" s="238"/>
      <c r="J66" s="210"/>
      <c r="K66" s="109" t="s">
        <v>77</v>
      </c>
      <c r="L66" s="110">
        <f>'[1]WACC Calc'!F376</f>
        <v>0.1</v>
      </c>
      <c r="M66" s="110">
        <f>'[1]WACC Calc'!G376</f>
        <v>0.1</v>
      </c>
      <c r="N66" s="110">
        <f>'[1]WACC Calc'!H376</f>
        <v>0.1</v>
      </c>
      <c r="O66" s="110">
        <f>'[1]WACC Calc'!I376</f>
        <v>0.1</v>
      </c>
      <c r="P66" s="110">
        <f>'[1]WACC Calc'!J376</f>
        <v>0.1</v>
      </c>
      <c r="Q66" s="110">
        <f>'[1]WACC Calc'!K376</f>
        <v>0.1</v>
      </c>
      <c r="R66" s="110">
        <f>'[1]WACC Calc'!L376</f>
        <v>0.1</v>
      </c>
      <c r="S66" s="110">
        <f>'[1]WACC Calc'!M376</f>
        <v>0.1</v>
      </c>
      <c r="T66" s="110">
        <f>'[1]WACC Calc'!N376</f>
        <v>0.1</v>
      </c>
      <c r="U66" s="110">
        <f>'[1]WACC Calc'!O376</f>
        <v>0.1</v>
      </c>
      <c r="V66" s="110">
        <f>'[1]WACC Calc'!P376</f>
        <v>0.1</v>
      </c>
      <c r="W66" s="110">
        <f>'[1]WACC Calc'!Q376</f>
        <v>0.1</v>
      </c>
      <c r="X66" s="110">
        <f>'[1]WACC Calc'!R376</f>
        <v>0.1</v>
      </c>
      <c r="Y66" s="110">
        <f>'[1]WACC Calc'!S376</f>
        <v>0.1</v>
      </c>
      <c r="Z66" s="110">
        <f>'[1]WACC Calc'!T376</f>
        <v>0.1</v>
      </c>
      <c r="AA66" s="110">
        <f>'[1]WACC Calc'!U376</f>
        <v>0.1</v>
      </c>
      <c r="AB66" s="110">
        <f>'[1]WACC Calc'!V376</f>
        <v>0.1</v>
      </c>
      <c r="AC66" s="110">
        <f>'[1]WACC Calc'!W376</f>
        <v>0.1</v>
      </c>
      <c r="AD66" s="110">
        <f>'[1]WACC Calc'!X376</f>
        <v>0.1</v>
      </c>
      <c r="AE66" s="110">
        <f>'[1]WACC Calc'!Y376</f>
        <v>0.1</v>
      </c>
      <c r="AF66" s="110">
        <f>'[1]WACC Calc'!Z376</f>
        <v>0.1</v>
      </c>
      <c r="AG66" s="110">
        <f>'[1]WACC Calc'!AA376</f>
        <v>0.1</v>
      </c>
      <c r="AH66" s="110">
        <f>'[1]WACC Calc'!AB376</f>
        <v>0.1</v>
      </c>
      <c r="AI66" s="110">
        <f>'[1]WACC Calc'!AC376</f>
        <v>0.1</v>
      </c>
      <c r="AJ66" s="110">
        <f>'[1]WACC Calc'!AD376</f>
        <v>0.1</v>
      </c>
      <c r="AK66" s="110">
        <f>'[1]WACC Calc'!AE376</f>
        <v>0.1</v>
      </c>
      <c r="AL66" s="110">
        <f>'[1]WACC Calc'!AF376</f>
        <v>0.1</v>
      </c>
      <c r="AM66" s="110">
        <f>'[1]WACC Calc'!AG376</f>
        <v>0.1</v>
      </c>
      <c r="AN66" s="110">
        <f>'[1]WACC Calc'!AH376</f>
        <v>0.1</v>
      </c>
      <c r="AO66" s="110">
        <f>'[1]WACC Calc'!AI376</f>
        <v>0.1</v>
      </c>
      <c r="AP66" s="110">
        <f>'[1]WACC Calc'!AJ376</f>
        <v>0.1</v>
      </c>
      <c r="AQ66" s="110">
        <f>'[1]WACC Calc'!AK376</f>
        <v>0.1</v>
      </c>
    </row>
    <row r="67" spans="7:43" ht="14.1" customHeight="1" x14ac:dyDescent="0.25">
      <c r="G67" s="106"/>
      <c r="H67" s="238"/>
      <c r="J67" s="210"/>
      <c r="K67" s="109" t="s">
        <v>46</v>
      </c>
      <c r="L67" s="110">
        <f>'[1]WACC Calc'!F377</f>
        <v>0.1</v>
      </c>
      <c r="M67" s="110">
        <f>'[1]WACC Calc'!G377</f>
        <v>0.1</v>
      </c>
      <c r="N67" s="110">
        <f>'[1]WACC Calc'!H377</f>
        <v>0.1</v>
      </c>
      <c r="O67" s="110">
        <f>'[1]WACC Calc'!I377</f>
        <v>0.1</v>
      </c>
      <c r="P67" s="110">
        <f>'[1]WACC Calc'!J377</f>
        <v>0.1</v>
      </c>
      <c r="Q67" s="110">
        <f>'[1]WACC Calc'!K377</f>
        <v>0.1</v>
      </c>
      <c r="R67" s="110">
        <f>'[1]WACC Calc'!L377</f>
        <v>0.1</v>
      </c>
      <c r="S67" s="110">
        <f>'[1]WACC Calc'!M377</f>
        <v>0.1</v>
      </c>
      <c r="T67" s="110">
        <f>'[1]WACC Calc'!N377</f>
        <v>0.1</v>
      </c>
      <c r="U67" s="110">
        <f>'[1]WACC Calc'!O377</f>
        <v>0.1</v>
      </c>
      <c r="V67" s="110">
        <f>'[1]WACC Calc'!P377</f>
        <v>0.1</v>
      </c>
      <c r="W67" s="110">
        <f>'[1]WACC Calc'!Q377</f>
        <v>0.1</v>
      </c>
      <c r="X67" s="110">
        <f>'[1]WACC Calc'!R377</f>
        <v>0.1</v>
      </c>
      <c r="Y67" s="110">
        <f>'[1]WACC Calc'!S377</f>
        <v>0.1</v>
      </c>
      <c r="Z67" s="110">
        <f>'[1]WACC Calc'!T377</f>
        <v>0.1</v>
      </c>
      <c r="AA67" s="110">
        <f>'[1]WACC Calc'!U377</f>
        <v>0.1</v>
      </c>
      <c r="AB67" s="110">
        <f>'[1]WACC Calc'!V377</f>
        <v>0.1</v>
      </c>
      <c r="AC67" s="110">
        <f>'[1]WACC Calc'!W377</f>
        <v>0.1</v>
      </c>
      <c r="AD67" s="110">
        <f>'[1]WACC Calc'!X377</f>
        <v>0.1</v>
      </c>
      <c r="AE67" s="110">
        <f>'[1]WACC Calc'!Y377</f>
        <v>0.1</v>
      </c>
      <c r="AF67" s="110">
        <f>'[1]WACC Calc'!Z377</f>
        <v>0.1</v>
      </c>
      <c r="AG67" s="110">
        <f>'[1]WACC Calc'!AA377</f>
        <v>0.1</v>
      </c>
      <c r="AH67" s="110">
        <f>'[1]WACC Calc'!AB377</f>
        <v>0.1</v>
      </c>
      <c r="AI67" s="110">
        <f>'[1]WACC Calc'!AC377</f>
        <v>0.1</v>
      </c>
      <c r="AJ67" s="110">
        <f>'[1]WACC Calc'!AD377</f>
        <v>0.1</v>
      </c>
      <c r="AK67" s="110">
        <f>'[1]WACC Calc'!AE377</f>
        <v>0.1</v>
      </c>
      <c r="AL67" s="110">
        <f>'[1]WACC Calc'!AF377</f>
        <v>0.1</v>
      </c>
      <c r="AM67" s="110">
        <f>'[1]WACC Calc'!AG377</f>
        <v>0.1</v>
      </c>
      <c r="AN67" s="110">
        <f>'[1]WACC Calc'!AH377</f>
        <v>0.1</v>
      </c>
      <c r="AO67" s="110">
        <f>'[1]WACC Calc'!AI377</f>
        <v>0.1</v>
      </c>
      <c r="AP67" s="110">
        <f>'[1]WACC Calc'!AJ377</f>
        <v>0.1</v>
      </c>
      <c r="AQ67" s="110">
        <f>'[1]WACC Calc'!AK377</f>
        <v>0.1</v>
      </c>
    </row>
    <row r="68" spans="7:43" ht="14.1" customHeight="1" x14ac:dyDescent="0.25">
      <c r="G68" s="106"/>
      <c r="H68" s="238"/>
      <c r="J68" s="210"/>
      <c r="K68" s="109" t="s">
        <v>78</v>
      </c>
      <c r="L68" s="110">
        <f>'[1]WACC Calc'!F378</f>
        <v>0.1</v>
      </c>
      <c r="M68" s="110">
        <f>'[1]WACC Calc'!G378</f>
        <v>0.1</v>
      </c>
      <c r="N68" s="110">
        <f>'[1]WACC Calc'!H378</f>
        <v>0.1</v>
      </c>
      <c r="O68" s="110">
        <f>'[1]WACC Calc'!I378</f>
        <v>0.1</v>
      </c>
      <c r="P68" s="110">
        <f>'[1]WACC Calc'!J378</f>
        <v>0.1</v>
      </c>
      <c r="Q68" s="110">
        <f>'[1]WACC Calc'!K378</f>
        <v>0.1</v>
      </c>
      <c r="R68" s="110">
        <f>'[1]WACC Calc'!L378</f>
        <v>0.1</v>
      </c>
      <c r="S68" s="110">
        <f>'[1]WACC Calc'!M378</f>
        <v>0.1</v>
      </c>
      <c r="T68" s="110">
        <f>'[1]WACC Calc'!N378</f>
        <v>0.1</v>
      </c>
      <c r="U68" s="110">
        <f>'[1]WACC Calc'!O378</f>
        <v>0.1</v>
      </c>
      <c r="V68" s="110">
        <f>'[1]WACC Calc'!P378</f>
        <v>0.1</v>
      </c>
      <c r="W68" s="110">
        <f>'[1]WACC Calc'!Q378</f>
        <v>0.1</v>
      </c>
      <c r="X68" s="110">
        <f>'[1]WACC Calc'!R378</f>
        <v>0.1</v>
      </c>
      <c r="Y68" s="110">
        <f>'[1]WACC Calc'!S378</f>
        <v>0.1</v>
      </c>
      <c r="Z68" s="110">
        <f>'[1]WACC Calc'!T378</f>
        <v>0.1</v>
      </c>
      <c r="AA68" s="110">
        <f>'[1]WACC Calc'!U378</f>
        <v>0.1</v>
      </c>
      <c r="AB68" s="110">
        <f>'[1]WACC Calc'!V378</f>
        <v>0.1</v>
      </c>
      <c r="AC68" s="110">
        <f>'[1]WACC Calc'!W378</f>
        <v>0.1</v>
      </c>
      <c r="AD68" s="110">
        <f>'[1]WACC Calc'!X378</f>
        <v>0.1</v>
      </c>
      <c r="AE68" s="110">
        <f>'[1]WACC Calc'!Y378</f>
        <v>0.1</v>
      </c>
      <c r="AF68" s="110">
        <f>'[1]WACC Calc'!Z378</f>
        <v>0.1</v>
      </c>
      <c r="AG68" s="110">
        <f>'[1]WACC Calc'!AA378</f>
        <v>0.1</v>
      </c>
      <c r="AH68" s="110">
        <f>'[1]WACC Calc'!AB378</f>
        <v>0.1</v>
      </c>
      <c r="AI68" s="110">
        <f>'[1]WACC Calc'!AC378</f>
        <v>0.1</v>
      </c>
      <c r="AJ68" s="110">
        <f>'[1]WACC Calc'!AD378</f>
        <v>0.1</v>
      </c>
      <c r="AK68" s="110">
        <f>'[1]WACC Calc'!AE378</f>
        <v>0.1</v>
      </c>
      <c r="AL68" s="110">
        <f>'[1]WACC Calc'!AF378</f>
        <v>0.1</v>
      </c>
      <c r="AM68" s="110">
        <f>'[1]WACC Calc'!AG378</f>
        <v>0.1</v>
      </c>
      <c r="AN68" s="110">
        <f>'[1]WACC Calc'!AH378</f>
        <v>0.1</v>
      </c>
      <c r="AO68" s="110">
        <f>'[1]WACC Calc'!AI378</f>
        <v>0.1</v>
      </c>
      <c r="AP68" s="110">
        <f>'[1]WACC Calc'!AJ378</f>
        <v>0.1</v>
      </c>
      <c r="AQ68" s="110">
        <f>'[1]WACC Calc'!AK378</f>
        <v>0.1</v>
      </c>
    </row>
    <row r="69" spans="7:43" ht="14.1" customHeight="1" x14ac:dyDescent="0.25">
      <c r="G69" s="106"/>
      <c r="H69" s="238"/>
      <c r="J69" s="210"/>
      <c r="K69" s="109" t="s">
        <v>79</v>
      </c>
      <c r="L69" s="110">
        <f>'[1]WACC Calc'!F379</f>
        <v>7.317073170731736E-2</v>
      </c>
      <c r="M69" s="110">
        <f>'[1]WACC Calc'!G379</f>
        <v>7.317073170731736E-2</v>
      </c>
      <c r="N69" s="110">
        <f>'[1]WACC Calc'!H379</f>
        <v>7.317073170731736E-2</v>
      </c>
      <c r="O69" s="110">
        <f>'[1]WACC Calc'!I379</f>
        <v>7.317073170731736E-2</v>
      </c>
      <c r="P69" s="110">
        <f>'[1]WACC Calc'!J379</f>
        <v>7.317073170731736E-2</v>
      </c>
      <c r="Q69" s="110">
        <f>'[1]WACC Calc'!K379</f>
        <v>7.317073170731736E-2</v>
      </c>
      <c r="R69" s="110">
        <f>'[1]WACC Calc'!L379</f>
        <v>7.317073170731736E-2</v>
      </c>
      <c r="S69" s="110">
        <f>'[1]WACC Calc'!M379</f>
        <v>7.317073170731736E-2</v>
      </c>
      <c r="T69" s="110">
        <f>'[1]WACC Calc'!N379</f>
        <v>7.317073170731736E-2</v>
      </c>
      <c r="U69" s="110">
        <f>'[1]WACC Calc'!O379</f>
        <v>7.317073170731736E-2</v>
      </c>
      <c r="V69" s="110">
        <f>'[1]WACC Calc'!P379</f>
        <v>7.317073170731736E-2</v>
      </c>
      <c r="W69" s="110">
        <f>'[1]WACC Calc'!Q379</f>
        <v>7.317073170731736E-2</v>
      </c>
      <c r="X69" s="110">
        <f>'[1]WACC Calc'!R379</f>
        <v>7.317073170731736E-2</v>
      </c>
      <c r="Y69" s="110">
        <f>'[1]WACC Calc'!S379</f>
        <v>7.317073170731736E-2</v>
      </c>
      <c r="Z69" s="110">
        <f>'[1]WACC Calc'!T379</f>
        <v>7.317073170731736E-2</v>
      </c>
      <c r="AA69" s="110">
        <f>'[1]WACC Calc'!U379</f>
        <v>7.317073170731736E-2</v>
      </c>
      <c r="AB69" s="110">
        <f>'[1]WACC Calc'!V379</f>
        <v>7.317073170731736E-2</v>
      </c>
      <c r="AC69" s="110">
        <f>'[1]WACC Calc'!W379</f>
        <v>7.317073170731736E-2</v>
      </c>
      <c r="AD69" s="110">
        <f>'[1]WACC Calc'!X379</f>
        <v>7.317073170731736E-2</v>
      </c>
      <c r="AE69" s="110">
        <f>'[1]WACC Calc'!Y379</f>
        <v>7.317073170731736E-2</v>
      </c>
      <c r="AF69" s="110">
        <f>'[1]WACC Calc'!Z379</f>
        <v>7.317073170731736E-2</v>
      </c>
      <c r="AG69" s="110">
        <f>'[1]WACC Calc'!AA379</f>
        <v>7.317073170731736E-2</v>
      </c>
      <c r="AH69" s="110">
        <f>'[1]WACC Calc'!AB379</f>
        <v>7.317073170731736E-2</v>
      </c>
      <c r="AI69" s="110">
        <f>'[1]WACC Calc'!AC379</f>
        <v>7.317073170731736E-2</v>
      </c>
      <c r="AJ69" s="110">
        <f>'[1]WACC Calc'!AD379</f>
        <v>7.317073170731736E-2</v>
      </c>
      <c r="AK69" s="110">
        <f>'[1]WACC Calc'!AE379</f>
        <v>7.317073170731736E-2</v>
      </c>
      <c r="AL69" s="110">
        <f>'[1]WACC Calc'!AF379</f>
        <v>7.317073170731736E-2</v>
      </c>
      <c r="AM69" s="110">
        <f>'[1]WACC Calc'!AG379</f>
        <v>7.317073170731736E-2</v>
      </c>
      <c r="AN69" s="110">
        <f>'[1]WACC Calc'!AH379</f>
        <v>7.317073170731736E-2</v>
      </c>
      <c r="AO69" s="110">
        <f>'[1]WACC Calc'!AI379</f>
        <v>7.317073170731736E-2</v>
      </c>
      <c r="AP69" s="110">
        <f>'[1]WACC Calc'!AJ379</f>
        <v>7.317073170731736E-2</v>
      </c>
      <c r="AQ69" s="110">
        <f>'[1]WACC Calc'!AK379</f>
        <v>7.317073170731736E-2</v>
      </c>
    </row>
    <row r="70" spans="7:43" ht="14.1" customHeight="1" x14ac:dyDescent="0.25">
      <c r="G70" s="106"/>
      <c r="H70" s="238"/>
      <c r="J70" s="210"/>
      <c r="K70" s="109" t="s">
        <v>47</v>
      </c>
      <c r="L70" s="110">
        <f>'[1]WACC Calc'!F380</f>
        <v>7.317073170731736E-2</v>
      </c>
      <c r="M70" s="110">
        <f>'[1]WACC Calc'!G380</f>
        <v>7.317073170731736E-2</v>
      </c>
      <c r="N70" s="110">
        <f>'[1]WACC Calc'!H380</f>
        <v>7.317073170731736E-2</v>
      </c>
      <c r="O70" s="110">
        <f>'[1]WACC Calc'!I380</f>
        <v>7.317073170731736E-2</v>
      </c>
      <c r="P70" s="110">
        <f>'[1]WACC Calc'!J380</f>
        <v>7.317073170731736E-2</v>
      </c>
      <c r="Q70" s="110">
        <f>'[1]WACC Calc'!K380</f>
        <v>7.317073170731736E-2</v>
      </c>
      <c r="R70" s="110">
        <f>'[1]WACC Calc'!L380</f>
        <v>7.317073170731736E-2</v>
      </c>
      <c r="S70" s="110">
        <f>'[1]WACC Calc'!M380</f>
        <v>7.317073170731736E-2</v>
      </c>
      <c r="T70" s="110">
        <f>'[1]WACC Calc'!N380</f>
        <v>7.317073170731736E-2</v>
      </c>
      <c r="U70" s="110">
        <f>'[1]WACC Calc'!O380</f>
        <v>7.317073170731736E-2</v>
      </c>
      <c r="V70" s="110">
        <f>'[1]WACC Calc'!P380</f>
        <v>7.317073170731736E-2</v>
      </c>
      <c r="W70" s="110">
        <f>'[1]WACC Calc'!Q380</f>
        <v>7.317073170731736E-2</v>
      </c>
      <c r="X70" s="110">
        <f>'[1]WACC Calc'!R380</f>
        <v>7.317073170731736E-2</v>
      </c>
      <c r="Y70" s="110">
        <f>'[1]WACC Calc'!S380</f>
        <v>7.317073170731736E-2</v>
      </c>
      <c r="Z70" s="110">
        <f>'[1]WACC Calc'!T380</f>
        <v>7.317073170731736E-2</v>
      </c>
      <c r="AA70" s="110">
        <f>'[1]WACC Calc'!U380</f>
        <v>7.317073170731736E-2</v>
      </c>
      <c r="AB70" s="110">
        <f>'[1]WACC Calc'!V380</f>
        <v>7.317073170731736E-2</v>
      </c>
      <c r="AC70" s="110">
        <f>'[1]WACC Calc'!W380</f>
        <v>7.317073170731736E-2</v>
      </c>
      <c r="AD70" s="110">
        <f>'[1]WACC Calc'!X380</f>
        <v>7.317073170731736E-2</v>
      </c>
      <c r="AE70" s="110">
        <f>'[1]WACC Calc'!Y380</f>
        <v>7.317073170731736E-2</v>
      </c>
      <c r="AF70" s="110">
        <f>'[1]WACC Calc'!Z380</f>
        <v>7.317073170731736E-2</v>
      </c>
      <c r="AG70" s="110">
        <f>'[1]WACC Calc'!AA380</f>
        <v>7.317073170731736E-2</v>
      </c>
      <c r="AH70" s="110">
        <f>'[1]WACC Calc'!AB380</f>
        <v>7.317073170731736E-2</v>
      </c>
      <c r="AI70" s="110">
        <f>'[1]WACC Calc'!AC380</f>
        <v>7.317073170731736E-2</v>
      </c>
      <c r="AJ70" s="110">
        <f>'[1]WACC Calc'!AD380</f>
        <v>7.317073170731736E-2</v>
      </c>
      <c r="AK70" s="110">
        <f>'[1]WACC Calc'!AE380</f>
        <v>7.317073170731736E-2</v>
      </c>
      <c r="AL70" s="110">
        <f>'[1]WACC Calc'!AF380</f>
        <v>7.317073170731736E-2</v>
      </c>
      <c r="AM70" s="110">
        <f>'[1]WACC Calc'!AG380</f>
        <v>7.317073170731736E-2</v>
      </c>
      <c r="AN70" s="110">
        <f>'[1]WACC Calc'!AH380</f>
        <v>7.317073170731736E-2</v>
      </c>
      <c r="AO70" s="110">
        <f>'[1]WACC Calc'!AI380</f>
        <v>7.317073170731736E-2</v>
      </c>
      <c r="AP70" s="110">
        <f>'[1]WACC Calc'!AJ380</f>
        <v>7.317073170731736E-2</v>
      </c>
      <c r="AQ70" s="110">
        <f>'[1]WACC Calc'!AK380</f>
        <v>7.317073170731736E-2</v>
      </c>
    </row>
    <row r="71" spans="7:43" ht="14.1" customHeight="1" x14ac:dyDescent="0.25">
      <c r="G71" s="106"/>
      <c r="H71" s="238"/>
      <c r="J71" s="210"/>
      <c r="K71" s="109" t="s">
        <v>80</v>
      </c>
      <c r="L71" s="110">
        <f>'[1]WACC Calc'!F381</f>
        <v>7.317073170731736E-2</v>
      </c>
      <c r="M71" s="110">
        <f>'[1]WACC Calc'!G381</f>
        <v>7.317073170731736E-2</v>
      </c>
      <c r="N71" s="110">
        <f>'[1]WACC Calc'!H381</f>
        <v>7.317073170731736E-2</v>
      </c>
      <c r="O71" s="110">
        <f>'[1]WACC Calc'!I381</f>
        <v>7.317073170731736E-2</v>
      </c>
      <c r="P71" s="110">
        <f>'[1]WACC Calc'!J381</f>
        <v>7.317073170731736E-2</v>
      </c>
      <c r="Q71" s="110">
        <f>'[1]WACC Calc'!K381</f>
        <v>7.317073170731736E-2</v>
      </c>
      <c r="R71" s="110">
        <f>'[1]WACC Calc'!L381</f>
        <v>7.317073170731736E-2</v>
      </c>
      <c r="S71" s="110">
        <f>'[1]WACC Calc'!M381</f>
        <v>7.317073170731736E-2</v>
      </c>
      <c r="T71" s="110">
        <f>'[1]WACC Calc'!N381</f>
        <v>7.317073170731736E-2</v>
      </c>
      <c r="U71" s="110">
        <f>'[1]WACC Calc'!O381</f>
        <v>7.317073170731736E-2</v>
      </c>
      <c r="V71" s="110">
        <f>'[1]WACC Calc'!P381</f>
        <v>7.317073170731736E-2</v>
      </c>
      <c r="W71" s="110">
        <f>'[1]WACC Calc'!Q381</f>
        <v>7.317073170731736E-2</v>
      </c>
      <c r="X71" s="110">
        <f>'[1]WACC Calc'!R381</f>
        <v>7.317073170731736E-2</v>
      </c>
      <c r="Y71" s="110">
        <f>'[1]WACC Calc'!S381</f>
        <v>7.317073170731736E-2</v>
      </c>
      <c r="Z71" s="110">
        <f>'[1]WACC Calc'!T381</f>
        <v>7.317073170731736E-2</v>
      </c>
      <c r="AA71" s="110">
        <f>'[1]WACC Calc'!U381</f>
        <v>7.317073170731736E-2</v>
      </c>
      <c r="AB71" s="110">
        <f>'[1]WACC Calc'!V381</f>
        <v>7.317073170731736E-2</v>
      </c>
      <c r="AC71" s="110">
        <f>'[1]WACC Calc'!W381</f>
        <v>7.317073170731736E-2</v>
      </c>
      <c r="AD71" s="110">
        <f>'[1]WACC Calc'!X381</f>
        <v>7.317073170731736E-2</v>
      </c>
      <c r="AE71" s="110">
        <f>'[1]WACC Calc'!Y381</f>
        <v>7.317073170731736E-2</v>
      </c>
      <c r="AF71" s="110">
        <f>'[1]WACC Calc'!Z381</f>
        <v>7.317073170731736E-2</v>
      </c>
      <c r="AG71" s="110">
        <f>'[1]WACC Calc'!AA381</f>
        <v>7.317073170731736E-2</v>
      </c>
      <c r="AH71" s="110">
        <f>'[1]WACC Calc'!AB381</f>
        <v>7.317073170731736E-2</v>
      </c>
      <c r="AI71" s="110">
        <f>'[1]WACC Calc'!AC381</f>
        <v>7.317073170731736E-2</v>
      </c>
      <c r="AJ71" s="110">
        <f>'[1]WACC Calc'!AD381</f>
        <v>7.317073170731736E-2</v>
      </c>
      <c r="AK71" s="110">
        <f>'[1]WACC Calc'!AE381</f>
        <v>7.317073170731736E-2</v>
      </c>
      <c r="AL71" s="110">
        <f>'[1]WACC Calc'!AF381</f>
        <v>7.317073170731736E-2</v>
      </c>
      <c r="AM71" s="110">
        <f>'[1]WACC Calc'!AG381</f>
        <v>7.317073170731736E-2</v>
      </c>
      <c r="AN71" s="110">
        <f>'[1]WACC Calc'!AH381</f>
        <v>7.317073170731736E-2</v>
      </c>
      <c r="AO71" s="110">
        <f>'[1]WACC Calc'!AI381</f>
        <v>7.317073170731736E-2</v>
      </c>
      <c r="AP71" s="110">
        <f>'[1]WACC Calc'!AJ381</f>
        <v>7.317073170731736E-2</v>
      </c>
      <c r="AQ71" s="110">
        <f>'[1]WACC Calc'!AK381</f>
        <v>7.317073170731736E-2</v>
      </c>
    </row>
    <row r="72" spans="7:43" ht="14.1" customHeight="1" x14ac:dyDescent="0.25">
      <c r="G72" s="106"/>
      <c r="H72" s="238"/>
      <c r="J72" s="210"/>
      <c r="K72" s="109" t="s">
        <v>81</v>
      </c>
      <c r="L72" s="110">
        <f>'[1]WACC Calc'!F382</f>
        <v>0.68500000000000005</v>
      </c>
      <c r="M72" s="110">
        <f>'[1]WACC Calc'!G382</f>
        <v>0.68500000000000005</v>
      </c>
      <c r="N72" s="110">
        <f>'[1]WACC Calc'!H382</f>
        <v>0.68500000000000005</v>
      </c>
      <c r="O72" s="110">
        <f>'[1]WACC Calc'!I382</f>
        <v>0.68500000000000005</v>
      </c>
      <c r="P72" s="110">
        <f>'[1]WACC Calc'!J382</f>
        <v>0.68500000000000005</v>
      </c>
      <c r="Q72" s="110">
        <f>'[1]WACC Calc'!K382</f>
        <v>0.68500000000000005</v>
      </c>
      <c r="R72" s="110">
        <f>'[1]WACC Calc'!L382</f>
        <v>0.68500000000000005</v>
      </c>
      <c r="S72" s="110">
        <f>'[1]WACC Calc'!M382</f>
        <v>0.68500000000000005</v>
      </c>
      <c r="T72" s="110">
        <f>'[1]WACC Calc'!N382</f>
        <v>0.68500000000000005</v>
      </c>
      <c r="U72" s="110">
        <f>'[1]WACC Calc'!O382</f>
        <v>0.68500000000000005</v>
      </c>
      <c r="V72" s="110">
        <f>'[1]WACC Calc'!P382</f>
        <v>0.68500000000000005</v>
      </c>
      <c r="W72" s="110">
        <f>'[1]WACC Calc'!Q382</f>
        <v>0.68500000000000005</v>
      </c>
      <c r="X72" s="110">
        <f>'[1]WACC Calc'!R382</f>
        <v>0.68500000000000005</v>
      </c>
      <c r="Y72" s="110">
        <f>'[1]WACC Calc'!S382</f>
        <v>0.68500000000000005</v>
      </c>
      <c r="Z72" s="110">
        <f>'[1]WACC Calc'!T382</f>
        <v>0.68500000000000005</v>
      </c>
      <c r="AA72" s="110">
        <f>'[1]WACC Calc'!U382</f>
        <v>0.68500000000000005</v>
      </c>
      <c r="AB72" s="110">
        <f>'[1]WACC Calc'!V382</f>
        <v>0.68500000000000005</v>
      </c>
      <c r="AC72" s="110">
        <f>'[1]WACC Calc'!W382</f>
        <v>0.68500000000000005</v>
      </c>
      <c r="AD72" s="110">
        <f>'[1]WACC Calc'!X382</f>
        <v>0.68500000000000005</v>
      </c>
      <c r="AE72" s="110">
        <f>'[1]WACC Calc'!Y382</f>
        <v>0.68500000000000005</v>
      </c>
      <c r="AF72" s="110">
        <f>'[1]WACC Calc'!Z382</f>
        <v>0.68500000000000005</v>
      </c>
      <c r="AG72" s="110">
        <f>'[1]WACC Calc'!AA382</f>
        <v>0.68500000000000005</v>
      </c>
      <c r="AH72" s="110">
        <f>'[1]WACC Calc'!AB382</f>
        <v>0.68500000000000005</v>
      </c>
      <c r="AI72" s="110">
        <f>'[1]WACC Calc'!AC382</f>
        <v>0.68500000000000005</v>
      </c>
      <c r="AJ72" s="110">
        <f>'[1]WACC Calc'!AD382</f>
        <v>0.68500000000000005</v>
      </c>
      <c r="AK72" s="110">
        <f>'[1]WACC Calc'!AE382</f>
        <v>0.68500000000000005</v>
      </c>
      <c r="AL72" s="110">
        <f>'[1]WACC Calc'!AF382</f>
        <v>0.68500000000000005</v>
      </c>
      <c r="AM72" s="110">
        <f>'[1]WACC Calc'!AG382</f>
        <v>0.68500000000000005</v>
      </c>
      <c r="AN72" s="110">
        <f>'[1]WACC Calc'!AH382</f>
        <v>0.68500000000000005</v>
      </c>
      <c r="AO72" s="110">
        <f>'[1]WACC Calc'!AI382</f>
        <v>0.68500000000000005</v>
      </c>
      <c r="AP72" s="110">
        <f>'[1]WACC Calc'!AJ382</f>
        <v>0.68500000000000005</v>
      </c>
      <c r="AQ72" s="110">
        <f>'[1]WACC Calc'!AK382</f>
        <v>0.68500000000000005</v>
      </c>
    </row>
    <row r="73" spans="7:43" ht="14.1" customHeight="1" x14ac:dyDescent="0.25">
      <c r="G73" s="106"/>
      <c r="H73" s="238"/>
      <c r="J73" s="210"/>
      <c r="K73" s="109" t="s">
        <v>48</v>
      </c>
      <c r="L73" s="110">
        <f>'[1]WACC Calc'!F383</f>
        <v>0.68500000000000005</v>
      </c>
      <c r="M73" s="110">
        <f>'[1]WACC Calc'!G383</f>
        <v>0.68500000000000005</v>
      </c>
      <c r="N73" s="110">
        <f>'[1]WACC Calc'!H383</f>
        <v>0.68500000000000005</v>
      </c>
      <c r="O73" s="110">
        <f>'[1]WACC Calc'!I383</f>
        <v>0.68500000000000005</v>
      </c>
      <c r="P73" s="110">
        <f>'[1]WACC Calc'!J383</f>
        <v>0.68500000000000005</v>
      </c>
      <c r="Q73" s="110">
        <f>'[1]WACC Calc'!K383</f>
        <v>0.68500000000000005</v>
      </c>
      <c r="R73" s="110">
        <f>'[1]WACC Calc'!L383</f>
        <v>0.68500000000000005</v>
      </c>
      <c r="S73" s="110">
        <f>'[1]WACC Calc'!M383</f>
        <v>0.68500000000000005</v>
      </c>
      <c r="T73" s="110">
        <f>'[1]WACC Calc'!N383</f>
        <v>0.68500000000000005</v>
      </c>
      <c r="U73" s="110">
        <f>'[1]WACC Calc'!O383</f>
        <v>0.68500000000000005</v>
      </c>
      <c r="V73" s="110">
        <f>'[1]WACC Calc'!P383</f>
        <v>0.68500000000000005</v>
      </c>
      <c r="W73" s="110">
        <f>'[1]WACC Calc'!Q383</f>
        <v>0.68500000000000005</v>
      </c>
      <c r="X73" s="110">
        <f>'[1]WACC Calc'!R383</f>
        <v>0.68500000000000005</v>
      </c>
      <c r="Y73" s="110">
        <f>'[1]WACC Calc'!S383</f>
        <v>0.68500000000000005</v>
      </c>
      <c r="Z73" s="110">
        <f>'[1]WACC Calc'!T383</f>
        <v>0.68500000000000005</v>
      </c>
      <c r="AA73" s="110">
        <f>'[1]WACC Calc'!U383</f>
        <v>0.68500000000000005</v>
      </c>
      <c r="AB73" s="110">
        <f>'[1]WACC Calc'!V383</f>
        <v>0.68500000000000005</v>
      </c>
      <c r="AC73" s="110">
        <f>'[1]WACC Calc'!W383</f>
        <v>0.68500000000000005</v>
      </c>
      <c r="AD73" s="110">
        <f>'[1]WACC Calc'!X383</f>
        <v>0.68500000000000005</v>
      </c>
      <c r="AE73" s="110">
        <f>'[1]WACC Calc'!Y383</f>
        <v>0.68500000000000005</v>
      </c>
      <c r="AF73" s="110">
        <f>'[1]WACC Calc'!Z383</f>
        <v>0.68500000000000005</v>
      </c>
      <c r="AG73" s="110">
        <f>'[1]WACC Calc'!AA383</f>
        <v>0.68500000000000005</v>
      </c>
      <c r="AH73" s="110">
        <f>'[1]WACC Calc'!AB383</f>
        <v>0.68500000000000005</v>
      </c>
      <c r="AI73" s="110">
        <f>'[1]WACC Calc'!AC383</f>
        <v>0.68500000000000005</v>
      </c>
      <c r="AJ73" s="110">
        <f>'[1]WACC Calc'!AD383</f>
        <v>0.68500000000000005</v>
      </c>
      <c r="AK73" s="110">
        <f>'[1]WACC Calc'!AE383</f>
        <v>0.68500000000000005</v>
      </c>
      <c r="AL73" s="110">
        <f>'[1]WACC Calc'!AF383</f>
        <v>0.68500000000000005</v>
      </c>
      <c r="AM73" s="110">
        <f>'[1]WACC Calc'!AG383</f>
        <v>0.68500000000000005</v>
      </c>
      <c r="AN73" s="110">
        <f>'[1]WACC Calc'!AH383</f>
        <v>0.68500000000000005</v>
      </c>
      <c r="AO73" s="110">
        <f>'[1]WACC Calc'!AI383</f>
        <v>0.68500000000000005</v>
      </c>
      <c r="AP73" s="110">
        <f>'[1]WACC Calc'!AJ383</f>
        <v>0.68500000000000005</v>
      </c>
      <c r="AQ73" s="110">
        <f>'[1]WACC Calc'!AK383</f>
        <v>0.68500000000000005</v>
      </c>
    </row>
    <row r="74" spans="7:43" ht="14.1" customHeight="1" x14ac:dyDescent="0.25">
      <c r="G74" s="106"/>
      <c r="H74" s="238"/>
      <c r="J74" s="210"/>
      <c r="K74" s="109" t="s">
        <v>82</v>
      </c>
      <c r="L74" s="110">
        <f>'[1]WACC Calc'!F384</f>
        <v>0.68500000000000005</v>
      </c>
      <c r="M74" s="110">
        <f>'[1]WACC Calc'!G384</f>
        <v>0.68500000000000005</v>
      </c>
      <c r="N74" s="110">
        <f>'[1]WACC Calc'!H384</f>
        <v>0.68500000000000005</v>
      </c>
      <c r="O74" s="110">
        <f>'[1]WACC Calc'!I384</f>
        <v>0.68500000000000005</v>
      </c>
      <c r="P74" s="110">
        <f>'[1]WACC Calc'!J384</f>
        <v>0.68500000000000005</v>
      </c>
      <c r="Q74" s="110">
        <f>'[1]WACC Calc'!K384</f>
        <v>0.68500000000000005</v>
      </c>
      <c r="R74" s="110">
        <f>'[1]WACC Calc'!L384</f>
        <v>0.68500000000000005</v>
      </c>
      <c r="S74" s="110">
        <f>'[1]WACC Calc'!M384</f>
        <v>0.68500000000000005</v>
      </c>
      <c r="T74" s="110">
        <f>'[1]WACC Calc'!N384</f>
        <v>0.68500000000000005</v>
      </c>
      <c r="U74" s="110">
        <f>'[1]WACC Calc'!O384</f>
        <v>0.68500000000000005</v>
      </c>
      <c r="V74" s="110">
        <f>'[1]WACC Calc'!P384</f>
        <v>0.68500000000000005</v>
      </c>
      <c r="W74" s="110">
        <f>'[1]WACC Calc'!Q384</f>
        <v>0.68500000000000005</v>
      </c>
      <c r="X74" s="110">
        <f>'[1]WACC Calc'!R384</f>
        <v>0.68500000000000005</v>
      </c>
      <c r="Y74" s="110">
        <f>'[1]WACC Calc'!S384</f>
        <v>0.68500000000000005</v>
      </c>
      <c r="Z74" s="110">
        <f>'[1]WACC Calc'!T384</f>
        <v>0.68500000000000005</v>
      </c>
      <c r="AA74" s="110">
        <f>'[1]WACC Calc'!U384</f>
        <v>0.68500000000000005</v>
      </c>
      <c r="AB74" s="110">
        <f>'[1]WACC Calc'!V384</f>
        <v>0.68500000000000005</v>
      </c>
      <c r="AC74" s="110">
        <f>'[1]WACC Calc'!W384</f>
        <v>0.68500000000000005</v>
      </c>
      <c r="AD74" s="110">
        <f>'[1]WACC Calc'!X384</f>
        <v>0.68500000000000005</v>
      </c>
      <c r="AE74" s="110">
        <f>'[1]WACC Calc'!Y384</f>
        <v>0.68500000000000005</v>
      </c>
      <c r="AF74" s="110">
        <f>'[1]WACC Calc'!Z384</f>
        <v>0.68500000000000005</v>
      </c>
      <c r="AG74" s="110">
        <f>'[1]WACC Calc'!AA384</f>
        <v>0.68500000000000005</v>
      </c>
      <c r="AH74" s="110">
        <f>'[1]WACC Calc'!AB384</f>
        <v>0.68500000000000005</v>
      </c>
      <c r="AI74" s="110">
        <f>'[1]WACC Calc'!AC384</f>
        <v>0.68500000000000005</v>
      </c>
      <c r="AJ74" s="110">
        <f>'[1]WACC Calc'!AD384</f>
        <v>0.68500000000000005</v>
      </c>
      <c r="AK74" s="110">
        <f>'[1]WACC Calc'!AE384</f>
        <v>0.68500000000000005</v>
      </c>
      <c r="AL74" s="110">
        <f>'[1]WACC Calc'!AF384</f>
        <v>0.68500000000000005</v>
      </c>
      <c r="AM74" s="110">
        <f>'[1]WACC Calc'!AG384</f>
        <v>0.68500000000000005</v>
      </c>
      <c r="AN74" s="110">
        <f>'[1]WACC Calc'!AH384</f>
        <v>0.68500000000000005</v>
      </c>
      <c r="AO74" s="110">
        <f>'[1]WACC Calc'!AI384</f>
        <v>0.68500000000000005</v>
      </c>
      <c r="AP74" s="110">
        <f>'[1]WACC Calc'!AJ384</f>
        <v>0.68500000000000005</v>
      </c>
      <c r="AQ74" s="110">
        <f>'[1]WACC Calc'!AK384</f>
        <v>0.68500000000000005</v>
      </c>
    </row>
    <row r="75" spans="7:43" ht="14.1" customHeight="1" x14ac:dyDescent="0.25">
      <c r="G75" s="106"/>
      <c r="H75" s="238"/>
      <c r="J75" s="210"/>
      <c r="K75" s="109" t="s">
        <v>49</v>
      </c>
      <c r="L75" s="110">
        <f>'[1]WACC Calc'!F385</f>
        <v>0.25740000000000002</v>
      </c>
      <c r="M75" s="110">
        <f>'[1]WACC Calc'!G385</f>
        <v>0.25740000000000002</v>
      </c>
      <c r="N75" s="110">
        <f>'[1]WACC Calc'!H385</f>
        <v>0.25740000000000002</v>
      </c>
      <c r="O75" s="110">
        <f>'[1]WACC Calc'!I385</f>
        <v>0.25740000000000002</v>
      </c>
      <c r="P75" s="110">
        <f>'[1]WACC Calc'!J385</f>
        <v>0.25740000000000002</v>
      </c>
      <c r="Q75" s="110">
        <f>'[1]WACC Calc'!K385</f>
        <v>0.25740000000000002</v>
      </c>
      <c r="R75" s="110">
        <f>'[1]WACC Calc'!L385</f>
        <v>0.25740000000000002</v>
      </c>
      <c r="S75" s="110">
        <f>'[1]WACC Calc'!M385</f>
        <v>0.25740000000000002</v>
      </c>
      <c r="T75" s="110">
        <f>'[1]WACC Calc'!N385</f>
        <v>0.25740000000000002</v>
      </c>
      <c r="U75" s="110">
        <f>'[1]WACC Calc'!O385</f>
        <v>0.25740000000000002</v>
      </c>
      <c r="V75" s="110">
        <f>'[1]WACC Calc'!P385</f>
        <v>0.25740000000000002</v>
      </c>
      <c r="W75" s="110">
        <f>'[1]WACC Calc'!Q385</f>
        <v>0.25740000000000002</v>
      </c>
      <c r="X75" s="110">
        <f>'[1]WACC Calc'!R385</f>
        <v>0.25740000000000002</v>
      </c>
      <c r="Y75" s="110">
        <f>'[1]WACC Calc'!S385</f>
        <v>0.25740000000000002</v>
      </c>
      <c r="Z75" s="110">
        <f>'[1]WACC Calc'!T385</f>
        <v>0.25740000000000002</v>
      </c>
      <c r="AA75" s="110">
        <f>'[1]WACC Calc'!U385</f>
        <v>0.25740000000000002</v>
      </c>
      <c r="AB75" s="110">
        <f>'[1]WACC Calc'!V385</f>
        <v>0.25740000000000002</v>
      </c>
      <c r="AC75" s="110">
        <f>'[1]WACC Calc'!W385</f>
        <v>0.25740000000000002</v>
      </c>
      <c r="AD75" s="110">
        <f>'[1]WACC Calc'!X385</f>
        <v>0.25740000000000002</v>
      </c>
      <c r="AE75" s="110">
        <f>'[1]WACC Calc'!Y385</f>
        <v>0.25740000000000002</v>
      </c>
      <c r="AF75" s="110">
        <f>'[1]WACC Calc'!Z385</f>
        <v>0.25740000000000002</v>
      </c>
      <c r="AG75" s="110">
        <f>'[1]WACC Calc'!AA385</f>
        <v>0.25740000000000002</v>
      </c>
      <c r="AH75" s="110">
        <f>'[1]WACC Calc'!AB385</f>
        <v>0.25740000000000002</v>
      </c>
      <c r="AI75" s="110">
        <f>'[1]WACC Calc'!AC385</f>
        <v>0.25740000000000002</v>
      </c>
      <c r="AJ75" s="110">
        <f>'[1]WACC Calc'!AD385</f>
        <v>0.25740000000000002</v>
      </c>
      <c r="AK75" s="110">
        <f>'[1]WACC Calc'!AE385</f>
        <v>0.25740000000000002</v>
      </c>
      <c r="AL75" s="110">
        <f>'[1]WACC Calc'!AF385</f>
        <v>0.25740000000000002</v>
      </c>
      <c r="AM75" s="110">
        <f>'[1]WACC Calc'!AG385</f>
        <v>0.25740000000000002</v>
      </c>
      <c r="AN75" s="110">
        <f>'[1]WACC Calc'!AH385</f>
        <v>0.25740000000000002</v>
      </c>
      <c r="AO75" s="110">
        <f>'[1]WACC Calc'!AI385</f>
        <v>0.25740000000000002</v>
      </c>
      <c r="AP75" s="110">
        <f>'[1]WACC Calc'!AJ385</f>
        <v>0.25740000000000002</v>
      </c>
      <c r="AQ75" s="110">
        <f>'[1]WACC Calc'!AK385</f>
        <v>0.25740000000000002</v>
      </c>
    </row>
    <row r="76" spans="7:43" ht="14.1" customHeight="1" x14ac:dyDescent="0.25">
      <c r="G76" s="106"/>
      <c r="H76" s="238"/>
      <c r="J76" s="210"/>
      <c r="K76" s="109" t="s">
        <v>83</v>
      </c>
      <c r="L76" s="110">
        <f>'[1]WACC Calc'!F386</f>
        <v>5.1847239999999996E-2</v>
      </c>
      <c r="M76" s="110">
        <f>'[1]WACC Calc'!G386</f>
        <v>5.1847239999999996E-2</v>
      </c>
      <c r="N76" s="110">
        <f>'[1]WACC Calc'!H386</f>
        <v>5.1847239999999996E-2</v>
      </c>
      <c r="O76" s="110">
        <f>'[1]WACC Calc'!I386</f>
        <v>5.1847239999999996E-2</v>
      </c>
      <c r="P76" s="110">
        <f>'[1]WACC Calc'!J386</f>
        <v>5.1847239999999996E-2</v>
      </c>
      <c r="Q76" s="110">
        <f>'[1]WACC Calc'!K386</f>
        <v>5.1847239999999996E-2</v>
      </c>
      <c r="R76" s="110">
        <f>'[1]WACC Calc'!L386</f>
        <v>5.1847239999999996E-2</v>
      </c>
      <c r="S76" s="110">
        <f>'[1]WACC Calc'!M386</f>
        <v>5.1847239999999996E-2</v>
      </c>
      <c r="T76" s="110">
        <f>'[1]WACC Calc'!N386</f>
        <v>5.1847239999999996E-2</v>
      </c>
      <c r="U76" s="110">
        <f>'[1]WACC Calc'!O386</f>
        <v>5.1847239999999996E-2</v>
      </c>
      <c r="V76" s="110">
        <f>'[1]WACC Calc'!P386</f>
        <v>5.1847239999999996E-2</v>
      </c>
      <c r="W76" s="110">
        <f>'[1]WACC Calc'!Q386</f>
        <v>5.1847239999999996E-2</v>
      </c>
      <c r="X76" s="110">
        <f>'[1]WACC Calc'!R386</f>
        <v>5.1847239999999996E-2</v>
      </c>
      <c r="Y76" s="110">
        <f>'[1]WACC Calc'!S386</f>
        <v>5.1847239999999996E-2</v>
      </c>
      <c r="Z76" s="110">
        <f>'[1]WACC Calc'!T386</f>
        <v>5.1847239999999996E-2</v>
      </c>
      <c r="AA76" s="110">
        <f>'[1]WACC Calc'!U386</f>
        <v>5.1847239999999996E-2</v>
      </c>
      <c r="AB76" s="110">
        <f>'[1]WACC Calc'!V386</f>
        <v>5.1847239999999996E-2</v>
      </c>
      <c r="AC76" s="110">
        <f>'[1]WACC Calc'!W386</f>
        <v>5.1847239999999996E-2</v>
      </c>
      <c r="AD76" s="110">
        <f>'[1]WACC Calc'!X386</f>
        <v>5.1847239999999996E-2</v>
      </c>
      <c r="AE76" s="110">
        <f>'[1]WACC Calc'!Y386</f>
        <v>5.1847239999999996E-2</v>
      </c>
      <c r="AF76" s="110">
        <f>'[1]WACC Calc'!Z386</f>
        <v>5.1847239999999996E-2</v>
      </c>
      <c r="AG76" s="110">
        <f>'[1]WACC Calc'!AA386</f>
        <v>5.1847239999999996E-2</v>
      </c>
      <c r="AH76" s="110">
        <f>'[1]WACC Calc'!AB386</f>
        <v>5.1847239999999996E-2</v>
      </c>
      <c r="AI76" s="110">
        <f>'[1]WACC Calc'!AC386</f>
        <v>5.1847239999999996E-2</v>
      </c>
      <c r="AJ76" s="110">
        <f>'[1]WACC Calc'!AD386</f>
        <v>5.1847239999999996E-2</v>
      </c>
      <c r="AK76" s="110">
        <f>'[1]WACC Calc'!AE386</f>
        <v>5.1847239999999996E-2</v>
      </c>
      <c r="AL76" s="110">
        <f>'[1]WACC Calc'!AF386</f>
        <v>5.1847239999999996E-2</v>
      </c>
      <c r="AM76" s="110">
        <f>'[1]WACC Calc'!AG386</f>
        <v>5.1847239999999996E-2</v>
      </c>
      <c r="AN76" s="110">
        <f>'[1]WACC Calc'!AH386</f>
        <v>5.1847239999999996E-2</v>
      </c>
      <c r="AO76" s="110">
        <f>'[1]WACC Calc'!AI386</f>
        <v>5.1847239999999996E-2</v>
      </c>
      <c r="AP76" s="110">
        <f>'[1]WACC Calc'!AJ386</f>
        <v>5.1847239999999996E-2</v>
      </c>
      <c r="AQ76" s="110">
        <f>'[1]WACC Calc'!AK386</f>
        <v>5.1847239999999996E-2</v>
      </c>
    </row>
    <row r="77" spans="7:43" ht="14.1" customHeight="1" x14ac:dyDescent="0.25">
      <c r="G77" s="106"/>
      <c r="H77" s="238"/>
      <c r="J77" s="210"/>
      <c r="K77" s="109" t="s">
        <v>50</v>
      </c>
      <c r="L77" s="110">
        <f>'[1]WACC Calc'!F387</f>
        <v>5.1847239999999996E-2</v>
      </c>
      <c r="M77" s="110">
        <f>'[1]WACC Calc'!G387</f>
        <v>5.1847239999999996E-2</v>
      </c>
      <c r="N77" s="110">
        <f>'[1]WACC Calc'!H387</f>
        <v>5.1847239999999996E-2</v>
      </c>
      <c r="O77" s="110">
        <f>'[1]WACC Calc'!I387</f>
        <v>5.1847239999999996E-2</v>
      </c>
      <c r="P77" s="110">
        <f>'[1]WACC Calc'!J387</f>
        <v>5.1847239999999996E-2</v>
      </c>
      <c r="Q77" s="110">
        <f>'[1]WACC Calc'!K387</f>
        <v>5.1847239999999996E-2</v>
      </c>
      <c r="R77" s="110">
        <f>'[1]WACC Calc'!L387</f>
        <v>5.1847239999999996E-2</v>
      </c>
      <c r="S77" s="110">
        <f>'[1]WACC Calc'!M387</f>
        <v>5.1847239999999996E-2</v>
      </c>
      <c r="T77" s="110">
        <f>'[1]WACC Calc'!N387</f>
        <v>5.1847239999999996E-2</v>
      </c>
      <c r="U77" s="110">
        <f>'[1]WACC Calc'!O387</f>
        <v>5.1847239999999996E-2</v>
      </c>
      <c r="V77" s="110">
        <f>'[1]WACC Calc'!P387</f>
        <v>5.1847239999999996E-2</v>
      </c>
      <c r="W77" s="110">
        <f>'[1]WACC Calc'!Q387</f>
        <v>5.1847239999999996E-2</v>
      </c>
      <c r="X77" s="110">
        <f>'[1]WACC Calc'!R387</f>
        <v>5.1847239999999996E-2</v>
      </c>
      <c r="Y77" s="110">
        <f>'[1]WACC Calc'!S387</f>
        <v>5.1847239999999996E-2</v>
      </c>
      <c r="Z77" s="110">
        <f>'[1]WACC Calc'!T387</f>
        <v>5.1847239999999996E-2</v>
      </c>
      <c r="AA77" s="110">
        <f>'[1]WACC Calc'!U387</f>
        <v>5.1847239999999996E-2</v>
      </c>
      <c r="AB77" s="110">
        <f>'[1]WACC Calc'!V387</f>
        <v>5.1847239999999996E-2</v>
      </c>
      <c r="AC77" s="110">
        <f>'[1]WACC Calc'!W387</f>
        <v>5.1847239999999996E-2</v>
      </c>
      <c r="AD77" s="110">
        <f>'[1]WACC Calc'!X387</f>
        <v>5.1847239999999996E-2</v>
      </c>
      <c r="AE77" s="110">
        <f>'[1]WACC Calc'!Y387</f>
        <v>5.1847239999999996E-2</v>
      </c>
      <c r="AF77" s="110">
        <f>'[1]WACC Calc'!Z387</f>
        <v>5.1847239999999996E-2</v>
      </c>
      <c r="AG77" s="110">
        <f>'[1]WACC Calc'!AA387</f>
        <v>5.1847239999999996E-2</v>
      </c>
      <c r="AH77" s="110">
        <f>'[1]WACC Calc'!AB387</f>
        <v>5.1847239999999996E-2</v>
      </c>
      <c r="AI77" s="110">
        <f>'[1]WACC Calc'!AC387</f>
        <v>5.1847239999999996E-2</v>
      </c>
      <c r="AJ77" s="110">
        <f>'[1]WACC Calc'!AD387</f>
        <v>5.1847239999999996E-2</v>
      </c>
      <c r="AK77" s="110">
        <f>'[1]WACC Calc'!AE387</f>
        <v>5.1847239999999996E-2</v>
      </c>
      <c r="AL77" s="110">
        <f>'[1]WACC Calc'!AF387</f>
        <v>5.1847239999999996E-2</v>
      </c>
      <c r="AM77" s="110">
        <f>'[1]WACC Calc'!AG387</f>
        <v>5.1847239999999996E-2</v>
      </c>
      <c r="AN77" s="110">
        <f>'[1]WACC Calc'!AH387</f>
        <v>5.1847239999999996E-2</v>
      </c>
      <c r="AO77" s="110">
        <f>'[1]WACC Calc'!AI387</f>
        <v>5.1847239999999996E-2</v>
      </c>
      <c r="AP77" s="110">
        <f>'[1]WACC Calc'!AJ387</f>
        <v>5.1847239999999996E-2</v>
      </c>
      <c r="AQ77" s="110">
        <f>'[1]WACC Calc'!AK387</f>
        <v>5.1847239999999996E-2</v>
      </c>
    </row>
    <row r="78" spans="7:43" ht="14.1" customHeight="1" x14ac:dyDescent="0.25">
      <c r="G78" s="106"/>
      <c r="H78" s="238"/>
      <c r="J78" s="210"/>
      <c r="K78" s="109" t="s">
        <v>84</v>
      </c>
      <c r="L78" s="110">
        <f>'[1]WACC Calc'!F388</f>
        <v>5.1847239999999996E-2</v>
      </c>
      <c r="M78" s="110">
        <f>'[1]WACC Calc'!G388</f>
        <v>5.1847239999999996E-2</v>
      </c>
      <c r="N78" s="110">
        <f>'[1]WACC Calc'!H388</f>
        <v>5.1847239999999996E-2</v>
      </c>
      <c r="O78" s="110">
        <f>'[1]WACC Calc'!I388</f>
        <v>5.1847239999999996E-2</v>
      </c>
      <c r="P78" s="110">
        <f>'[1]WACC Calc'!J388</f>
        <v>5.1847239999999996E-2</v>
      </c>
      <c r="Q78" s="110">
        <f>'[1]WACC Calc'!K388</f>
        <v>5.1847239999999996E-2</v>
      </c>
      <c r="R78" s="110">
        <f>'[1]WACC Calc'!L388</f>
        <v>5.1847239999999996E-2</v>
      </c>
      <c r="S78" s="110">
        <f>'[1]WACC Calc'!M388</f>
        <v>5.1847239999999996E-2</v>
      </c>
      <c r="T78" s="110">
        <f>'[1]WACC Calc'!N388</f>
        <v>5.1847239999999996E-2</v>
      </c>
      <c r="U78" s="110">
        <f>'[1]WACC Calc'!O388</f>
        <v>5.1847239999999996E-2</v>
      </c>
      <c r="V78" s="110">
        <f>'[1]WACC Calc'!P388</f>
        <v>5.1847239999999996E-2</v>
      </c>
      <c r="W78" s="110">
        <f>'[1]WACC Calc'!Q388</f>
        <v>5.1847239999999996E-2</v>
      </c>
      <c r="X78" s="110">
        <f>'[1]WACC Calc'!R388</f>
        <v>5.1847239999999996E-2</v>
      </c>
      <c r="Y78" s="110">
        <f>'[1]WACC Calc'!S388</f>
        <v>5.1847239999999996E-2</v>
      </c>
      <c r="Z78" s="110">
        <f>'[1]WACC Calc'!T388</f>
        <v>5.1847239999999996E-2</v>
      </c>
      <c r="AA78" s="110">
        <f>'[1]WACC Calc'!U388</f>
        <v>5.1847239999999996E-2</v>
      </c>
      <c r="AB78" s="110">
        <f>'[1]WACC Calc'!V388</f>
        <v>5.1847239999999996E-2</v>
      </c>
      <c r="AC78" s="110">
        <f>'[1]WACC Calc'!W388</f>
        <v>5.1847239999999996E-2</v>
      </c>
      <c r="AD78" s="110">
        <f>'[1]WACC Calc'!X388</f>
        <v>5.1847239999999996E-2</v>
      </c>
      <c r="AE78" s="110">
        <f>'[1]WACC Calc'!Y388</f>
        <v>5.1847239999999996E-2</v>
      </c>
      <c r="AF78" s="110">
        <f>'[1]WACC Calc'!Z388</f>
        <v>5.1847239999999996E-2</v>
      </c>
      <c r="AG78" s="110">
        <f>'[1]WACC Calc'!AA388</f>
        <v>5.1847239999999996E-2</v>
      </c>
      <c r="AH78" s="110">
        <f>'[1]WACC Calc'!AB388</f>
        <v>5.1847239999999996E-2</v>
      </c>
      <c r="AI78" s="110">
        <f>'[1]WACC Calc'!AC388</f>
        <v>5.1847239999999996E-2</v>
      </c>
      <c r="AJ78" s="110">
        <f>'[1]WACC Calc'!AD388</f>
        <v>5.1847239999999996E-2</v>
      </c>
      <c r="AK78" s="110">
        <f>'[1]WACC Calc'!AE388</f>
        <v>5.1847239999999996E-2</v>
      </c>
      <c r="AL78" s="110">
        <f>'[1]WACC Calc'!AF388</f>
        <v>5.1847239999999996E-2</v>
      </c>
      <c r="AM78" s="110">
        <f>'[1]WACC Calc'!AG388</f>
        <v>5.1847239999999996E-2</v>
      </c>
      <c r="AN78" s="110">
        <f>'[1]WACC Calc'!AH388</f>
        <v>5.1847239999999996E-2</v>
      </c>
      <c r="AO78" s="110">
        <f>'[1]WACC Calc'!AI388</f>
        <v>5.1847239999999996E-2</v>
      </c>
      <c r="AP78" s="110">
        <f>'[1]WACC Calc'!AJ388</f>
        <v>5.1847239999999996E-2</v>
      </c>
      <c r="AQ78" s="110">
        <f>'[1]WACC Calc'!AK388</f>
        <v>5.1847239999999996E-2</v>
      </c>
    </row>
    <row r="79" spans="7:43" ht="14.1" customHeight="1" x14ac:dyDescent="0.25">
      <c r="G79" s="106"/>
      <c r="H79" s="238"/>
      <c r="J79" s="210"/>
      <c r="K79" s="109" t="s">
        <v>85</v>
      </c>
      <c r="L79" s="110">
        <f>'[1]WACC Calc'!F389</f>
        <v>2.6192429268292905E-2</v>
      </c>
      <c r="M79" s="110">
        <f>'[1]WACC Calc'!G389</f>
        <v>2.6192429268292905E-2</v>
      </c>
      <c r="N79" s="110">
        <f>'[1]WACC Calc'!H389</f>
        <v>2.6192429268292905E-2</v>
      </c>
      <c r="O79" s="110">
        <f>'[1]WACC Calc'!I389</f>
        <v>2.6192429268292905E-2</v>
      </c>
      <c r="P79" s="110">
        <f>'[1]WACC Calc'!J389</f>
        <v>2.6192429268292905E-2</v>
      </c>
      <c r="Q79" s="110">
        <f>'[1]WACC Calc'!K389</f>
        <v>2.6192429268292905E-2</v>
      </c>
      <c r="R79" s="110">
        <f>'[1]WACC Calc'!L389</f>
        <v>2.6192429268292905E-2</v>
      </c>
      <c r="S79" s="110">
        <f>'[1]WACC Calc'!M389</f>
        <v>2.6192429268292905E-2</v>
      </c>
      <c r="T79" s="110">
        <f>'[1]WACC Calc'!N389</f>
        <v>2.6192429268292905E-2</v>
      </c>
      <c r="U79" s="110">
        <f>'[1]WACC Calc'!O389</f>
        <v>2.6192429268292905E-2</v>
      </c>
      <c r="V79" s="110">
        <f>'[1]WACC Calc'!P389</f>
        <v>2.6192429268292905E-2</v>
      </c>
      <c r="W79" s="110">
        <f>'[1]WACC Calc'!Q389</f>
        <v>2.6192429268292905E-2</v>
      </c>
      <c r="X79" s="110">
        <f>'[1]WACC Calc'!R389</f>
        <v>2.6192429268292905E-2</v>
      </c>
      <c r="Y79" s="110">
        <f>'[1]WACC Calc'!S389</f>
        <v>2.6192429268292905E-2</v>
      </c>
      <c r="Z79" s="110">
        <f>'[1]WACC Calc'!T389</f>
        <v>2.6192429268292905E-2</v>
      </c>
      <c r="AA79" s="110">
        <f>'[1]WACC Calc'!U389</f>
        <v>2.6192429268292905E-2</v>
      </c>
      <c r="AB79" s="110">
        <f>'[1]WACC Calc'!V389</f>
        <v>2.6192429268292905E-2</v>
      </c>
      <c r="AC79" s="110">
        <f>'[1]WACC Calc'!W389</f>
        <v>2.6192429268292905E-2</v>
      </c>
      <c r="AD79" s="110">
        <f>'[1]WACC Calc'!X389</f>
        <v>2.6192429268292905E-2</v>
      </c>
      <c r="AE79" s="110">
        <f>'[1]WACC Calc'!Y389</f>
        <v>2.6192429268292905E-2</v>
      </c>
      <c r="AF79" s="110">
        <f>'[1]WACC Calc'!Z389</f>
        <v>2.6192429268292905E-2</v>
      </c>
      <c r="AG79" s="110">
        <f>'[1]WACC Calc'!AA389</f>
        <v>2.6192429268292905E-2</v>
      </c>
      <c r="AH79" s="110">
        <f>'[1]WACC Calc'!AB389</f>
        <v>2.6192429268292905E-2</v>
      </c>
      <c r="AI79" s="110">
        <f>'[1]WACC Calc'!AC389</f>
        <v>2.6192429268292905E-2</v>
      </c>
      <c r="AJ79" s="110">
        <f>'[1]WACC Calc'!AD389</f>
        <v>2.6192429268292905E-2</v>
      </c>
      <c r="AK79" s="110">
        <f>'[1]WACC Calc'!AE389</f>
        <v>2.6192429268292905E-2</v>
      </c>
      <c r="AL79" s="110">
        <f>'[1]WACC Calc'!AF389</f>
        <v>2.6192429268292905E-2</v>
      </c>
      <c r="AM79" s="110">
        <f>'[1]WACC Calc'!AG389</f>
        <v>2.6192429268292905E-2</v>
      </c>
      <c r="AN79" s="110">
        <f>'[1]WACC Calc'!AH389</f>
        <v>2.6192429268292905E-2</v>
      </c>
      <c r="AO79" s="110">
        <f>'[1]WACC Calc'!AI389</f>
        <v>2.6192429268292905E-2</v>
      </c>
      <c r="AP79" s="110">
        <f>'[1]WACC Calc'!AJ389</f>
        <v>2.6192429268292905E-2</v>
      </c>
      <c r="AQ79" s="110">
        <f>'[1]WACC Calc'!AK389</f>
        <v>2.6192429268292905E-2</v>
      </c>
    </row>
    <row r="80" spans="7:43" ht="14.1" customHeight="1" x14ac:dyDescent="0.25">
      <c r="G80" s="106"/>
      <c r="H80" s="238"/>
      <c r="J80" s="210"/>
      <c r="K80" s="109" t="s">
        <v>51</v>
      </c>
      <c r="L80" s="110">
        <f>'[1]WACC Calc'!F390</f>
        <v>2.6192429268292905E-2</v>
      </c>
      <c r="M80" s="110">
        <f>'[1]WACC Calc'!G390</f>
        <v>2.6192429268292905E-2</v>
      </c>
      <c r="N80" s="110">
        <f>'[1]WACC Calc'!H390</f>
        <v>2.6192429268292905E-2</v>
      </c>
      <c r="O80" s="110">
        <f>'[1]WACC Calc'!I390</f>
        <v>2.6192429268292905E-2</v>
      </c>
      <c r="P80" s="110">
        <f>'[1]WACC Calc'!J390</f>
        <v>2.6192429268292905E-2</v>
      </c>
      <c r="Q80" s="110">
        <f>'[1]WACC Calc'!K390</f>
        <v>2.6192429268292905E-2</v>
      </c>
      <c r="R80" s="110">
        <f>'[1]WACC Calc'!L390</f>
        <v>2.6192429268292905E-2</v>
      </c>
      <c r="S80" s="110">
        <f>'[1]WACC Calc'!M390</f>
        <v>2.6192429268292905E-2</v>
      </c>
      <c r="T80" s="110">
        <f>'[1]WACC Calc'!N390</f>
        <v>2.6192429268292905E-2</v>
      </c>
      <c r="U80" s="110">
        <f>'[1]WACC Calc'!O390</f>
        <v>2.6192429268292905E-2</v>
      </c>
      <c r="V80" s="110">
        <f>'[1]WACC Calc'!P390</f>
        <v>2.6192429268292905E-2</v>
      </c>
      <c r="W80" s="110">
        <f>'[1]WACC Calc'!Q390</f>
        <v>2.6192429268292905E-2</v>
      </c>
      <c r="X80" s="110">
        <f>'[1]WACC Calc'!R390</f>
        <v>2.6192429268292905E-2</v>
      </c>
      <c r="Y80" s="110">
        <f>'[1]WACC Calc'!S390</f>
        <v>2.6192429268292905E-2</v>
      </c>
      <c r="Z80" s="110">
        <f>'[1]WACC Calc'!T390</f>
        <v>2.6192429268292905E-2</v>
      </c>
      <c r="AA80" s="110">
        <f>'[1]WACC Calc'!U390</f>
        <v>2.6192429268292905E-2</v>
      </c>
      <c r="AB80" s="110">
        <f>'[1]WACC Calc'!V390</f>
        <v>2.6192429268292905E-2</v>
      </c>
      <c r="AC80" s="110">
        <f>'[1]WACC Calc'!W390</f>
        <v>2.6192429268292905E-2</v>
      </c>
      <c r="AD80" s="110">
        <f>'[1]WACC Calc'!X390</f>
        <v>2.6192429268292905E-2</v>
      </c>
      <c r="AE80" s="110">
        <f>'[1]WACC Calc'!Y390</f>
        <v>2.6192429268292905E-2</v>
      </c>
      <c r="AF80" s="110">
        <f>'[1]WACC Calc'!Z390</f>
        <v>2.6192429268292905E-2</v>
      </c>
      <c r="AG80" s="110">
        <f>'[1]WACC Calc'!AA390</f>
        <v>2.6192429268292905E-2</v>
      </c>
      <c r="AH80" s="110">
        <f>'[1]WACC Calc'!AB390</f>
        <v>2.6192429268292905E-2</v>
      </c>
      <c r="AI80" s="110">
        <f>'[1]WACC Calc'!AC390</f>
        <v>2.6192429268292905E-2</v>
      </c>
      <c r="AJ80" s="110">
        <f>'[1]WACC Calc'!AD390</f>
        <v>2.6192429268292905E-2</v>
      </c>
      <c r="AK80" s="110">
        <f>'[1]WACC Calc'!AE390</f>
        <v>2.6192429268292905E-2</v>
      </c>
      <c r="AL80" s="110">
        <f>'[1]WACC Calc'!AF390</f>
        <v>2.6192429268292905E-2</v>
      </c>
      <c r="AM80" s="110">
        <f>'[1]WACC Calc'!AG390</f>
        <v>2.6192429268292905E-2</v>
      </c>
      <c r="AN80" s="110">
        <f>'[1]WACC Calc'!AH390</f>
        <v>2.6192429268292905E-2</v>
      </c>
      <c r="AO80" s="110">
        <f>'[1]WACC Calc'!AI390</f>
        <v>2.6192429268292905E-2</v>
      </c>
      <c r="AP80" s="110">
        <f>'[1]WACC Calc'!AJ390</f>
        <v>2.6192429268292905E-2</v>
      </c>
      <c r="AQ80" s="110">
        <f>'[1]WACC Calc'!AK390</f>
        <v>2.6192429268292905E-2</v>
      </c>
    </row>
    <row r="81" spans="4:43" ht="14.1" customHeight="1" x14ac:dyDescent="0.25">
      <c r="G81" s="106"/>
      <c r="H81" s="238"/>
      <c r="J81" s="210"/>
      <c r="K81" s="109" t="s">
        <v>86</v>
      </c>
      <c r="L81" s="110">
        <f>'[1]WACC Calc'!F391</f>
        <v>2.6192429268292905E-2</v>
      </c>
      <c r="M81" s="110">
        <f>'[1]WACC Calc'!G391</f>
        <v>2.6192429268292905E-2</v>
      </c>
      <c r="N81" s="110">
        <f>'[1]WACC Calc'!H391</f>
        <v>2.6192429268292905E-2</v>
      </c>
      <c r="O81" s="110">
        <f>'[1]WACC Calc'!I391</f>
        <v>2.6192429268292905E-2</v>
      </c>
      <c r="P81" s="110">
        <f>'[1]WACC Calc'!J391</f>
        <v>2.6192429268292905E-2</v>
      </c>
      <c r="Q81" s="110">
        <f>'[1]WACC Calc'!K391</f>
        <v>2.6192429268292905E-2</v>
      </c>
      <c r="R81" s="110">
        <f>'[1]WACC Calc'!L391</f>
        <v>2.6192429268292905E-2</v>
      </c>
      <c r="S81" s="110">
        <f>'[1]WACC Calc'!M391</f>
        <v>2.6192429268292905E-2</v>
      </c>
      <c r="T81" s="110">
        <f>'[1]WACC Calc'!N391</f>
        <v>2.6192429268292905E-2</v>
      </c>
      <c r="U81" s="110">
        <f>'[1]WACC Calc'!O391</f>
        <v>2.6192429268292905E-2</v>
      </c>
      <c r="V81" s="110">
        <f>'[1]WACC Calc'!P391</f>
        <v>2.6192429268292905E-2</v>
      </c>
      <c r="W81" s="110">
        <f>'[1]WACC Calc'!Q391</f>
        <v>2.6192429268292905E-2</v>
      </c>
      <c r="X81" s="110">
        <f>'[1]WACC Calc'!R391</f>
        <v>2.6192429268292905E-2</v>
      </c>
      <c r="Y81" s="110">
        <f>'[1]WACC Calc'!S391</f>
        <v>2.6192429268292905E-2</v>
      </c>
      <c r="Z81" s="110">
        <f>'[1]WACC Calc'!T391</f>
        <v>2.6192429268292905E-2</v>
      </c>
      <c r="AA81" s="110">
        <f>'[1]WACC Calc'!U391</f>
        <v>2.6192429268292905E-2</v>
      </c>
      <c r="AB81" s="110">
        <f>'[1]WACC Calc'!V391</f>
        <v>2.6192429268292905E-2</v>
      </c>
      <c r="AC81" s="110">
        <f>'[1]WACC Calc'!W391</f>
        <v>2.6192429268292905E-2</v>
      </c>
      <c r="AD81" s="110">
        <f>'[1]WACC Calc'!X391</f>
        <v>2.6192429268292905E-2</v>
      </c>
      <c r="AE81" s="110">
        <f>'[1]WACC Calc'!Y391</f>
        <v>2.6192429268292905E-2</v>
      </c>
      <c r="AF81" s="110">
        <f>'[1]WACC Calc'!Z391</f>
        <v>2.6192429268292905E-2</v>
      </c>
      <c r="AG81" s="110">
        <f>'[1]WACC Calc'!AA391</f>
        <v>2.6192429268292905E-2</v>
      </c>
      <c r="AH81" s="110">
        <f>'[1]WACC Calc'!AB391</f>
        <v>2.6192429268292905E-2</v>
      </c>
      <c r="AI81" s="110">
        <f>'[1]WACC Calc'!AC391</f>
        <v>2.6192429268292905E-2</v>
      </c>
      <c r="AJ81" s="110">
        <f>'[1]WACC Calc'!AD391</f>
        <v>2.6192429268292905E-2</v>
      </c>
      <c r="AK81" s="110">
        <f>'[1]WACC Calc'!AE391</f>
        <v>2.6192429268292905E-2</v>
      </c>
      <c r="AL81" s="110">
        <f>'[1]WACC Calc'!AF391</f>
        <v>2.6192429268292905E-2</v>
      </c>
      <c r="AM81" s="110">
        <f>'[1]WACC Calc'!AG391</f>
        <v>2.6192429268292905E-2</v>
      </c>
      <c r="AN81" s="110">
        <f>'[1]WACC Calc'!AH391</f>
        <v>2.6192429268292905E-2</v>
      </c>
      <c r="AO81" s="110">
        <f>'[1]WACC Calc'!AI391</f>
        <v>2.6192429268292905E-2</v>
      </c>
      <c r="AP81" s="110">
        <f>'[1]WACC Calc'!AJ391</f>
        <v>2.6192429268292905E-2</v>
      </c>
      <c r="AQ81" s="110">
        <f>'[1]WACC Calc'!AK391</f>
        <v>2.6192429268292905E-2</v>
      </c>
    </row>
    <row r="82" spans="4:43" ht="14.1" customHeight="1" x14ac:dyDescent="0.25">
      <c r="G82" s="106"/>
      <c r="H82" s="238"/>
      <c r="J82" s="210"/>
      <c r="K82" s="111" t="s">
        <v>87</v>
      </c>
      <c r="L82" s="110">
        <f t="shared" ref="L82:AQ87" si="2" xml:space="preserve"> L76 / (1 - (1 / (1 + L76)^$N$32))</f>
        <v>6.642760701924641E-2</v>
      </c>
      <c r="M82" s="110">
        <f t="shared" si="2"/>
        <v>6.642760701924641E-2</v>
      </c>
      <c r="N82" s="110">
        <f t="shared" si="2"/>
        <v>6.642760701924641E-2</v>
      </c>
      <c r="O82" s="110">
        <f t="shared" si="2"/>
        <v>6.642760701924641E-2</v>
      </c>
      <c r="P82" s="110">
        <f t="shared" si="2"/>
        <v>6.642760701924641E-2</v>
      </c>
      <c r="Q82" s="110">
        <f t="shared" si="2"/>
        <v>6.642760701924641E-2</v>
      </c>
      <c r="R82" s="110">
        <f t="shared" si="2"/>
        <v>6.642760701924641E-2</v>
      </c>
      <c r="S82" s="110">
        <f t="shared" si="2"/>
        <v>6.642760701924641E-2</v>
      </c>
      <c r="T82" s="110">
        <f t="shared" si="2"/>
        <v>6.642760701924641E-2</v>
      </c>
      <c r="U82" s="110">
        <f t="shared" si="2"/>
        <v>6.642760701924641E-2</v>
      </c>
      <c r="V82" s="110">
        <f t="shared" si="2"/>
        <v>6.642760701924641E-2</v>
      </c>
      <c r="W82" s="110">
        <f t="shared" si="2"/>
        <v>6.642760701924641E-2</v>
      </c>
      <c r="X82" s="110">
        <f t="shared" si="2"/>
        <v>6.642760701924641E-2</v>
      </c>
      <c r="Y82" s="110">
        <f t="shared" si="2"/>
        <v>6.642760701924641E-2</v>
      </c>
      <c r="Z82" s="110">
        <f t="shared" si="2"/>
        <v>6.642760701924641E-2</v>
      </c>
      <c r="AA82" s="110">
        <f t="shared" si="2"/>
        <v>6.642760701924641E-2</v>
      </c>
      <c r="AB82" s="110">
        <f t="shared" si="2"/>
        <v>6.642760701924641E-2</v>
      </c>
      <c r="AC82" s="110">
        <f t="shared" si="2"/>
        <v>6.642760701924641E-2</v>
      </c>
      <c r="AD82" s="110">
        <f t="shared" si="2"/>
        <v>6.642760701924641E-2</v>
      </c>
      <c r="AE82" s="110">
        <f t="shared" si="2"/>
        <v>6.642760701924641E-2</v>
      </c>
      <c r="AF82" s="110">
        <f t="shared" si="2"/>
        <v>6.642760701924641E-2</v>
      </c>
      <c r="AG82" s="110">
        <f t="shared" si="2"/>
        <v>6.642760701924641E-2</v>
      </c>
      <c r="AH82" s="110">
        <f t="shared" si="2"/>
        <v>6.642760701924641E-2</v>
      </c>
      <c r="AI82" s="110">
        <f t="shared" si="2"/>
        <v>6.642760701924641E-2</v>
      </c>
      <c r="AJ82" s="110">
        <f t="shared" si="2"/>
        <v>6.642760701924641E-2</v>
      </c>
      <c r="AK82" s="110">
        <f t="shared" si="2"/>
        <v>6.642760701924641E-2</v>
      </c>
      <c r="AL82" s="110">
        <f t="shared" si="2"/>
        <v>6.642760701924641E-2</v>
      </c>
      <c r="AM82" s="110">
        <f t="shared" si="2"/>
        <v>6.642760701924641E-2</v>
      </c>
      <c r="AN82" s="110">
        <f t="shared" si="2"/>
        <v>6.642760701924641E-2</v>
      </c>
      <c r="AO82" s="110">
        <f t="shared" si="2"/>
        <v>6.642760701924641E-2</v>
      </c>
      <c r="AP82" s="110">
        <f t="shared" si="2"/>
        <v>6.642760701924641E-2</v>
      </c>
      <c r="AQ82" s="110">
        <f t="shared" si="2"/>
        <v>6.642760701924641E-2</v>
      </c>
    </row>
    <row r="83" spans="4:43" ht="14.1" customHeight="1" x14ac:dyDescent="0.25">
      <c r="G83" s="106"/>
      <c r="H83" s="238"/>
      <c r="J83" s="210"/>
      <c r="K83" s="111" t="s">
        <v>56</v>
      </c>
      <c r="L83" s="110">
        <f t="shared" si="2"/>
        <v>6.642760701924641E-2</v>
      </c>
      <c r="M83" s="110">
        <f t="shared" si="2"/>
        <v>6.642760701924641E-2</v>
      </c>
      <c r="N83" s="110">
        <f t="shared" si="2"/>
        <v>6.642760701924641E-2</v>
      </c>
      <c r="O83" s="110">
        <f t="shared" si="2"/>
        <v>6.642760701924641E-2</v>
      </c>
      <c r="P83" s="110">
        <f t="shared" si="2"/>
        <v>6.642760701924641E-2</v>
      </c>
      <c r="Q83" s="110">
        <f t="shared" si="2"/>
        <v>6.642760701924641E-2</v>
      </c>
      <c r="R83" s="110">
        <f t="shared" si="2"/>
        <v>6.642760701924641E-2</v>
      </c>
      <c r="S83" s="110">
        <f t="shared" si="2"/>
        <v>6.642760701924641E-2</v>
      </c>
      <c r="T83" s="110">
        <f t="shared" si="2"/>
        <v>6.642760701924641E-2</v>
      </c>
      <c r="U83" s="110">
        <f t="shared" si="2"/>
        <v>6.642760701924641E-2</v>
      </c>
      <c r="V83" s="110">
        <f t="shared" si="2"/>
        <v>6.642760701924641E-2</v>
      </c>
      <c r="W83" s="110">
        <f t="shared" si="2"/>
        <v>6.642760701924641E-2</v>
      </c>
      <c r="X83" s="110">
        <f t="shared" si="2"/>
        <v>6.642760701924641E-2</v>
      </c>
      <c r="Y83" s="110">
        <f t="shared" si="2"/>
        <v>6.642760701924641E-2</v>
      </c>
      <c r="Z83" s="110">
        <f t="shared" si="2"/>
        <v>6.642760701924641E-2</v>
      </c>
      <c r="AA83" s="110">
        <f t="shared" si="2"/>
        <v>6.642760701924641E-2</v>
      </c>
      <c r="AB83" s="110">
        <f t="shared" si="2"/>
        <v>6.642760701924641E-2</v>
      </c>
      <c r="AC83" s="110">
        <f t="shared" si="2"/>
        <v>6.642760701924641E-2</v>
      </c>
      <c r="AD83" s="110">
        <f t="shared" si="2"/>
        <v>6.642760701924641E-2</v>
      </c>
      <c r="AE83" s="110">
        <f t="shared" si="2"/>
        <v>6.642760701924641E-2</v>
      </c>
      <c r="AF83" s="110">
        <f t="shared" si="2"/>
        <v>6.642760701924641E-2</v>
      </c>
      <c r="AG83" s="110">
        <f t="shared" si="2"/>
        <v>6.642760701924641E-2</v>
      </c>
      <c r="AH83" s="110">
        <f t="shared" si="2"/>
        <v>6.642760701924641E-2</v>
      </c>
      <c r="AI83" s="110">
        <f t="shared" si="2"/>
        <v>6.642760701924641E-2</v>
      </c>
      <c r="AJ83" s="110">
        <f t="shared" si="2"/>
        <v>6.642760701924641E-2</v>
      </c>
      <c r="AK83" s="110">
        <f t="shared" si="2"/>
        <v>6.642760701924641E-2</v>
      </c>
      <c r="AL83" s="110">
        <f t="shared" si="2"/>
        <v>6.642760701924641E-2</v>
      </c>
      <c r="AM83" s="110">
        <f t="shared" si="2"/>
        <v>6.642760701924641E-2</v>
      </c>
      <c r="AN83" s="110">
        <f t="shared" si="2"/>
        <v>6.642760701924641E-2</v>
      </c>
      <c r="AO83" s="110">
        <f t="shared" si="2"/>
        <v>6.642760701924641E-2</v>
      </c>
      <c r="AP83" s="110">
        <f t="shared" si="2"/>
        <v>6.642760701924641E-2</v>
      </c>
      <c r="AQ83" s="110">
        <f t="shared" si="2"/>
        <v>6.642760701924641E-2</v>
      </c>
    </row>
    <row r="84" spans="4:43" ht="14.1" customHeight="1" x14ac:dyDescent="0.25">
      <c r="G84" s="106"/>
      <c r="H84" s="238"/>
      <c r="J84" s="210"/>
      <c r="K84" s="111" t="s">
        <v>88</v>
      </c>
      <c r="L84" s="110">
        <f t="shared" si="2"/>
        <v>6.642760701924641E-2</v>
      </c>
      <c r="M84" s="110">
        <f t="shared" si="2"/>
        <v>6.642760701924641E-2</v>
      </c>
      <c r="N84" s="110">
        <f t="shared" si="2"/>
        <v>6.642760701924641E-2</v>
      </c>
      <c r="O84" s="110">
        <f t="shared" si="2"/>
        <v>6.642760701924641E-2</v>
      </c>
      <c r="P84" s="110">
        <f t="shared" si="2"/>
        <v>6.642760701924641E-2</v>
      </c>
      <c r="Q84" s="110">
        <f t="shared" si="2"/>
        <v>6.642760701924641E-2</v>
      </c>
      <c r="R84" s="110">
        <f t="shared" si="2"/>
        <v>6.642760701924641E-2</v>
      </c>
      <c r="S84" s="110">
        <f t="shared" si="2"/>
        <v>6.642760701924641E-2</v>
      </c>
      <c r="T84" s="110">
        <f t="shared" si="2"/>
        <v>6.642760701924641E-2</v>
      </c>
      <c r="U84" s="110">
        <f t="shared" si="2"/>
        <v>6.642760701924641E-2</v>
      </c>
      <c r="V84" s="110">
        <f t="shared" si="2"/>
        <v>6.642760701924641E-2</v>
      </c>
      <c r="W84" s="110">
        <f t="shared" si="2"/>
        <v>6.642760701924641E-2</v>
      </c>
      <c r="X84" s="110">
        <f t="shared" si="2"/>
        <v>6.642760701924641E-2</v>
      </c>
      <c r="Y84" s="110">
        <f t="shared" si="2"/>
        <v>6.642760701924641E-2</v>
      </c>
      <c r="Z84" s="110">
        <f t="shared" si="2"/>
        <v>6.642760701924641E-2</v>
      </c>
      <c r="AA84" s="110">
        <f t="shared" si="2"/>
        <v>6.642760701924641E-2</v>
      </c>
      <c r="AB84" s="110">
        <f t="shared" si="2"/>
        <v>6.642760701924641E-2</v>
      </c>
      <c r="AC84" s="110">
        <f t="shared" si="2"/>
        <v>6.642760701924641E-2</v>
      </c>
      <c r="AD84" s="110">
        <f t="shared" si="2"/>
        <v>6.642760701924641E-2</v>
      </c>
      <c r="AE84" s="110">
        <f t="shared" si="2"/>
        <v>6.642760701924641E-2</v>
      </c>
      <c r="AF84" s="110">
        <f t="shared" si="2"/>
        <v>6.642760701924641E-2</v>
      </c>
      <c r="AG84" s="110">
        <f t="shared" si="2"/>
        <v>6.642760701924641E-2</v>
      </c>
      <c r="AH84" s="110">
        <f t="shared" si="2"/>
        <v>6.642760701924641E-2</v>
      </c>
      <c r="AI84" s="110">
        <f t="shared" si="2"/>
        <v>6.642760701924641E-2</v>
      </c>
      <c r="AJ84" s="110">
        <f t="shared" si="2"/>
        <v>6.642760701924641E-2</v>
      </c>
      <c r="AK84" s="110">
        <f t="shared" si="2"/>
        <v>6.642760701924641E-2</v>
      </c>
      <c r="AL84" s="110">
        <f t="shared" si="2"/>
        <v>6.642760701924641E-2</v>
      </c>
      <c r="AM84" s="110">
        <f t="shared" si="2"/>
        <v>6.642760701924641E-2</v>
      </c>
      <c r="AN84" s="110">
        <f t="shared" si="2"/>
        <v>6.642760701924641E-2</v>
      </c>
      <c r="AO84" s="110">
        <f t="shared" si="2"/>
        <v>6.642760701924641E-2</v>
      </c>
      <c r="AP84" s="110">
        <f t="shared" si="2"/>
        <v>6.642760701924641E-2</v>
      </c>
      <c r="AQ84" s="110">
        <f t="shared" si="2"/>
        <v>6.642760701924641E-2</v>
      </c>
    </row>
    <row r="85" spans="4:43" ht="14.1" customHeight="1" x14ac:dyDescent="0.25">
      <c r="G85" s="106"/>
      <c r="H85" s="238"/>
      <c r="J85" s="210"/>
      <c r="K85" s="111" t="s">
        <v>89</v>
      </c>
      <c r="L85" s="110">
        <f t="shared" si="2"/>
        <v>4.854050177050856E-2</v>
      </c>
      <c r="M85" s="110">
        <f t="shared" si="2"/>
        <v>4.854050177050856E-2</v>
      </c>
      <c r="N85" s="110">
        <f t="shared" si="2"/>
        <v>4.854050177050856E-2</v>
      </c>
      <c r="O85" s="110">
        <f t="shared" si="2"/>
        <v>4.854050177050856E-2</v>
      </c>
      <c r="P85" s="110">
        <f t="shared" si="2"/>
        <v>4.854050177050856E-2</v>
      </c>
      <c r="Q85" s="110">
        <f t="shared" si="2"/>
        <v>4.854050177050856E-2</v>
      </c>
      <c r="R85" s="110">
        <f t="shared" si="2"/>
        <v>4.854050177050856E-2</v>
      </c>
      <c r="S85" s="110">
        <f t="shared" si="2"/>
        <v>4.854050177050856E-2</v>
      </c>
      <c r="T85" s="110">
        <f t="shared" si="2"/>
        <v>4.854050177050856E-2</v>
      </c>
      <c r="U85" s="110">
        <f t="shared" si="2"/>
        <v>4.854050177050856E-2</v>
      </c>
      <c r="V85" s="110">
        <f t="shared" si="2"/>
        <v>4.854050177050856E-2</v>
      </c>
      <c r="W85" s="110">
        <f t="shared" si="2"/>
        <v>4.854050177050856E-2</v>
      </c>
      <c r="X85" s="110">
        <f t="shared" si="2"/>
        <v>4.854050177050856E-2</v>
      </c>
      <c r="Y85" s="110">
        <f t="shared" si="2"/>
        <v>4.854050177050856E-2</v>
      </c>
      <c r="Z85" s="110">
        <f t="shared" si="2"/>
        <v>4.854050177050856E-2</v>
      </c>
      <c r="AA85" s="110">
        <f t="shared" si="2"/>
        <v>4.854050177050856E-2</v>
      </c>
      <c r="AB85" s="110">
        <f t="shared" si="2"/>
        <v>4.854050177050856E-2</v>
      </c>
      <c r="AC85" s="110">
        <f t="shared" si="2"/>
        <v>4.854050177050856E-2</v>
      </c>
      <c r="AD85" s="110">
        <f t="shared" si="2"/>
        <v>4.854050177050856E-2</v>
      </c>
      <c r="AE85" s="110">
        <f t="shared" si="2"/>
        <v>4.854050177050856E-2</v>
      </c>
      <c r="AF85" s="110">
        <f t="shared" si="2"/>
        <v>4.854050177050856E-2</v>
      </c>
      <c r="AG85" s="110">
        <f t="shared" si="2"/>
        <v>4.854050177050856E-2</v>
      </c>
      <c r="AH85" s="110">
        <f t="shared" si="2"/>
        <v>4.854050177050856E-2</v>
      </c>
      <c r="AI85" s="110">
        <f t="shared" si="2"/>
        <v>4.854050177050856E-2</v>
      </c>
      <c r="AJ85" s="110">
        <f t="shared" si="2"/>
        <v>4.854050177050856E-2</v>
      </c>
      <c r="AK85" s="110">
        <f t="shared" si="2"/>
        <v>4.854050177050856E-2</v>
      </c>
      <c r="AL85" s="110">
        <f t="shared" si="2"/>
        <v>4.854050177050856E-2</v>
      </c>
      <c r="AM85" s="110">
        <f t="shared" si="2"/>
        <v>4.854050177050856E-2</v>
      </c>
      <c r="AN85" s="110">
        <f t="shared" si="2"/>
        <v>4.854050177050856E-2</v>
      </c>
      <c r="AO85" s="110">
        <f t="shared" si="2"/>
        <v>4.854050177050856E-2</v>
      </c>
      <c r="AP85" s="110">
        <f t="shared" si="2"/>
        <v>4.854050177050856E-2</v>
      </c>
      <c r="AQ85" s="110">
        <f t="shared" si="2"/>
        <v>4.854050177050856E-2</v>
      </c>
    </row>
    <row r="86" spans="4:43" ht="14.1" customHeight="1" x14ac:dyDescent="0.25">
      <c r="G86" s="106"/>
      <c r="H86" s="238"/>
      <c r="J86" s="112"/>
      <c r="K86" s="111" t="s">
        <v>57</v>
      </c>
      <c r="L86" s="110">
        <f t="shared" si="2"/>
        <v>4.854050177050856E-2</v>
      </c>
      <c r="M86" s="110">
        <f t="shared" si="2"/>
        <v>4.854050177050856E-2</v>
      </c>
      <c r="N86" s="110">
        <f t="shared" si="2"/>
        <v>4.854050177050856E-2</v>
      </c>
      <c r="O86" s="110">
        <f t="shared" si="2"/>
        <v>4.854050177050856E-2</v>
      </c>
      <c r="P86" s="110">
        <f t="shared" si="2"/>
        <v>4.854050177050856E-2</v>
      </c>
      <c r="Q86" s="110">
        <f t="shared" si="2"/>
        <v>4.854050177050856E-2</v>
      </c>
      <c r="R86" s="110">
        <f t="shared" si="2"/>
        <v>4.854050177050856E-2</v>
      </c>
      <c r="S86" s="110">
        <f t="shared" si="2"/>
        <v>4.854050177050856E-2</v>
      </c>
      <c r="T86" s="110">
        <f t="shared" si="2"/>
        <v>4.854050177050856E-2</v>
      </c>
      <c r="U86" s="110">
        <f t="shared" si="2"/>
        <v>4.854050177050856E-2</v>
      </c>
      <c r="V86" s="110">
        <f t="shared" si="2"/>
        <v>4.854050177050856E-2</v>
      </c>
      <c r="W86" s="110">
        <f t="shared" si="2"/>
        <v>4.854050177050856E-2</v>
      </c>
      <c r="X86" s="110">
        <f t="shared" si="2"/>
        <v>4.854050177050856E-2</v>
      </c>
      <c r="Y86" s="110">
        <f t="shared" si="2"/>
        <v>4.854050177050856E-2</v>
      </c>
      <c r="Z86" s="110">
        <f t="shared" si="2"/>
        <v>4.854050177050856E-2</v>
      </c>
      <c r="AA86" s="110">
        <f t="shared" si="2"/>
        <v>4.854050177050856E-2</v>
      </c>
      <c r="AB86" s="110">
        <f t="shared" si="2"/>
        <v>4.854050177050856E-2</v>
      </c>
      <c r="AC86" s="110">
        <f t="shared" si="2"/>
        <v>4.854050177050856E-2</v>
      </c>
      <c r="AD86" s="110">
        <f t="shared" si="2"/>
        <v>4.854050177050856E-2</v>
      </c>
      <c r="AE86" s="110">
        <f t="shared" si="2"/>
        <v>4.854050177050856E-2</v>
      </c>
      <c r="AF86" s="110">
        <f t="shared" si="2"/>
        <v>4.854050177050856E-2</v>
      </c>
      <c r="AG86" s="110">
        <f t="shared" si="2"/>
        <v>4.854050177050856E-2</v>
      </c>
      <c r="AH86" s="110">
        <f t="shared" si="2"/>
        <v>4.854050177050856E-2</v>
      </c>
      <c r="AI86" s="110">
        <f t="shared" si="2"/>
        <v>4.854050177050856E-2</v>
      </c>
      <c r="AJ86" s="110">
        <f t="shared" si="2"/>
        <v>4.854050177050856E-2</v>
      </c>
      <c r="AK86" s="110">
        <f t="shared" si="2"/>
        <v>4.854050177050856E-2</v>
      </c>
      <c r="AL86" s="110">
        <f t="shared" si="2"/>
        <v>4.854050177050856E-2</v>
      </c>
      <c r="AM86" s="110">
        <f t="shared" si="2"/>
        <v>4.854050177050856E-2</v>
      </c>
      <c r="AN86" s="110">
        <f t="shared" si="2"/>
        <v>4.854050177050856E-2</v>
      </c>
      <c r="AO86" s="110">
        <f t="shared" si="2"/>
        <v>4.854050177050856E-2</v>
      </c>
      <c r="AP86" s="110">
        <f t="shared" si="2"/>
        <v>4.854050177050856E-2</v>
      </c>
      <c r="AQ86" s="110">
        <f t="shared" si="2"/>
        <v>4.854050177050856E-2</v>
      </c>
    </row>
    <row r="87" spans="4:43" ht="14.1" customHeight="1" x14ac:dyDescent="0.25">
      <c r="G87" s="106"/>
      <c r="H87" s="238"/>
      <c r="J87" s="112"/>
      <c r="K87" s="111" t="s">
        <v>90</v>
      </c>
      <c r="L87" s="110">
        <f t="shared" si="2"/>
        <v>4.854050177050856E-2</v>
      </c>
      <c r="M87" s="110">
        <f t="shared" si="2"/>
        <v>4.854050177050856E-2</v>
      </c>
      <c r="N87" s="110">
        <f t="shared" si="2"/>
        <v>4.854050177050856E-2</v>
      </c>
      <c r="O87" s="110">
        <f t="shared" si="2"/>
        <v>4.854050177050856E-2</v>
      </c>
      <c r="P87" s="110">
        <f t="shared" si="2"/>
        <v>4.854050177050856E-2</v>
      </c>
      <c r="Q87" s="110">
        <f t="shared" si="2"/>
        <v>4.854050177050856E-2</v>
      </c>
      <c r="R87" s="110">
        <f t="shared" si="2"/>
        <v>4.854050177050856E-2</v>
      </c>
      <c r="S87" s="110">
        <f t="shared" si="2"/>
        <v>4.854050177050856E-2</v>
      </c>
      <c r="T87" s="110">
        <f t="shared" si="2"/>
        <v>4.854050177050856E-2</v>
      </c>
      <c r="U87" s="110">
        <f t="shared" si="2"/>
        <v>4.854050177050856E-2</v>
      </c>
      <c r="V87" s="110">
        <f t="shared" si="2"/>
        <v>4.854050177050856E-2</v>
      </c>
      <c r="W87" s="110">
        <f t="shared" si="2"/>
        <v>4.854050177050856E-2</v>
      </c>
      <c r="X87" s="110">
        <f t="shared" si="2"/>
        <v>4.854050177050856E-2</v>
      </c>
      <c r="Y87" s="110">
        <f t="shared" si="2"/>
        <v>4.854050177050856E-2</v>
      </c>
      <c r="Z87" s="110">
        <f t="shared" si="2"/>
        <v>4.854050177050856E-2</v>
      </c>
      <c r="AA87" s="110">
        <f t="shared" si="2"/>
        <v>4.854050177050856E-2</v>
      </c>
      <c r="AB87" s="110">
        <f t="shared" si="2"/>
        <v>4.854050177050856E-2</v>
      </c>
      <c r="AC87" s="110">
        <f t="shared" si="2"/>
        <v>4.854050177050856E-2</v>
      </c>
      <c r="AD87" s="110">
        <f t="shared" si="2"/>
        <v>4.854050177050856E-2</v>
      </c>
      <c r="AE87" s="110">
        <f t="shared" si="2"/>
        <v>4.854050177050856E-2</v>
      </c>
      <c r="AF87" s="110">
        <f t="shared" si="2"/>
        <v>4.854050177050856E-2</v>
      </c>
      <c r="AG87" s="110">
        <f t="shared" si="2"/>
        <v>4.854050177050856E-2</v>
      </c>
      <c r="AH87" s="110">
        <f t="shared" si="2"/>
        <v>4.854050177050856E-2</v>
      </c>
      <c r="AI87" s="110">
        <f t="shared" si="2"/>
        <v>4.854050177050856E-2</v>
      </c>
      <c r="AJ87" s="110">
        <f t="shared" si="2"/>
        <v>4.854050177050856E-2</v>
      </c>
      <c r="AK87" s="110">
        <f t="shared" si="2"/>
        <v>4.854050177050856E-2</v>
      </c>
      <c r="AL87" s="110">
        <f t="shared" si="2"/>
        <v>4.854050177050856E-2</v>
      </c>
      <c r="AM87" s="110">
        <f t="shared" si="2"/>
        <v>4.854050177050856E-2</v>
      </c>
      <c r="AN87" s="110">
        <f t="shared" si="2"/>
        <v>4.854050177050856E-2</v>
      </c>
      <c r="AO87" s="110">
        <f t="shared" si="2"/>
        <v>4.854050177050856E-2</v>
      </c>
      <c r="AP87" s="110">
        <f t="shared" si="2"/>
        <v>4.854050177050856E-2</v>
      </c>
      <c r="AQ87" s="110">
        <f t="shared" si="2"/>
        <v>4.854050177050856E-2</v>
      </c>
    </row>
    <row r="89" spans="4:43" ht="14.1" customHeight="1" x14ac:dyDescent="0.25">
      <c r="G89" s="113"/>
      <c r="H89" s="114"/>
      <c r="I89" s="114"/>
      <c r="J89" s="114"/>
      <c r="K89" s="114"/>
      <c r="L89" s="114"/>
      <c r="M89" s="114"/>
      <c r="N89" s="114"/>
      <c r="O89" s="114"/>
      <c r="P89" s="114"/>
      <c r="Q89" s="114"/>
      <c r="R89" s="114"/>
      <c r="S89" s="114"/>
      <c r="T89" s="114"/>
      <c r="U89" s="114"/>
      <c r="V89" s="114"/>
      <c r="W89" s="114"/>
      <c r="X89" s="114"/>
      <c r="Y89" s="114"/>
      <c r="Z89" s="114"/>
      <c r="AA89" s="114"/>
      <c r="AB89" s="114"/>
      <c r="AC89" s="114"/>
      <c r="AD89" s="114"/>
      <c r="AE89" s="114"/>
      <c r="AF89" s="114"/>
      <c r="AG89" s="114"/>
      <c r="AH89" s="114"/>
      <c r="AI89" s="114"/>
      <c r="AJ89" s="114"/>
      <c r="AK89" s="114"/>
      <c r="AL89" s="114"/>
      <c r="AM89" s="114"/>
      <c r="AN89" s="114"/>
      <c r="AO89" s="114"/>
      <c r="AP89" s="114"/>
      <c r="AQ89" s="114"/>
    </row>
    <row r="90" spans="4:43" ht="14.1" customHeight="1" x14ac:dyDescent="0.25">
      <c r="D90" s="115" t="s">
        <v>5</v>
      </c>
      <c r="G90" s="116" t="s">
        <v>91</v>
      </c>
      <c r="H90" s="117"/>
      <c r="I90" s="117"/>
      <c r="J90" s="117"/>
      <c r="K90" s="117"/>
      <c r="L90" s="117"/>
      <c r="M90" s="117"/>
      <c r="N90" s="117"/>
      <c r="O90" s="117"/>
      <c r="P90" s="117"/>
      <c r="Q90" s="117"/>
      <c r="R90" s="117"/>
      <c r="S90" s="117"/>
      <c r="T90" s="117"/>
      <c r="U90" s="117"/>
      <c r="V90" s="117"/>
      <c r="W90" s="117"/>
      <c r="X90" s="117"/>
      <c r="Y90" s="118"/>
      <c r="Z90" s="118"/>
      <c r="AA90" s="118"/>
      <c r="AB90" s="118"/>
      <c r="AC90" s="118"/>
      <c r="AD90" s="118"/>
      <c r="AE90" s="118"/>
      <c r="AF90" s="118"/>
      <c r="AG90" s="118"/>
      <c r="AH90" s="118"/>
      <c r="AI90" s="118"/>
      <c r="AJ90" s="118"/>
      <c r="AK90" s="118"/>
      <c r="AL90" s="118"/>
      <c r="AM90" s="118"/>
      <c r="AN90" s="118"/>
      <c r="AO90" s="118"/>
      <c r="AP90" s="118"/>
      <c r="AQ90" s="118"/>
    </row>
    <row r="91" spans="4:43" ht="14.1" customHeight="1" x14ac:dyDescent="0.25">
      <c r="G91" s="106"/>
      <c r="L91" s="3" t="s">
        <v>92</v>
      </c>
    </row>
    <row r="92" spans="4:43" ht="14.1" customHeight="1" thickBot="1" x14ac:dyDescent="0.3">
      <c r="G92" s="106"/>
      <c r="L92" s="107">
        <v>2019</v>
      </c>
      <c r="M92" s="107">
        <v>2020</v>
      </c>
      <c r="N92" s="107">
        <v>2021</v>
      </c>
      <c r="O92" s="107">
        <v>2022</v>
      </c>
      <c r="P92" s="107">
        <v>2023</v>
      </c>
      <c r="Q92" s="107">
        <v>2024</v>
      </c>
      <c r="R92" s="107">
        <v>2025</v>
      </c>
      <c r="S92" s="107">
        <v>2026</v>
      </c>
      <c r="T92" s="107">
        <v>2027</v>
      </c>
      <c r="U92" s="107">
        <v>2028</v>
      </c>
      <c r="V92" s="107">
        <v>2029</v>
      </c>
      <c r="W92" s="107">
        <v>2030</v>
      </c>
      <c r="X92" s="107">
        <v>2031</v>
      </c>
      <c r="Y92" s="107">
        <v>2032</v>
      </c>
      <c r="Z92" s="107">
        <v>2033</v>
      </c>
      <c r="AA92" s="107">
        <v>2034</v>
      </c>
      <c r="AB92" s="107">
        <v>2035</v>
      </c>
      <c r="AC92" s="107">
        <v>2036</v>
      </c>
      <c r="AD92" s="107">
        <v>2037</v>
      </c>
      <c r="AE92" s="107">
        <v>2038</v>
      </c>
      <c r="AF92" s="107">
        <v>2039</v>
      </c>
      <c r="AG92" s="107">
        <v>2040</v>
      </c>
      <c r="AH92" s="107">
        <v>2041</v>
      </c>
      <c r="AI92" s="107">
        <v>2042</v>
      </c>
      <c r="AJ92" s="107">
        <v>2043</v>
      </c>
      <c r="AK92" s="107">
        <v>2044</v>
      </c>
      <c r="AL92" s="107">
        <v>2045</v>
      </c>
      <c r="AM92" s="107">
        <v>2046</v>
      </c>
      <c r="AN92" s="107">
        <v>2047</v>
      </c>
      <c r="AO92" s="107">
        <v>2048</v>
      </c>
      <c r="AP92" s="107">
        <v>2049</v>
      </c>
      <c r="AQ92" s="107">
        <v>2050</v>
      </c>
    </row>
    <row r="93" spans="4:43" ht="14.1" hidden="1" customHeight="1" thickTop="1" x14ac:dyDescent="0.25">
      <c r="G93" s="106"/>
      <c r="H93" s="218" t="s">
        <v>93</v>
      </c>
      <c r="J93" s="209" t="s">
        <v>362</v>
      </c>
      <c r="K93" s="119" t="s">
        <v>95</v>
      </c>
      <c r="L93" s="120">
        <v>0.45186209770770747</v>
      </c>
      <c r="M93" s="120">
        <v>0.45949530225690388</v>
      </c>
      <c r="N93" s="120">
        <v>0.46492618350875636</v>
      </c>
      <c r="O93" s="120">
        <v>0.46914691946458048</v>
      </c>
      <c r="P93" s="120">
        <v>0.47260069055293891</v>
      </c>
      <c r="Q93" s="120">
        <v>0.47552437345147086</v>
      </c>
      <c r="R93" s="120">
        <v>0.47805958065912968</v>
      </c>
      <c r="S93" s="120">
        <v>0.48029777012918601</v>
      </c>
      <c r="T93" s="120">
        <v>0.4823014550312244</v>
      </c>
      <c r="U93" s="120">
        <v>0.48411526439044628</v>
      </c>
      <c r="V93" s="120">
        <v>0.48577217724538629</v>
      </c>
      <c r="W93" s="120">
        <v>0.48729725629641746</v>
      </c>
      <c r="X93" s="120">
        <v>0.48870999585380476</v>
      </c>
      <c r="Y93" s="120">
        <v>0.49002585888849554</v>
      </c>
      <c r="Z93" s="120">
        <v>0.49125731769051295</v>
      </c>
      <c r="AA93" s="120">
        <v>0.49241457891714446</v>
      </c>
      <c r="AB93" s="120">
        <v>0.49350610136939949</v>
      </c>
      <c r="AC93" s="120">
        <v>0.49453897378187711</v>
      </c>
      <c r="AD93" s="120">
        <v>0.49551919572867614</v>
      </c>
      <c r="AE93" s="120">
        <v>0.49645189001583612</v>
      </c>
      <c r="AF93" s="120">
        <v>0.49734146568681781</v>
      </c>
      <c r="AG93" s="120">
        <v>0.49819174481350548</v>
      </c>
      <c r="AH93" s="120">
        <v>0.49900606231971184</v>
      </c>
      <c r="AI93" s="120">
        <v>0.49978734544130526</v>
      </c>
      <c r="AJ93" s="120">
        <v>0.50053817761378694</v>
      </c>
      <c r="AK93" s="120">
        <v>0.5012608503124828</v>
      </c>
      <c r="AL93" s="120">
        <v>0.50195740547316914</v>
      </c>
      <c r="AM93" s="120">
        <v>0.50262967047554719</v>
      </c>
      <c r="AN93" s="120">
        <v>0.50327928720161708</v>
      </c>
      <c r="AO93" s="120">
        <v>0.50390773633404118</v>
      </c>
      <c r="AP93" s="120">
        <v>0.50451635780072701</v>
      </c>
      <c r="AQ93" s="120">
        <v>0.50510636807672415</v>
      </c>
    </row>
    <row r="94" spans="4:43" ht="14.1" hidden="1" customHeight="1" x14ac:dyDescent="0.25">
      <c r="G94" s="106"/>
      <c r="H94" s="218"/>
      <c r="J94" s="210"/>
      <c r="K94" s="7" t="s">
        <v>96</v>
      </c>
      <c r="L94" s="93">
        <v>0.44969767365991592</v>
      </c>
      <c r="M94" s="93">
        <v>0.4560282081780016</v>
      </c>
      <c r="N94" s="93">
        <v>0.4605197938988736</v>
      </c>
      <c r="O94" s="93">
        <v>0.46400373845004322</v>
      </c>
      <c r="P94" s="93">
        <v>0.46685032841695934</v>
      </c>
      <c r="Q94" s="93">
        <v>0.46925708594089527</v>
      </c>
      <c r="R94" s="93">
        <v>0.47134191413783127</v>
      </c>
      <c r="S94" s="93">
        <v>0.47318086293504497</v>
      </c>
      <c r="T94" s="93">
        <v>0.4748258586890009</v>
      </c>
      <c r="U94" s="93">
        <v>0.47631393835630303</v>
      </c>
      <c r="V94" s="93">
        <v>0.47767244865591696</v>
      </c>
      <c r="W94" s="93">
        <v>0.47892215698769575</v>
      </c>
      <c r="X94" s="93">
        <v>0.48007920617985284</v>
      </c>
      <c r="Y94" s="93">
        <v>0.48115639320708647</v>
      </c>
      <c r="Z94" s="93">
        <v>0.4821640343767889</v>
      </c>
      <c r="AA94" s="93">
        <v>0.48311056776124089</v>
      </c>
      <c r="AB94" s="93">
        <v>0.48400298317400264</v>
      </c>
      <c r="AC94" s="93">
        <v>0.48484713573782118</v>
      </c>
      <c r="AD94" s="93">
        <v>0.48564797892795847</v>
      </c>
      <c r="AE94" s="93">
        <v>0.48640974069793869</v>
      </c>
      <c r="AF94" s="93">
        <v>0.48713605859526066</v>
      </c>
      <c r="AG94" s="93">
        <v>0.48783008481778167</v>
      </c>
      <c r="AH94" s="93">
        <v>0.48849456889487458</v>
      </c>
      <c r="AI94" s="93">
        <v>0.48913192347912804</v>
      </c>
      <c r="AJ94" s="93">
        <v>0.48974427722665331</v>
      </c>
      <c r="AK94" s="93">
        <v>0.49033351769208833</v>
      </c>
      <c r="AL94" s="93">
        <v>0.49090132641881051</v>
      </c>
      <c r="AM94" s="93">
        <v>0.49144920786879998</v>
      </c>
      <c r="AN94" s="93">
        <v>0.49197851344604421</v>
      </c>
      <c r="AO94" s="93">
        <v>0.49249046157936538</v>
      </c>
      <c r="AP94" s="93">
        <v>0.49298615461574652</v>
      </c>
      <c r="AQ94" s="93">
        <v>0.4934665931133464</v>
      </c>
    </row>
    <row r="95" spans="4:43" ht="14.1" hidden="1" customHeight="1" thickBot="1" x14ac:dyDescent="0.3">
      <c r="G95" s="106"/>
      <c r="H95" s="218"/>
      <c r="J95" s="210"/>
      <c r="K95" s="121" t="s">
        <v>97</v>
      </c>
      <c r="L95" s="122">
        <v>0.44428661354043714</v>
      </c>
      <c r="M95" s="122">
        <v>0.44741379420834088</v>
      </c>
      <c r="N95" s="122">
        <v>0.4496171638391544</v>
      </c>
      <c r="O95" s="122">
        <v>0.45131789558708629</v>
      </c>
      <c r="P95" s="122">
        <v>0.45270227774503968</v>
      </c>
      <c r="Q95" s="122">
        <v>0.45386918772319079</v>
      </c>
      <c r="R95" s="122">
        <v>0.45487741893443456</v>
      </c>
      <c r="S95" s="122">
        <v>0.45576477507372382</v>
      </c>
      <c r="T95" s="122">
        <v>0.45655699975832809</v>
      </c>
      <c r="U95" s="122">
        <v>0.4572724127627722</v>
      </c>
      <c r="V95" s="122">
        <v>0.4579245134388632</v>
      </c>
      <c r="W95" s="122">
        <v>0.45852353488272135</v>
      </c>
      <c r="X95" s="122">
        <v>0.45907741851274381</v>
      </c>
      <c r="Y95" s="122">
        <v>0.45959245044221736</v>
      </c>
      <c r="Z95" s="122">
        <v>0.46007369134526688</v>
      </c>
      <c r="AA95" s="122">
        <v>0.46052527532615123</v>
      </c>
      <c r="AB95" s="122">
        <v>0.46095062293919542</v>
      </c>
      <c r="AC95" s="122">
        <v>0.4613525963398511</v>
      </c>
      <c r="AD95" s="122">
        <v>0.46173361445648764</v>
      </c>
      <c r="AE95" s="122">
        <v>0.46209573993694797</v>
      </c>
      <c r="AF95" s="122">
        <v>0.4624407457809005</v>
      </c>
      <c r="AG95" s="122">
        <v>0.46277016709787261</v>
      </c>
      <c r="AH95" s="122">
        <v>0.46308534180414868</v>
      </c>
      <c r="AI95" s="122">
        <v>0.46338744297813628</v>
      </c>
      <c r="AJ95" s="122">
        <v>0.46367750484451936</v>
      </c>
      <c r="AK95" s="122">
        <v>0.46395644383520401</v>
      </c>
      <c r="AL95" s="122">
        <v>0.46422507580520328</v>
      </c>
      <c r="AM95" s="122">
        <v>0.4644841302159024</v>
      </c>
      <c r="AN95" s="122">
        <v>0.46473426190472011</v>
      </c>
      <c r="AO95" s="122">
        <v>0.46497606091765464</v>
      </c>
      <c r="AP95" s="122">
        <v>0.46521006077497323</v>
      </c>
      <c r="AQ95" s="122">
        <v>0.46543674546030817</v>
      </c>
    </row>
    <row r="96" spans="4:43" ht="14.1" hidden="1" customHeight="1" thickTop="1" x14ac:dyDescent="0.25">
      <c r="G96" s="106"/>
      <c r="H96" s="218"/>
      <c r="J96" s="210"/>
      <c r="K96" s="119" t="s">
        <v>98</v>
      </c>
      <c r="L96" s="120">
        <v>0.44034238251764596</v>
      </c>
      <c r="M96" s="120">
        <v>0.44778098711513076</v>
      </c>
      <c r="N96" s="120">
        <v>0.45307341416697455</v>
      </c>
      <c r="O96" s="120">
        <v>0.45718654721396829</v>
      </c>
      <c r="P96" s="120">
        <v>0.46055226829886009</v>
      </c>
      <c r="Q96" s="120">
        <v>0.46340141519521794</v>
      </c>
      <c r="R96" s="120">
        <v>0.46587199015085079</v>
      </c>
      <c r="S96" s="120">
        <v>0.46805311950153167</v>
      </c>
      <c r="T96" s="120">
        <v>0.47000572271400326</v>
      </c>
      <c r="U96" s="120">
        <v>0.47177329104674087</v>
      </c>
      <c r="V96" s="120">
        <v>0.47338796277484047</v>
      </c>
      <c r="W96" s="120">
        <v>0.47487416165336033</v>
      </c>
      <c r="X96" s="120">
        <v>0.47625088500708418</v>
      </c>
      <c r="Y96" s="120">
        <v>0.47753320159593304</v>
      </c>
      <c r="Z96" s="120">
        <v>0.478733265742945</v>
      </c>
      <c r="AA96" s="120">
        <v>0.47986102389817731</v>
      </c>
      <c r="AB96" s="120">
        <v>0.48092471921503577</v>
      </c>
      <c r="AC96" s="120">
        <v>0.48193125970881562</v>
      </c>
      <c r="AD96" s="120">
        <v>0.48288649200123235</v>
      </c>
      <c r="AE96" s="120">
        <v>0.48379540829815593</v>
      </c>
      <c r="AF96" s="120">
        <v>0.48466230523945059</v>
      </c>
      <c r="AG96" s="120">
        <v>0.48549090745758322</v>
      </c>
      <c r="AH96" s="120">
        <v>0.48628446485624049</v>
      </c>
      <c r="AI96" s="120">
        <v>0.48704583004470958</v>
      </c>
      <c r="AJ96" s="120">
        <v>0.4877775205967137</v>
      </c>
      <c r="AK96" s="120">
        <v>0.48848176956899642</v>
      </c>
      <c r="AL96" s="120">
        <v>0.48916056684048165</v>
      </c>
      <c r="AM96" s="120">
        <v>0.48981569320388346</v>
      </c>
      <c r="AN96" s="120">
        <v>0.49044874868326988</v>
      </c>
      <c r="AO96" s="120">
        <v>0.4910611762129668</v>
      </c>
      <c r="AP96" s="120">
        <v>0.49165428156092894</v>
      </c>
      <c r="AQ96" s="120">
        <v>0.49222925018954478</v>
      </c>
    </row>
    <row r="97" spans="7:43" ht="14.1" hidden="1" customHeight="1" x14ac:dyDescent="0.25">
      <c r="G97" s="106"/>
      <c r="H97" s="218"/>
      <c r="J97" s="210"/>
      <c r="K97" s="7" t="s">
        <v>99</v>
      </c>
      <c r="L97" s="93">
        <v>0.43823313802288077</v>
      </c>
      <c r="M97" s="93">
        <v>0.44440228269433152</v>
      </c>
      <c r="N97" s="93">
        <v>0.44877936049670653</v>
      </c>
      <c r="O97" s="93">
        <v>0.45217448580596353</v>
      </c>
      <c r="P97" s="93">
        <v>0.45494850516815727</v>
      </c>
      <c r="Q97" s="93">
        <v>0.45729390512006418</v>
      </c>
      <c r="R97" s="93">
        <v>0.45932558297053216</v>
      </c>
      <c r="S97" s="93">
        <v>0.4611176498396079</v>
      </c>
      <c r="T97" s="93">
        <v>0.46272070827978917</v>
      </c>
      <c r="U97" s="93">
        <v>0.46417085103219091</v>
      </c>
      <c r="V97" s="93">
        <v>0.46549472764198285</v>
      </c>
      <c r="W97" s="93">
        <v>0.46671257606755184</v>
      </c>
      <c r="X97" s="93">
        <v>0.46784012759388977</v>
      </c>
      <c r="Y97" s="93">
        <v>0.46888985295123981</v>
      </c>
      <c r="Z97" s="93">
        <v>0.4698718054443578</v>
      </c>
      <c r="AA97" s="93">
        <v>0.47079420802637678</v>
      </c>
      <c r="AB97" s="93">
        <v>0.47166387231343365</v>
      </c>
      <c r="AC97" s="93">
        <v>0.47248650415851634</v>
      </c>
      <c r="AD97" s="93">
        <v>0.47326693075361481</v>
      </c>
      <c r="AE97" s="93">
        <v>0.47400927226534062</v>
      </c>
      <c r="AF97" s="93">
        <v>0.47471707350601661</v>
      </c>
      <c r="AG97" s="93">
        <v>0.47539340631176635</v>
      </c>
      <c r="AH97" s="93">
        <v>0.47604095011580855</v>
      </c>
      <c r="AI97" s="93">
        <v>0.47666205606287171</v>
      </c>
      <c r="AJ97" s="93">
        <v>0.47725879854137743</v>
      </c>
      <c r="AK97" s="93">
        <v>0.47783301698488428</v>
      </c>
      <c r="AL97" s="93">
        <v>0.4783863500677154</v>
      </c>
      <c r="AM97" s="93">
        <v>0.47892026389728742</v>
      </c>
      <c r="AN97" s="93">
        <v>0.47943607542506544</v>
      </c>
      <c r="AO97" s="93">
        <v>0.47993497201740132</v>
      </c>
      <c r="AP97" s="93">
        <v>0.48041802791818344</v>
      </c>
      <c r="AQ97" s="93">
        <v>0.4808862181774673</v>
      </c>
    </row>
    <row r="98" spans="7:43" ht="14.1" hidden="1" customHeight="1" thickBot="1" x14ac:dyDescent="0.3">
      <c r="G98" s="106"/>
      <c r="H98" s="218"/>
      <c r="J98" s="210"/>
      <c r="K98" s="121" t="s">
        <v>100</v>
      </c>
      <c r="L98" s="122">
        <v>0.43296002678596796</v>
      </c>
      <c r="M98" s="122">
        <v>0.4360074835052935</v>
      </c>
      <c r="N98" s="122">
        <v>0.43815468070931091</v>
      </c>
      <c r="O98" s="122">
        <v>0.43981205421708447</v>
      </c>
      <c r="P98" s="122">
        <v>0.44116114311133031</v>
      </c>
      <c r="Q98" s="122">
        <v>0.44229830403403081</v>
      </c>
      <c r="R98" s="122">
        <v>0.4432808315262457</v>
      </c>
      <c r="S98" s="122">
        <v>0.44414556552030832</v>
      </c>
      <c r="T98" s="122">
        <v>0.44491759332896413</v>
      </c>
      <c r="U98" s="122">
        <v>0.44561476768472258</v>
      </c>
      <c r="V98" s="122">
        <v>0.44625024378862238</v>
      </c>
      <c r="W98" s="122">
        <v>0.44683399385552508</v>
      </c>
      <c r="X98" s="122">
        <v>0.4473737568463112</v>
      </c>
      <c r="Y98" s="122">
        <v>0.44787565861689027</v>
      </c>
      <c r="Z98" s="122">
        <v>0.4483446308252006</v>
      </c>
      <c r="AA98" s="122">
        <v>0.44878470218117011</v>
      </c>
      <c r="AB98" s="122">
        <v>0.44919920603594404</v>
      </c>
      <c r="AC98" s="122">
        <v>0.44959093157754487</v>
      </c>
      <c r="AD98" s="122">
        <v>0.44996223606648794</v>
      </c>
      <c r="AE98" s="122">
        <v>0.45031512956573289</v>
      </c>
      <c r="AF98" s="122">
        <v>0.45065133987431882</v>
      </c>
      <c r="AG98" s="122">
        <v>0.45097236296588472</v>
      </c>
      <c r="AH98" s="122">
        <v>0.4512795026480465</v>
      </c>
      <c r="AI98" s="122">
        <v>0.45157390209289905</v>
      </c>
      <c r="AJ98" s="122">
        <v>0.45185656915873307</v>
      </c>
      <c r="AK98" s="122">
        <v>0.45212839691405549</v>
      </c>
      <c r="AL98" s="122">
        <v>0.45239018041457468</v>
      </c>
      <c r="AM98" s="122">
        <v>0.45264263052487963</v>
      </c>
      <c r="AN98" s="122">
        <v>0.45288638538804676</v>
      </c>
      <c r="AO98" s="122">
        <v>0.45312202000751617</v>
      </c>
      <c r="AP98" s="122">
        <v>0.45335005430205694</v>
      </c>
      <c r="AQ98" s="122">
        <v>0.45357095991668361</v>
      </c>
    </row>
    <row r="99" spans="7:43" ht="14.1" hidden="1" customHeight="1" thickTop="1" x14ac:dyDescent="0.25">
      <c r="G99" s="106"/>
      <c r="H99" s="218"/>
      <c r="J99" s="210"/>
      <c r="K99" s="119" t="s">
        <v>101</v>
      </c>
      <c r="L99" s="120">
        <v>0.44363387232576323</v>
      </c>
      <c r="M99" s="120">
        <v>0.45112807931854609</v>
      </c>
      <c r="N99" s="120">
        <v>0.4564600664272751</v>
      </c>
      <c r="O99" s="120">
        <v>0.46060394449460096</v>
      </c>
      <c r="P99" s="120">
        <v>0.46399482381337559</v>
      </c>
      <c r="Q99" s="120">
        <v>0.46686526763309022</v>
      </c>
      <c r="R99" s="120">
        <v>0.46935430974657455</v>
      </c>
      <c r="S99" s="120">
        <v>0.47155174269489436</v>
      </c>
      <c r="T99" s="120">
        <v>0.47351894130819105</v>
      </c>
      <c r="U99" s="120">
        <v>0.47529972193523273</v>
      </c>
      <c r="V99" s="120">
        <v>0.47692646307964909</v>
      </c>
      <c r="W99" s="123">
        <v>0.47842377106021244</v>
      </c>
      <c r="X99" s="120">
        <v>0.47981078520371101</v>
      </c>
      <c r="Y99" s="120">
        <v>0.48110268690666774</v>
      </c>
      <c r="Z99" s="120">
        <v>0.48231172134376715</v>
      </c>
      <c r="AA99" s="120">
        <v>0.48344790931321069</v>
      </c>
      <c r="AB99" s="120">
        <v>0.48451955558467485</v>
      </c>
      <c r="AC99" s="120">
        <v>0.48553361980977899</v>
      </c>
      <c r="AD99" s="120">
        <v>0.48649599231281293</v>
      </c>
      <c r="AE99" s="120">
        <v>0.48741170261559774</v>
      </c>
      <c r="AF99" s="120">
        <v>0.4882850794747024</v>
      </c>
      <c r="AG99" s="120">
        <v>0.48911987536363355</v>
      </c>
      <c r="AH99" s="120">
        <v>0.48991936447859508</v>
      </c>
      <c r="AI99" s="120">
        <v>0.49068642075167834</v>
      </c>
      <c r="AJ99" s="120">
        <v>0.49142358057507274</v>
      </c>
      <c r="AK99" s="120">
        <v>0.49213309369726849</v>
      </c>
      <c r="AL99" s="120">
        <v>0.49281696487122051</v>
      </c>
      <c r="AM99" s="120">
        <v>0.49347698820078723</v>
      </c>
      <c r="AN99" s="120">
        <v>0.49411477566996415</v>
      </c>
      <c r="AO99" s="120">
        <v>0.49473178099878334</v>
      </c>
      <c r="AP99" s="120">
        <v>0.49532931971560912</v>
      </c>
      <c r="AQ99" s="120">
        <v>0.49590858614397398</v>
      </c>
    </row>
    <row r="100" spans="7:43" ht="14.1" hidden="1" customHeight="1" x14ac:dyDescent="0.25">
      <c r="G100" s="106"/>
      <c r="H100" s="218"/>
      <c r="J100" s="210"/>
      <c r="K100" s="7" t="s">
        <v>102</v>
      </c>
      <c r="L100" s="93">
        <v>0.44150886156131119</v>
      </c>
      <c r="M100" s="93">
        <v>0.44772411961547742</v>
      </c>
      <c r="N100" s="93">
        <v>0.45213391538357145</v>
      </c>
      <c r="O100" s="93">
        <v>0.45555441871864738</v>
      </c>
      <c r="P100" s="93">
        <v>0.45834917343773768</v>
      </c>
      <c r="Q100" s="93">
        <v>0.46071210488410019</v>
      </c>
      <c r="R100" s="93">
        <v>0.46275896920583165</v>
      </c>
      <c r="S100" s="93">
        <v>0.4645644314919038</v>
      </c>
      <c r="T100" s="93">
        <v>0.46617947254090758</v>
      </c>
      <c r="U100" s="93">
        <v>0.46764045488150102</v>
      </c>
      <c r="V100" s="93">
        <v>0.46897422725999782</v>
      </c>
      <c r="W100" s="124">
        <v>0.47020117891032948</v>
      </c>
      <c r="X100" s="93">
        <v>0.47133715870636028</v>
      </c>
      <c r="Y100" s="93">
        <v>0.47239473059507364</v>
      </c>
      <c r="Z100" s="93">
        <v>0.47338402302809179</v>
      </c>
      <c r="AA100" s="93">
        <v>0.47431332042382446</v>
      </c>
      <c r="AB100" s="93">
        <v>0.47518948531416405</v>
      </c>
      <c r="AC100" s="93">
        <v>0.47601826620244908</v>
      </c>
      <c r="AD100" s="93">
        <v>0.47680452636316772</v>
      </c>
      <c r="AE100" s="93">
        <v>0.47755241676052662</v>
      </c>
      <c r="AF100" s="93">
        <v>0.47826550870376122</v>
      </c>
      <c r="AG100" s="93">
        <v>0.47894689699048532</v>
      </c>
      <c r="AH100" s="93">
        <v>0.47959928108225802</v>
      </c>
      <c r="AI100" s="93">
        <v>0.4802250296982436</v>
      </c>
      <c r="AJ100" s="93">
        <v>0.48082623273258962</v>
      </c>
      <c r="AK100" s="93">
        <v>0.48140474336833022</v>
      </c>
      <c r="AL100" s="93">
        <v>0.48196221252862048</v>
      </c>
      <c r="AM100" s="93">
        <v>0.48250011727979858</v>
      </c>
      <c r="AN100" s="93">
        <v>0.48301978441733395</v>
      </c>
      <c r="AO100" s="93">
        <v>0.48352241018295444</v>
      </c>
      <c r="AP100" s="93">
        <v>0.48400907685035205</v>
      </c>
      <c r="AQ100" s="93">
        <v>0.48448076675792751</v>
      </c>
    </row>
    <row r="101" spans="7:43" ht="14.1" hidden="1" customHeight="1" thickBot="1" x14ac:dyDescent="0.3">
      <c r="G101" s="106"/>
      <c r="H101" s="218"/>
      <c r="J101" s="210"/>
      <c r="K101" s="121" t="s">
        <v>103</v>
      </c>
      <c r="L101" s="122">
        <v>0.43619633465018115</v>
      </c>
      <c r="M101" s="122">
        <v>0.43926657062748992</v>
      </c>
      <c r="N101" s="122">
        <v>0.44142981779170565</v>
      </c>
      <c r="O101" s="122">
        <v>0.44309957990485915</v>
      </c>
      <c r="P101" s="122">
        <v>0.44445875302565679</v>
      </c>
      <c r="Q101" s="122">
        <v>0.44560441404677131</v>
      </c>
      <c r="R101" s="122">
        <v>0.44659428577691379</v>
      </c>
      <c r="S101" s="122">
        <v>0.44746548352109722</v>
      </c>
      <c r="T101" s="122">
        <v>0.44824328211577019</v>
      </c>
      <c r="U101" s="122">
        <v>0.44894566773979971</v>
      </c>
      <c r="V101" s="122">
        <v>0.44958589392727621</v>
      </c>
      <c r="W101" s="125">
        <v>0.4501740074337931</v>
      </c>
      <c r="X101" s="122">
        <v>0.45071780506774217</v>
      </c>
      <c r="Y101" s="122">
        <v>0.45122345847483886</v>
      </c>
      <c r="Z101" s="122">
        <v>0.45169593617638637</v>
      </c>
      <c r="AA101" s="122">
        <v>0.4521392969962833</v>
      </c>
      <c r="AB101" s="122">
        <v>0.45255689920194869</v>
      </c>
      <c r="AC101" s="122">
        <v>0.45295155283014515</v>
      </c>
      <c r="AD101" s="122">
        <v>0.45332563276153848</v>
      </c>
      <c r="AE101" s="122">
        <v>0.45368116408399156</v>
      </c>
      <c r="AF101" s="122">
        <v>0.45401988751156852</v>
      </c>
      <c r="AG101" s="122">
        <v>0.4543433102000754</v>
      </c>
      <c r="AH101" s="122">
        <v>0.45465274570288416</v>
      </c>
      <c r="AI101" s="122">
        <v>0.45494934573712065</v>
      </c>
      <c r="AJ101" s="122">
        <v>0.45523412569465715</v>
      </c>
      <c r="AK101" s="122">
        <v>0.45550798531954678</v>
      </c>
      <c r="AL101" s="122">
        <v>0.4557717256104139</v>
      </c>
      <c r="AM101" s="122">
        <v>0.4560260627454481</v>
      </c>
      <c r="AN101" s="122">
        <v>0.45627163963774453</v>
      </c>
      <c r="AO101" s="122">
        <v>0.45650903558880318</v>
      </c>
      <c r="AP101" s="122">
        <v>0.45673877440370397</v>
      </c>
      <c r="AQ101" s="122">
        <v>0.45696133125293353</v>
      </c>
    </row>
    <row r="102" spans="7:43" ht="14.1" hidden="1" customHeight="1" thickTop="1" x14ac:dyDescent="0.25">
      <c r="G102" s="106"/>
      <c r="H102" s="218"/>
      <c r="J102" s="210"/>
      <c r="K102" s="119" t="s">
        <v>104</v>
      </c>
      <c r="L102" s="120">
        <v>0.44161576716833228</v>
      </c>
      <c r="M102" s="120">
        <v>0.44907588276565047</v>
      </c>
      <c r="N102" s="120">
        <v>0.45438361448867798</v>
      </c>
      <c r="O102" s="120">
        <v>0.45850864191762586</v>
      </c>
      <c r="P102" s="120">
        <v>0.46188409601423347</v>
      </c>
      <c r="Q102" s="120">
        <v>0.46474148209007854</v>
      </c>
      <c r="R102" s="120">
        <v>0.46721920146866897</v>
      </c>
      <c r="S102" s="120">
        <v>0.46940663822183165</v>
      </c>
      <c r="T102" s="120">
        <v>0.47136488798357573</v>
      </c>
      <c r="U102" s="120">
        <v>0.47313756778064958</v>
      </c>
      <c r="V102" s="120">
        <v>0.47475690882579902</v>
      </c>
      <c r="W102" s="120">
        <v>0.47624740550283856</v>
      </c>
      <c r="X102" s="120">
        <v>0.47762811007312589</v>
      </c>
      <c r="Y102" s="120">
        <v>0.47891413487250911</v>
      </c>
      <c r="Z102" s="120">
        <v>0.48011766937196798</v>
      </c>
      <c r="AA102" s="120">
        <v>0.48124868878476162</v>
      </c>
      <c r="AB102" s="120">
        <v>0.48231546010189452</v>
      </c>
      <c r="AC102" s="120">
        <v>0.4833249113153007</v>
      </c>
      <c r="AD102" s="120">
        <v>0.48428290595398998</v>
      </c>
      <c r="AE102" s="120">
        <v>0.4851944506603223</v>
      </c>
      <c r="AF102" s="120">
        <v>0.48606385449920986</v>
      </c>
      <c r="AG102" s="120">
        <v>0.48689485287403322</v>
      </c>
      <c r="AH102" s="120">
        <v>0.48769070508656942</v>
      </c>
      <c r="AI102" s="120">
        <v>0.48845427199529767</v>
      </c>
      <c r="AJ102" s="120">
        <v>0.48918807845427553</v>
      </c>
      <c r="AK102" s="120">
        <v>0.48989436397781289</v>
      </c>
      <c r="AL102" s="120">
        <v>0.49057512419917698</v>
      </c>
      <c r="AM102" s="120">
        <v>0.49123214506078866</v>
      </c>
      <c r="AN102" s="120">
        <v>0.49186703121367487</v>
      </c>
      <c r="AO102" s="120">
        <v>0.49248122976484721</v>
      </c>
      <c r="AP102" s="120">
        <v>0.49307605025828771</v>
      </c>
      <c r="AQ102" s="120">
        <v>0.49365268158451198</v>
      </c>
    </row>
    <row r="103" spans="7:43" ht="14.1" hidden="1" customHeight="1" x14ac:dyDescent="0.25">
      <c r="G103" s="106"/>
      <c r="H103" s="218"/>
      <c r="J103" s="210"/>
      <c r="K103" s="7" t="s">
        <v>105</v>
      </c>
      <c r="L103" s="93">
        <v>0.43950042314812782</v>
      </c>
      <c r="M103" s="93">
        <v>0.44568740778784954</v>
      </c>
      <c r="N103" s="93">
        <v>0.45007714324915016</v>
      </c>
      <c r="O103" s="93">
        <v>0.45348208660142914</v>
      </c>
      <c r="P103" s="93">
        <v>0.45626412788887188</v>
      </c>
      <c r="Q103" s="93">
        <v>0.45861631028193611</v>
      </c>
      <c r="R103" s="93">
        <v>0.46065386335017244</v>
      </c>
      <c r="S103" s="93">
        <v>0.46245111252859356</v>
      </c>
      <c r="T103" s="93">
        <v>0.46405880670245148</v>
      </c>
      <c r="U103" s="93">
        <v>0.46551314298605878</v>
      </c>
      <c r="V103" s="93">
        <v>0.46684084798989417</v>
      </c>
      <c r="W103" s="93">
        <v>0.46806221819658972</v>
      </c>
      <c r="X103" s="93">
        <v>0.46919303038295834</v>
      </c>
      <c r="Y103" s="93">
        <v>0.47024579134217309</v>
      </c>
      <c r="Z103" s="93">
        <v>0.47123058345119473</v>
      </c>
      <c r="AA103" s="93">
        <v>0.47215565344233973</v>
      </c>
      <c r="AB103" s="93">
        <v>0.47302783262961595</v>
      </c>
      <c r="AC103" s="93">
        <v>0.47385284336623007</v>
      </c>
      <c r="AD103" s="93">
        <v>0.47463552680347376</v>
      </c>
      <c r="AE103" s="93">
        <v>0.47538001502268024</v>
      </c>
      <c r="AF103" s="93">
        <v>0.47608986308708112</v>
      </c>
      <c r="AG103" s="93">
        <v>0.47676815171595349</v>
      </c>
      <c r="AH103" s="93">
        <v>0.47741756809091651</v>
      </c>
      <c r="AI103" s="93">
        <v>0.47804047015575268</v>
      </c>
      <c r="AJ103" s="93">
        <v>0.478638938297612</v>
      </c>
      <c r="AK103" s="93">
        <v>0.47921481726933768</v>
      </c>
      <c r="AL103" s="93">
        <v>0.47976975048398068</v>
      </c>
      <c r="AM103" s="93">
        <v>0.48030520828865564</v>
      </c>
      <c r="AN103" s="93">
        <v>0.48082251144319549</v>
      </c>
      <c r="AO103" s="93">
        <v>0.48132285074758491</v>
      </c>
      <c r="AP103" s="93">
        <v>0.48180730355221707</v>
      </c>
      <c r="AQ103" s="93">
        <v>0.48227684772680285</v>
      </c>
    </row>
    <row r="104" spans="7:43" ht="14.1" hidden="1" customHeight="1" thickBot="1" x14ac:dyDescent="0.3">
      <c r="G104" s="106"/>
      <c r="H104" s="218"/>
      <c r="J104" s="210"/>
      <c r="K104" s="121" t="s">
        <v>106</v>
      </c>
      <c r="L104" s="122">
        <v>0.43421206309761673</v>
      </c>
      <c r="M104" s="122">
        <v>0.43726833246992336</v>
      </c>
      <c r="N104" s="122">
        <v>0.43942173895124442</v>
      </c>
      <c r="O104" s="122">
        <v>0.44108390526132141</v>
      </c>
      <c r="P104" s="122">
        <v>0.44243689545864084</v>
      </c>
      <c r="Q104" s="122">
        <v>0.44357734482988009</v>
      </c>
      <c r="R104" s="122">
        <v>0.44456271360078431</v>
      </c>
      <c r="S104" s="122">
        <v>0.4454299482376165</v>
      </c>
      <c r="T104" s="122">
        <v>0.44620420860075832</v>
      </c>
      <c r="U104" s="122">
        <v>0.44690339904935433</v>
      </c>
      <c r="V104" s="122">
        <v>0.44754071282672986</v>
      </c>
      <c r="W104" s="122">
        <v>0.44812615098545505</v>
      </c>
      <c r="X104" s="122">
        <v>0.44866747486598235</v>
      </c>
      <c r="Y104" s="122">
        <v>0.44917082803900682</v>
      </c>
      <c r="Z104" s="122">
        <v>0.44964115642386382</v>
      </c>
      <c r="AA104" s="122">
        <v>0.45008250038072783</v>
      </c>
      <c r="AB104" s="122">
        <v>0.45049820290014836</v>
      </c>
      <c r="AC104" s="122">
        <v>0.45089106123593792</v>
      </c>
      <c r="AD104" s="122">
        <v>0.45126343946535141</v>
      </c>
      <c r="AE104" s="122">
        <v>0.45161735346406023</v>
      </c>
      <c r="AF104" s="122">
        <v>0.45195453602756269</v>
      </c>
      <c r="AG104" s="122">
        <v>0.45227648745556304</v>
      </c>
      <c r="AH104" s="122">
        <v>0.45258451532603555</v>
      </c>
      <c r="AI104" s="122">
        <v>0.45287976611690689</v>
      </c>
      <c r="AJ104" s="122">
        <v>0.4531632506009981</v>
      </c>
      <c r="AK104" s="122">
        <v>0.45343586442939682</v>
      </c>
      <c r="AL104" s="122">
        <v>0.45369840495695818</v>
      </c>
      <c r="AM104" s="122">
        <v>0.45395158510395345</v>
      </c>
      <c r="AN104" s="122">
        <v>0.45419604485884485</v>
      </c>
      <c r="AO104" s="122">
        <v>0.45443236088787081</v>
      </c>
      <c r="AP104" s="122">
        <v>0.45466105461330447</v>
      </c>
      <c r="AQ104" s="122">
        <v>0.4548825990440663</v>
      </c>
    </row>
    <row r="105" spans="7:43" ht="14.1" hidden="1" customHeight="1" thickTop="1" x14ac:dyDescent="0.25">
      <c r="G105" s="106"/>
      <c r="H105" s="218"/>
      <c r="J105" s="210"/>
      <c r="K105" s="119" t="s">
        <v>107</v>
      </c>
      <c r="L105" s="120">
        <v>0.43449929185309216</v>
      </c>
      <c r="M105" s="120">
        <v>0.44183919043724174</v>
      </c>
      <c r="N105" s="120">
        <v>0.44706139001989964</v>
      </c>
      <c r="O105" s="120">
        <v>0.45111994415225071</v>
      </c>
      <c r="P105" s="120">
        <v>0.45444100405023119</v>
      </c>
      <c r="Q105" s="120">
        <v>0.45725234440265189</v>
      </c>
      <c r="R105" s="120">
        <v>0.45969013624670507</v>
      </c>
      <c r="S105" s="120">
        <v>0.46184232326284552</v>
      </c>
      <c r="T105" s="120">
        <v>0.46376901655145936</v>
      </c>
      <c r="U105" s="120">
        <v>0.46551313026698543</v>
      </c>
      <c r="V105" s="120">
        <v>0.46710637622805612</v>
      </c>
      <c r="W105" s="120">
        <v>0.46857285410051902</v>
      </c>
      <c r="X105" s="120">
        <v>0.4699313091255623</v>
      </c>
      <c r="Y105" s="120">
        <v>0.47119661010931208</v>
      </c>
      <c r="Z105" s="120">
        <v>0.47238075009391617</v>
      </c>
      <c r="AA105" s="120">
        <v>0.47349354354574874</v>
      </c>
      <c r="AB105" s="120">
        <v>0.47454312423630129</v>
      </c>
      <c r="AC105" s="120">
        <v>0.47553630851547141</v>
      </c>
      <c r="AD105" s="120">
        <v>0.47647886542366003</v>
      </c>
      <c r="AE105" s="120">
        <v>0.47737572092303093</v>
      </c>
      <c r="AF105" s="120">
        <v>0.47823111463950352</v>
      </c>
      <c r="AG105" s="120">
        <v>0.47904872178180968</v>
      </c>
      <c r="AH105" s="120">
        <v>0.47983174912927951</v>
      </c>
      <c r="AI105" s="120">
        <v>0.48058301143871252</v>
      </c>
      <c r="AJ105" s="120">
        <v>0.48130499287707351</v>
      </c>
      <c r="AK105" s="120">
        <v>0.48199989686972483</v>
      </c>
      <c r="AL105" s="120">
        <v>0.48266968689103928</v>
      </c>
      <c r="AM105" s="120">
        <v>0.48331612010363373</v>
      </c>
      <c r="AN105" s="120">
        <v>0.48394077530017526</v>
      </c>
      <c r="AO105" s="120">
        <v>0.48454507626807947</v>
      </c>
      <c r="AP105" s="120">
        <v>0.48513031144850977</v>
      </c>
      <c r="AQ105" s="120">
        <v>0.48569765057344921</v>
      </c>
    </row>
    <row r="106" spans="7:43" ht="14.1" hidden="1" customHeight="1" x14ac:dyDescent="0.25">
      <c r="G106" s="106"/>
      <c r="H106" s="218"/>
      <c r="J106" s="210"/>
      <c r="K106" s="7" t="s">
        <v>108</v>
      </c>
      <c r="L106" s="93">
        <v>0.43241803582209049</v>
      </c>
      <c r="M106" s="93">
        <v>0.43850531948476906</v>
      </c>
      <c r="N106" s="93">
        <v>0.44282431597709876</v>
      </c>
      <c r="O106" s="93">
        <v>0.44617438992226471</v>
      </c>
      <c r="P106" s="93">
        <v>0.44891159963977728</v>
      </c>
      <c r="Q106" s="93">
        <v>0.45122587748055498</v>
      </c>
      <c r="R106" s="93">
        <v>0.45323059613210698</v>
      </c>
      <c r="S106" s="93">
        <v>0.4549988833024558</v>
      </c>
      <c r="T106" s="93">
        <v>0.45658067007727293</v>
      </c>
      <c r="U106" s="93">
        <v>0.45801157026771555</v>
      </c>
      <c r="V106" s="93">
        <v>0.45931787979478544</v>
      </c>
      <c r="W106" s="93">
        <v>0.4605195680707781</v>
      </c>
      <c r="X106" s="93">
        <v>0.46163215763556309</v>
      </c>
      <c r="Y106" s="93">
        <v>0.46266795373995134</v>
      </c>
      <c r="Z106" s="93">
        <v>0.46363687628711509</v>
      </c>
      <c r="AA106" s="93">
        <v>0.46454703911631912</v>
      </c>
      <c r="AB106" s="93">
        <v>0.46540516345746402</v>
      </c>
      <c r="AC106" s="93">
        <v>0.46621687945014367</v>
      </c>
      <c r="AD106" s="93">
        <v>0.46698695023228104</v>
      </c>
      <c r="AE106" s="93">
        <v>0.46771944129824172</v>
      </c>
      <c r="AF106" s="93">
        <v>0.46841785042272371</v>
      </c>
      <c r="AG106" s="93">
        <v>0.46908520868034842</v>
      </c>
      <c r="AH106" s="93">
        <v>0.46972415994979366</v>
      </c>
      <c r="AI106" s="93">
        <v>0.47033702417744699</v>
      </c>
      <c r="AJ106" s="93">
        <v>0.47092584822578626</v>
      </c>
      <c r="AK106" s="93">
        <v>0.47149244712014254</v>
      </c>
      <c r="AL106" s="93">
        <v>0.47203843779057131</v>
      </c>
      <c r="AM106" s="93">
        <v>0.47256526689008532</v>
      </c>
      <c r="AN106" s="93">
        <v>0.47307423389495962</v>
      </c>
      <c r="AO106" s="93">
        <v>0.47356651041587605</v>
      </c>
      <c r="AP106" s="93">
        <v>0.4740431564421233</v>
      </c>
      <c r="AQ106" s="93">
        <v>0.47450513408540229</v>
      </c>
    </row>
    <row r="107" spans="7:43" ht="14.1" hidden="1" customHeight="1" thickBot="1" x14ac:dyDescent="0.3">
      <c r="G107" s="106"/>
      <c r="H107" s="218"/>
      <c r="J107" s="210"/>
      <c r="K107" s="121" t="s">
        <v>109</v>
      </c>
      <c r="L107" s="122">
        <v>0.42721489574458643</v>
      </c>
      <c r="M107" s="122">
        <v>0.4302219144624515</v>
      </c>
      <c r="N107" s="122">
        <v>0.43234061959203807</v>
      </c>
      <c r="O107" s="122">
        <v>0.43397600070467673</v>
      </c>
      <c r="P107" s="122">
        <v>0.43530718796365742</v>
      </c>
      <c r="Q107" s="122">
        <v>0.43642925941363098</v>
      </c>
      <c r="R107" s="122">
        <v>0.43739874932998368</v>
      </c>
      <c r="S107" s="122">
        <v>0.43825200880029241</v>
      </c>
      <c r="T107" s="122">
        <v>0.43901379224306247</v>
      </c>
      <c r="U107" s="122">
        <v>0.43970171549529002</v>
      </c>
      <c r="V107" s="122">
        <v>0.44032875919604703</v>
      </c>
      <c r="W107" s="122">
        <v>0.44090476323462768</v>
      </c>
      <c r="X107" s="122">
        <v>0.44143736388034382</v>
      </c>
      <c r="Y107" s="122">
        <v>0.44193260570251314</v>
      </c>
      <c r="Z107" s="122">
        <v>0.44239535491880383</v>
      </c>
      <c r="AA107" s="122">
        <v>0.44282958678047546</v>
      </c>
      <c r="AB107" s="122">
        <v>0.44323859040701702</v>
      </c>
      <c r="AC107" s="122">
        <v>0.44362511797552673</v>
      </c>
      <c r="AD107" s="122">
        <v>0.44399149546702604</v>
      </c>
      <c r="AE107" s="122">
        <v>0.44433970627209285</v>
      </c>
      <c r="AF107" s="122">
        <v>0.44467145526286467</v>
      </c>
      <c r="AG107" s="122">
        <v>0.44498821856226906</v>
      </c>
      <c r="AH107" s="122">
        <v>0.44529128267714324</v>
      </c>
      <c r="AI107" s="122">
        <v>0.44558177561034451</v>
      </c>
      <c r="AJ107" s="122">
        <v>0.44586069184646254</v>
      </c>
      <c r="AK107" s="122">
        <v>0.4461289126034978</v>
      </c>
      <c r="AL107" s="122">
        <v>0.44638722238722583</v>
      </c>
      <c r="AM107" s="122">
        <v>0.44663632262947051</v>
      </c>
      <c r="AN107" s="122">
        <v>0.44687684300551589</v>
      </c>
      <c r="AO107" s="122">
        <v>0.44710935088883647</v>
      </c>
      <c r="AP107" s="122">
        <v>0.4473343592991777</v>
      </c>
      <c r="AQ107" s="122">
        <v>0.44755233362309566</v>
      </c>
    </row>
    <row r="108" spans="7:43" ht="14.1" hidden="1" customHeight="1" thickTop="1" x14ac:dyDescent="0.25">
      <c r="G108" s="106"/>
      <c r="H108" s="218"/>
      <c r="J108" s="210"/>
      <c r="K108" s="119" t="s">
        <v>110</v>
      </c>
      <c r="L108" s="120">
        <v>0.37303839357042784</v>
      </c>
      <c r="M108" s="120">
        <v>0.37934004705557728</v>
      </c>
      <c r="N108" s="120">
        <v>0.38382355480747837</v>
      </c>
      <c r="O108" s="120">
        <v>0.387308017365044</v>
      </c>
      <c r="P108" s="120">
        <v>0.39015930589996917</v>
      </c>
      <c r="Q108" s="120">
        <v>0.39257297586102702</v>
      </c>
      <c r="R108" s="120">
        <v>0.39466593658712223</v>
      </c>
      <c r="S108" s="120">
        <v>0.3965136919280805</v>
      </c>
      <c r="T108" s="120">
        <v>0.39816785013446587</v>
      </c>
      <c r="U108" s="120">
        <v>0.39966525505742717</v>
      </c>
      <c r="V108" s="120">
        <v>0.40103313280780412</v>
      </c>
      <c r="W108" s="120">
        <v>0.4022921740997174</v>
      </c>
      <c r="X108" s="120">
        <v>0.4034584726179925</v>
      </c>
      <c r="Y108" s="120">
        <v>0.40454479394281689</v>
      </c>
      <c r="Z108" s="120">
        <v>0.40556143467365741</v>
      </c>
      <c r="AA108" s="120">
        <v>0.40651682099863135</v>
      </c>
      <c r="AB108" s="120">
        <v>0.40741793614902994</v>
      </c>
      <c r="AC108" s="120">
        <v>0.40827063228678634</v>
      </c>
      <c r="AD108" s="120">
        <v>0.40907986240861194</v>
      </c>
      <c r="AE108" s="120">
        <v>0.40984985568828619</v>
      </c>
      <c r="AF108" s="120">
        <v>0.41058425204714394</v>
      </c>
      <c r="AG108" s="120">
        <v>0.41128620682740791</v>
      </c>
      <c r="AH108" s="120">
        <v>0.41195847320228762</v>
      </c>
      <c r="AI108" s="120">
        <v>0.41260346777492696</v>
      </c>
      <c r="AJ108" s="120">
        <v>0.41322332332130818</v>
      </c>
      <c r="AK108" s="120">
        <v>0.41381993158733954</v>
      </c>
      <c r="AL108" s="120">
        <v>0.4143949783095448</v>
      </c>
      <c r="AM108" s="120">
        <v>0.41494997209595197</v>
      </c>
      <c r="AN108" s="120">
        <v>0.41548626841546832</v>
      </c>
      <c r="AO108" s="120">
        <v>0.41600508965758959</v>
      </c>
      <c r="AP108" s="120">
        <v>0.41650754201059004</v>
      </c>
      <c r="AQ108" s="120">
        <v>0.41699462974524309</v>
      </c>
    </row>
    <row r="109" spans="7:43" ht="14.1" hidden="1" customHeight="1" x14ac:dyDescent="0.25">
      <c r="G109" s="106"/>
      <c r="H109" s="218"/>
      <c r="J109" s="210"/>
      <c r="K109" s="7" t="s">
        <v>111</v>
      </c>
      <c r="L109" s="93">
        <v>0.37125153586784698</v>
      </c>
      <c r="M109" s="93">
        <v>0.3764777596185197</v>
      </c>
      <c r="N109" s="93">
        <v>0.38018582438075121</v>
      </c>
      <c r="O109" s="93">
        <v>0.38306202286088453</v>
      </c>
      <c r="P109" s="93">
        <v>0.38541204813142399</v>
      </c>
      <c r="Q109" s="93">
        <v>0.38739896618672715</v>
      </c>
      <c r="R109" s="93">
        <v>0.38912011289365545</v>
      </c>
      <c r="S109" s="93">
        <v>0.39063827188209665</v>
      </c>
      <c r="T109" s="93">
        <v>0.39199631137378871</v>
      </c>
      <c r="U109" s="93">
        <v>0.39322480752651157</v>
      </c>
      <c r="V109" s="93">
        <v>0.39434633664432811</v>
      </c>
      <c r="W109" s="93">
        <v>0.39537804342142518</v>
      </c>
      <c r="X109" s="93">
        <v>0.39633325469963127</v>
      </c>
      <c r="Y109" s="93">
        <v>0.39722253512446137</v>
      </c>
      <c r="Z109" s="93">
        <v>0.39805440140655957</v>
      </c>
      <c r="AA109" s="93">
        <v>0.39883581966444842</v>
      </c>
      <c r="AB109" s="93">
        <v>0.39957256039500089</v>
      </c>
      <c r="AC109" s="93">
        <v>0.40026945734195157</v>
      </c>
      <c r="AD109" s="93">
        <v>0.40093059988669288</v>
      </c>
      <c r="AE109" s="93">
        <v>0.4015594784503041</v>
      </c>
      <c r="AF109" s="93">
        <v>0.4021590960394158</v>
      </c>
      <c r="AG109" s="93">
        <v>0.40273205497635339</v>
      </c>
      <c r="AH109" s="93">
        <v>0.40328062515723234</v>
      </c>
      <c r="AI109" s="93">
        <v>0.40380679836682615</v>
      </c>
      <c r="AJ109" s="93">
        <v>0.40431233193432936</v>
      </c>
      <c r="AK109" s="93">
        <v>0.40479878414567361</v>
      </c>
      <c r="AL109" s="93">
        <v>0.40526754321253544</v>
      </c>
      <c r="AM109" s="93">
        <v>0.40571985115561787</v>
      </c>
      <c r="AN109" s="93">
        <v>0.40615682363736555</v>
      </c>
      <c r="AO109" s="93">
        <v>0.40657946654150451</v>
      </c>
      <c r="AP109" s="93">
        <v>0.40698868991946369</v>
      </c>
      <c r="AQ109" s="93">
        <v>0.40738531979008846</v>
      </c>
    </row>
    <row r="110" spans="7:43" ht="14.1" hidden="1" customHeight="1" thickBot="1" x14ac:dyDescent="0.3">
      <c r="G110" s="106"/>
      <c r="H110" s="218"/>
      <c r="J110" s="210"/>
      <c r="K110" s="121" t="s">
        <v>112</v>
      </c>
      <c r="L110" s="122">
        <v>0.36678439161139492</v>
      </c>
      <c r="M110" s="122">
        <v>0.36936606079470824</v>
      </c>
      <c r="N110" s="122">
        <v>0.3711850703369784</v>
      </c>
      <c r="O110" s="122">
        <v>0.37258912312733472</v>
      </c>
      <c r="P110" s="122">
        <v>0.37373201096614728</v>
      </c>
      <c r="Q110" s="122">
        <v>0.37469536289563876</v>
      </c>
      <c r="R110" s="122">
        <v>0.37552771629128301</v>
      </c>
      <c r="S110" s="122">
        <v>0.37626028029787834</v>
      </c>
      <c r="T110" s="122">
        <v>0.37691430776597268</v>
      </c>
      <c r="U110" s="122">
        <v>0.37750492273295283</v>
      </c>
      <c r="V110" s="122">
        <v>0.3780432696974122</v>
      </c>
      <c r="W110" s="122">
        <v>0.37853779667425907</v>
      </c>
      <c r="X110" s="122">
        <v>0.37899505976540288</v>
      </c>
      <c r="Y110" s="122">
        <v>0.37942024852228901</v>
      </c>
      <c r="Z110" s="122">
        <v>0.37981754082519437</v>
      </c>
      <c r="AA110" s="122">
        <v>0.38019034961718168</v>
      </c>
      <c r="AB110" s="122">
        <v>0.38054149876441923</v>
      </c>
      <c r="AC110" s="122">
        <v>0.38087335114238885</v>
      </c>
      <c r="AD110" s="122">
        <v>0.38118790371688527</v>
      </c>
      <c r="AE110" s="122">
        <v>0.38148685932344562</v>
      </c>
      <c r="AF110" s="122">
        <v>0.38177168167622394</v>
      </c>
      <c r="AG110" s="122">
        <v>0.38204363809725272</v>
      </c>
      <c r="AH110" s="122">
        <v>0.38230383311409455</v>
      </c>
      <c r="AI110" s="122">
        <v>0.38255323517107559</v>
      </c>
      <c r="AJ110" s="122">
        <v>0.3827926980807122</v>
      </c>
      <c r="AK110" s="122">
        <v>0.38302297841074434</v>
      </c>
      <c r="AL110" s="122">
        <v>0.38324474969684813</v>
      </c>
      <c r="AM110" s="122">
        <v>0.38345861415174431</v>
      </c>
      <c r="AN110" s="122">
        <v>0.38366511238173739</v>
      </c>
      <c r="AO110" s="122">
        <v>0.38386473150405281</v>
      </c>
      <c r="AP110" s="122">
        <v>0.38405791197064354</v>
      </c>
      <c r="AQ110" s="122">
        <v>0.38424505333809467</v>
      </c>
    </row>
    <row r="111" spans="7:43" ht="14.1" hidden="1" customHeight="1" thickTop="1" x14ac:dyDescent="0.25">
      <c r="G111" s="106"/>
      <c r="H111" s="218"/>
      <c r="J111" s="210"/>
      <c r="K111" s="119" t="s">
        <v>113</v>
      </c>
      <c r="L111" s="120">
        <v>0.28818324714342741</v>
      </c>
      <c r="M111" s="120">
        <v>0.29305146176965247</v>
      </c>
      <c r="N111" s="120">
        <v>0.29651510477478366</v>
      </c>
      <c r="O111" s="120">
        <v>0.29920695567189348</v>
      </c>
      <c r="P111" s="120">
        <v>0.30140966081618958</v>
      </c>
      <c r="Q111" s="120">
        <v>0.30327429260449612</v>
      </c>
      <c r="R111" s="120">
        <v>0.30489116697610391</v>
      </c>
      <c r="S111" s="120">
        <v>0.30631861289926315</v>
      </c>
      <c r="T111" s="120">
        <v>0.3075964992815266</v>
      </c>
      <c r="U111" s="120">
        <v>0.30875328909304517</v>
      </c>
      <c r="V111" s="120">
        <v>0.3098100153137055</v>
      </c>
      <c r="W111" s="120">
        <v>0.31078266213517197</v>
      </c>
      <c r="X111" s="120">
        <v>0.3116836624073373</v>
      </c>
      <c r="Y111" s="120">
        <v>0.31252287792033773</v>
      </c>
      <c r="Z111" s="120">
        <v>0.31330826310331511</v>
      </c>
      <c r="AA111" s="120">
        <v>0.31404632743704819</v>
      </c>
      <c r="AB111" s="120">
        <v>0.31474246567527747</v>
      </c>
      <c r="AC111" s="120">
        <v>0.3154011987870447</v>
      </c>
      <c r="AD111" s="120">
        <v>0.31602635310953114</v>
      </c>
      <c r="AE111" s="120">
        <v>0.3166211958051886</v>
      </c>
      <c r="AF111" s="120">
        <v>0.31718853882144027</v>
      </c>
      <c r="AG111" s="120">
        <v>0.31773081975394202</v>
      </c>
      <c r="AH111" s="120">
        <v>0.31825016551083279</v>
      </c>
      <c r="AI111" s="120">
        <v>0.31874844298987198</v>
      </c>
      <c r="AJ111" s="120">
        <v>0.31922729982389997</v>
      </c>
      <c r="AK111" s="120">
        <v>0.31968819744286064</v>
      </c>
      <c r="AL111" s="120">
        <v>0.32013243812832515</v>
      </c>
      <c r="AM111" s="120">
        <v>0.32056118732483663</v>
      </c>
      <c r="AN111" s="120">
        <v>0.32097549217241561</v>
      </c>
      <c r="AO111" s="120">
        <v>0.32137629700328152</v>
      </c>
      <c r="AP111" s="120">
        <v>0.3217644563807564</v>
      </c>
      <c r="AQ111" s="120">
        <v>0.3221407461338634</v>
      </c>
    </row>
    <row r="112" spans="7:43" ht="14.1" hidden="1" customHeight="1" x14ac:dyDescent="0.25">
      <c r="G112" s="106"/>
      <c r="H112" s="218"/>
      <c r="J112" s="210"/>
      <c r="K112" s="7" t="s">
        <v>114</v>
      </c>
      <c r="L112" s="93">
        <v>0.28680284645602261</v>
      </c>
      <c r="M112" s="93">
        <v>0.2908402596465301</v>
      </c>
      <c r="N112" s="93">
        <v>0.29370484989304652</v>
      </c>
      <c r="O112" s="93">
        <v>0.29592679871043365</v>
      </c>
      <c r="P112" s="93">
        <v>0.297742263083554</v>
      </c>
      <c r="Q112" s="93">
        <v>0.29927721633998622</v>
      </c>
      <c r="R112" s="93">
        <v>0.30060685333007037</v>
      </c>
      <c r="S112" s="93">
        <v>0.30177967627406144</v>
      </c>
      <c r="T112" s="93">
        <v>0.3028288021474575</v>
      </c>
      <c r="U112" s="93">
        <v>0.30377785194098239</v>
      </c>
      <c r="V112" s="93">
        <v>0.3046442665205778</v>
      </c>
      <c r="W112" s="93">
        <v>0.30544129067210818</v>
      </c>
      <c r="X112" s="93">
        <v>0.30617921977701001</v>
      </c>
      <c r="Y112" s="93">
        <v>0.30686621533796493</v>
      </c>
      <c r="Z112" s="93">
        <v>0.30750885676709422</v>
      </c>
      <c r="AA112" s="93">
        <v>0.30811252559801594</v>
      </c>
      <c r="AB112" s="93">
        <v>0.3086816797110854</v>
      </c>
      <c r="AC112" s="93">
        <v>0.30922005331701469</v>
      </c>
      <c r="AD112" s="93">
        <v>0.30973080558448135</v>
      </c>
      <c r="AE112" s="93">
        <v>0.31021663296751761</v>
      </c>
      <c r="AF112" s="93">
        <v>0.3106798553780063</v>
      </c>
      <c r="AG112" s="93">
        <v>0.31112248318729463</v>
      </c>
      <c r="AH112" s="93">
        <v>0.31154626995760171</v>
      </c>
      <c r="AI112" s="93">
        <v>0.31195275440186843</v>
      </c>
      <c r="AJ112" s="93">
        <v>0.31234329410913203</v>
      </c>
      <c r="AK112" s="93">
        <v>0.31271909290159283</v>
      </c>
      <c r="AL112" s="93">
        <v>0.31308122321403392</v>
      </c>
      <c r="AM112" s="93">
        <v>0.31343064454436587</v>
      </c>
      <c r="AN112" s="93">
        <v>0.31376821877498884</v>
      </c>
      <c r="AO112" s="93">
        <v>0.3140947229809799</v>
      </c>
      <c r="AP112" s="93">
        <v>0.31441086020411807</v>
      </c>
      <c r="AQ112" s="93">
        <v>0.31471726856851379</v>
      </c>
    </row>
    <row r="113" spans="7:70" ht="14.1" hidden="1" customHeight="1" thickBot="1" x14ac:dyDescent="0.3">
      <c r="G113" s="106"/>
      <c r="H113" s="218"/>
      <c r="J113" s="210"/>
      <c r="K113" s="121" t="s">
        <v>115</v>
      </c>
      <c r="L113" s="122">
        <v>0.28335184473751068</v>
      </c>
      <c r="M113" s="122">
        <v>0.28534626091858106</v>
      </c>
      <c r="N113" s="122">
        <v>0.28675149985782</v>
      </c>
      <c r="O113" s="122">
        <v>0.28783617237212317</v>
      </c>
      <c r="P113" s="122">
        <v>0.28871908719854988</v>
      </c>
      <c r="Q113" s="122">
        <v>0.28946330519854069</v>
      </c>
      <c r="R113" s="122">
        <v>0.2901063229373631</v>
      </c>
      <c r="S113" s="122">
        <v>0.2906722504070276</v>
      </c>
      <c r="T113" s="122">
        <v>0.29117750606629761</v>
      </c>
      <c r="U113" s="122">
        <v>0.29163377368359772</v>
      </c>
      <c r="V113" s="122">
        <v>0.29204966271534805</v>
      </c>
      <c r="W113" s="122">
        <v>0.29243169950417219</v>
      </c>
      <c r="X113" s="122">
        <v>0.29278494883366724</v>
      </c>
      <c r="Y113" s="122">
        <v>0.29311341978657784</v>
      </c>
      <c r="Z113" s="122">
        <v>0.29342033989960037</v>
      </c>
      <c r="AA113" s="122">
        <v>0.29370834577269617</v>
      </c>
      <c r="AB113" s="122">
        <v>0.29397961892641639</v>
      </c>
      <c r="AC113" s="122">
        <v>0.29423598475230417</v>
      </c>
      <c r="AD113" s="122">
        <v>0.29447898596579347</v>
      </c>
      <c r="AE113" s="122">
        <v>0.29470993805795132</v>
      </c>
      <c r="AF113" s="122">
        <v>0.29492997179146885</v>
      </c>
      <c r="AG113" s="122">
        <v>0.29514006621028577</v>
      </c>
      <c r="AH113" s="122">
        <v>0.29534107459477493</v>
      </c>
      <c r="AI113" s="122">
        <v>0.29553374509696406</v>
      </c>
      <c r="AJ113" s="122">
        <v>0.29571873731240061</v>
      </c>
      <c r="AK113" s="122">
        <v>0.2958966357121518</v>
      </c>
      <c r="AL113" s="122">
        <v>0.29606796062254737</v>
      </c>
      <c r="AM113" s="122">
        <v>0.29623317727081422</v>
      </c>
      <c r="AN113" s="122">
        <v>0.29639270329139139</v>
      </c>
      <c r="AO113" s="122">
        <v>0.29654691499681446</v>
      </c>
      <c r="AP113" s="122">
        <v>0.29669615264930904</v>
      </c>
      <c r="AQ113" s="122">
        <v>0.29684072491821339</v>
      </c>
    </row>
    <row r="114" spans="7:70" ht="14.1" customHeight="1" thickTop="1" thickBot="1" x14ac:dyDescent="0.3">
      <c r="G114" s="106"/>
      <c r="H114" s="218"/>
      <c r="I114" s="3" t="s">
        <v>361</v>
      </c>
      <c r="J114" s="210"/>
      <c r="K114" s="119" t="s">
        <v>116</v>
      </c>
      <c r="L114" s="120">
        <f>L158*(1-$I$115)</f>
        <v>0.32542556265794936</v>
      </c>
      <c r="M114" s="120">
        <f t="shared" ref="M114:AQ122" si="3">M158*(1-$I$115)</f>
        <v>0.32775751577348677</v>
      </c>
      <c r="N114" s="120">
        <f t="shared" si="3"/>
        <v>0.32941402715122209</v>
      </c>
      <c r="O114" s="120">
        <f t="shared" si="3"/>
        <v>0.33069999498096631</v>
      </c>
      <c r="P114" s="120">
        <f t="shared" si="3"/>
        <v>0.33175138861568598</v>
      </c>
      <c r="Q114" s="120">
        <f t="shared" si="3"/>
        <v>0.33264079905740312</v>
      </c>
      <c r="R114" s="120">
        <f t="shared" si="3"/>
        <v>0.33341158491218875</v>
      </c>
      <c r="S114" s="120">
        <f t="shared" si="3"/>
        <v>0.33409172828067085</v>
      </c>
      <c r="T114" s="120">
        <f t="shared" si="3"/>
        <v>0.33470034375897045</v>
      </c>
      <c r="U114" s="120">
        <f t="shared" si="3"/>
        <v>0.33525107033424373</v>
      </c>
      <c r="V114" s="120">
        <f t="shared" si="3"/>
        <v>0.33575398199735007</v>
      </c>
      <c r="W114" s="120">
        <f t="shared" si="3"/>
        <v>0.33621673140285896</v>
      </c>
      <c r="X114" s="120">
        <f t="shared" si="3"/>
        <v>0.33664526873551459</v>
      </c>
      <c r="Y114" s="120">
        <f t="shared" si="3"/>
        <v>0.33704431210882596</v>
      </c>
      <c r="Z114" s="120">
        <f t="shared" si="3"/>
        <v>0.33741766592742778</v>
      </c>
      <c r="AA114" s="120">
        <f t="shared" si="3"/>
        <v>0.33776844262028238</v>
      </c>
      <c r="AB114" s="120">
        <f t="shared" si="3"/>
        <v>0.33809922093624983</v>
      </c>
      <c r="AC114" s="120">
        <f t="shared" si="3"/>
        <v>0.33841216140894237</v>
      </c>
      <c r="AD114" s="120">
        <f t="shared" si="3"/>
        <v>0.33870909218738043</v>
      </c>
      <c r="AE114" s="120">
        <f t="shared" si="3"/>
        <v>0.33899157391593976</v>
      </c>
      <c r="AF114" s="120">
        <f t="shared" si="3"/>
        <v>0.33926094951612784</v>
      </c>
      <c r="AG114" s="120">
        <f t="shared" si="3"/>
        <v>0.33951838289981978</v>
      </c>
      <c r="AH114" s="120">
        <f t="shared" si="3"/>
        <v>0.33976488944203986</v>
      </c>
      <c r="AI114" s="120">
        <f t="shared" si="3"/>
        <v>0.34000136023263305</v>
      </c>
      <c r="AJ114" s="120">
        <f t="shared" si="3"/>
        <v>0.34022858157140373</v>
      </c>
      <c r="AK114" s="120">
        <f t="shared" si="3"/>
        <v>0.34044725078416549</v>
      </c>
      <c r="AL114" s="120">
        <f t="shared" si="3"/>
        <v>0.34065798916271917</v>
      </c>
      <c r="AM114" s="120">
        <f t="shared" si="3"/>
        <v>0.34086135263444522</v>
      </c>
      <c r="AN114" s="120">
        <f t="shared" si="3"/>
        <v>0.34105784062340394</v>
      </c>
      <c r="AO114" s="120">
        <f t="shared" si="3"/>
        <v>0.34124790345878714</v>
      </c>
      <c r="AP114" s="120">
        <f t="shared" si="3"/>
        <v>0.34143194860746651</v>
      </c>
      <c r="AQ114" s="120">
        <f t="shared" si="3"/>
        <v>0.34161034594775064</v>
      </c>
    </row>
    <row r="115" spans="7:70" ht="14.1" customHeight="1" thickTop="1" thickBot="1" x14ac:dyDescent="0.3">
      <c r="G115" s="106"/>
      <c r="H115" s="218"/>
      <c r="I115" s="201">
        <v>0.37</v>
      </c>
      <c r="J115" s="210"/>
      <c r="K115" s="7" t="s">
        <v>117</v>
      </c>
      <c r="L115" s="120">
        <f t="shared" ref="L115:AA131" si="4">L159*(1-$I$115)</f>
        <v>0.32476249972702581</v>
      </c>
      <c r="M115" s="120">
        <f t="shared" si="4"/>
        <v>0.32670183447806833</v>
      </c>
      <c r="N115" s="120">
        <f t="shared" si="4"/>
        <v>0.32807781438164324</v>
      </c>
      <c r="O115" s="120">
        <f t="shared" si="4"/>
        <v>0.32914510731235652</v>
      </c>
      <c r="P115" s="120">
        <f t="shared" si="4"/>
        <v>0.33001714913268593</v>
      </c>
      <c r="Q115" s="120">
        <f t="shared" si="4"/>
        <v>0.3307544499862185</v>
      </c>
      <c r="R115" s="120">
        <f t="shared" si="4"/>
        <v>0.33139312903626089</v>
      </c>
      <c r="S115" s="120">
        <f t="shared" si="4"/>
        <v>0.33195648388372845</v>
      </c>
      <c r="T115" s="120">
        <f t="shared" si="4"/>
        <v>0.33246042196697406</v>
      </c>
      <c r="U115" s="120">
        <f t="shared" si="4"/>
        <v>0.33291628941432377</v>
      </c>
      <c r="V115" s="120">
        <f t="shared" si="4"/>
        <v>0.33333246378730347</v>
      </c>
      <c r="W115" s="120">
        <f t="shared" si="4"/>
        <v>0.33371530709849023</v>
      </c>
      <c r="X115" s="120">
        <f t="shared" si="4"/>
        <v>0.33406976464083604</v>
      </c>
      <c r="Y115" s="120">
        <f t="shared" si="4"/>
        <v>0.33439975671801658</v>
      </c>
      <c r="Z115" s="120">
        <f t="shared" si="4"/>
        <v>0.33470844369087832</v>
      </c>
      <c r="AA115" s="120">
        <f t="shared" si="4"/>
        <v>0.33499841053021012</v>
      </c>
      <c r="AB115" s="120">
        <f t="shared" si="3"/>
        <v>0.33527179853834593</v>
      </c>
      <c r="AC115" s="120">
        <f t="shared" si="3"/>
        <v>0.33553040140948071</v>
      </c>
      <c r="AD115" s="120">
        <f t="shared" si="3"/>
        <v>0.33577573662159149</v>
      </c>
      <c r="AE115" s="120">
        <f t="shared" si="3"/>
        <v>0.33600909939187856</v>
      </c>
      <c r="AF115" s="120">
        <f t="shared" si="3"/>
        <v>0.3362316040689412</v>
      </c>
      <c r="AG115" s="120">
        <f t="shared" si="3"/>
        <v>0.33644421631639432</v>
      </c>
      <c r="AH115" s="120">
        <f t="shared" si="3"/>
        <v>0.33664777844192084</v>
      </c>
      <c r="AI115" s="120">
        <f t="shared" si="3"/>
        <v>0.33684302955230472</v>
      </c>
      <c r="AJ115" s="120">
        <f t="shared" si="3"/>
        <v>0.33703062175310772</v>
      </c>
      <c r="AK115" s="120">
        <f t="shared" si="3"/>
        <v>0.33721113328938851</v>
      </c>
      <c r="AL115" s="120">
        <f t="shared" si="3"/>
        <v>0.33738507929545353</v>
      </c>
      <c r="AM115" s="120">
        <f t="shared" si="3"/>
        <v>0.33755292065740811</v>
      </c>
      <c r="AN115" s="120">
        <f t="shared" si="3"/>
        <v>0.33771507137263412</v>
      </c>
      <c r="AO115" s="120">
        <f t="shared" si="3"/>
        <v>0.33787190470208595</v>
      </c>
      <c r="AP115" s="120">
        <f t="shared" si="3"/>
        <v>0.33802375834549586</v>
      </c>
      <c r="AQ115" s="120">
        <f t="shared" si="3"/>
        <v>0.33817093881998384</v>
      </c>
    </row>
    <row r="116" spans="7:70" ht="14.1" customHeight="1" thickTop="1" thickBot="1" x14ac:dyDescent="0.3">
      <c r="G116" s="106"/>
      <c r="H116" s="218"/>
      <c r="J116" s="210"/>
      <c r="K116" s="121" t="s">
        <v>118</v>
      </c>
      <c r="L116" s="120">
        <f t="shared" si="4"/>
        <v>0.32310484239971704</v>
      </c>
      <c r="M116" s="120">
        <f t="shared" si="3"/>
        <v>0.32406956038535667</v>
      </c>
      <c r="N116" s="120">
        <f t="shared" si="3"/>
        <v>0.32475200712331725</v>
      </c>
      <c r="O116" s="120">
        <f t="shared" si="3"/>
        <v>0.32528024388033622</v>
      </c>
      <c r="P116" s="120">
        <f t="shared" si="3"/>
        <v>0.32571114497788994</v>
      </c>
      <c r="Q116" s="120">
        <f t="shared" si="3"/>
        <v>0.32607498532047269</v>
      </c>
      <c r="R116" s="120">
        <f t="shared" si="3"/>
        <v>0.32638980687748537</v>
      </c>
      <c r="S116" s="120">
        <f t="shared" si="3"/>
        <v>0.32666723157908251</v>
      </c>
      <c r="T116" s="120">
        <f t="shared" si="3"/>
        <v>0.32691518585401502</v>
      </c>
      <c r="U116" s="120">
        <f t="shared" si="3"/>
        <v>0.32713931778285249</v>
      </c>
      <c r="V116" s="120">
        <f t="shared" si="3"/>
        <v>0.32734379411036241</v>
      </c>
      <c r="W116" s="120">
        <f t="shared" si="3"/>
        <v>0.32753177667379141</v>
      </c>
      <c r="X116" s="120">
        <f t="shared" si="3"/>
        <v>0.32770572150959976</v>
      </c>
      <c r="Y116" s="120">
        <f t="shared" si="3"/>
        <v>0.32786757436668362</v>
      </c>
      <c r="Z116" s="120">
        <f t="shared" si="3"/>
        <v>0.32801890289937169</v>
      </c>
      <c r="AA116" s="120">
        <f t="shared" si="3"/>
        <v>0.32816098865535964</v>
      </c>
      <c r="AB116" s="120">
        <f t="shared" si="3"/>
        <v>0.32829489269223905</v>
      </c>
      <c r="AC116" s="120">
        <f t="shared" si="3"/>
        <v>0.32842150340360704</v>
      </c>
      <c r="AD116" s="120">
        <f t="shared" si="3"/>
        <v>0.32854157204546613</v>
      </c>
      <c r="AE116" s="120">
        <f t="shared" si="3"/>
        <v>0.32865573957314159</v>
      </c>
      <c r="AF116" s="120">
        <f t="shared" si="3"/>
        <v>0.32876455722023934</v>
      </c>
      <c r="AG116" s="120">
        <f t="shared" si="3"/>
        <v>0.32886850249270572</v>
      </c>
      <c r="AH116" s="120">
        <f t="shared" si="3"/>
        <v>0.3289679917514588</v>
      </c>
      <c r="AI116" s="120">
        <f t="shared" si="3"/>
        <v>0.32906339022099196</v>
      </c>
      <c r="AJ116" s="120">
        <f t="shared" si="3"/>
        <v>0.32915502003096214</v>
      </c>
      <c r="AK116" s="120">
        <f t="shared" si="3"/>
        <v>0.32924316673708526</v>
      </c>
      <c r="AL116" s="120">
        <f t="shared" si="3"/>
        <v>0.32932808465382102</v>
      </c>
      <c r="AM116" s="120">
        <f t="shared" si="3"/>
        <v>0.32941000124950104</v>
      </c>
      <c r="AN116" s="120">
        <f t="shared" si="3"/>
        <v>0.32948912079496551</v>
      </c>
      <c r="AO116" s="120">
        <f t="shared" si="3"/>
        <v>0.32956562741284079</v>
      </c>
      <c r="AP116" s="120">
        <f t="shared" si="3"/>
        <v>0.3296396876418341</v>
      </c>
      <c r="AQ116" s="120">
        <f t="shared" si="3"/>
        <v>0.32971145260574469</v>
      </c>
    </row>
    <row r="117" spans="7:70" ht="14.1" hidden="1" customHeight="1" thickTop="1" thickBot="1" x14ac:dyDescent="0.3">
      <c r="G117" s="106"/>
      <c r="H117" s="218"/>
      <c r="J117" s="210"/>
      <c r="K117" s="119" t="s">
        <v>119</v>
      </c>
      <c r="L117" s="120">
        <f t="shared" si="4"/>
        <v>0.31747098428178278</v>
      </c>
      <c r="M117" s="120">
        <f t="shared" si="3"/>
        <v>0.31974593602448531</v>
      </c>
      <c r="N117" s="120">
        <f t="shared" si="3"/>
        <v>0.32136195626969383</v>
      </c>
      <c r="O117" s="120">
        <f t="shared" si="3"/>
        <v>0.32261649039211826</v>
      </c>
      <c r="P117" s="120">
        <f t="shared" si="3"/>
        <v>0.32364218416170354</v>
      </c>
      <c r="Q117" s="120">
        <f t="shared" si="3"/>
        <v>0.3245098541936956</v>
      </c>
      <c r="R117" s="120">
        <f t="shared" si="3"/>
        <v>0.32526179925293003</v>
      </c>
      <c r="S117" s="120">
        <f t="shared" si="3"/>
        <v>0.32592531745623637</v>
      </c>
      <c r="T117" s="120">
        <f t="shared" si="3"/>
        <v>0.32651905616983584</v>
      </c>
      <c r="U117" s="120">
        <f t="shared" si="3"/>
        <v>0.32705632099468279</v>
      </c>
      <c r="V117" s="120">
        <f t="shared" si="3"/>
        <v>0.32754693967684512</v>
      </c>
      <c r="W117" s="120">
        <f t="shared" si="3"/>
        <v>0.32799837781232172</v>
      </c>
      <c r="X117" s="120">
        <f t="shared" si="3"/>
        <v>0.32841644014180954</v>
      </c>
      <c r="Y117" s="120">
        <f t="shared" si="3"/>
        <v>0.32880572945104997</v>
      </c>
      <c r="Z117" s="120">
        <f t="shared" si="3"/>
        <v>0.32916995715126135</v>
      </c>
      <c r="AA117" s="120">
        <f t="shared" si="3"/>
        <v>0.32951215959237912</v>
      </c>
      <c r="AB117" s="120">
        <f t="shared" si="3"/>
        <v>0.32983485248930927</v>
      </c>
      <c r="AC117" s="120">
        <f t="shared" si="3"/>
        <v>0.33014014356440441</v>
      </c>
      <c r="AD117" s="120">
        <f t="shared" si="3"/>
        <v>0.33042981628010737</v>
      </c>
      <c r="AE117" s="120">
        <f t="shared" si="3"/>
        <v>0.33070539313299768</v>
      </c>
      <c r="AF117" s="120">
        <f t="shared" si="3"/>
        <v>0.33096818421872165</v>
      </c>
      <c r="AG117" s="120">
        <f t="shared" si="3"/>
        <v>0.33121932499893625</v>
      </c>
      <c r="AH117" s="120">
        <f t="shared" si="3"/>
        <v>0.3314598060292257</v>
      </c>
      <c r="AI117" s="120">
        <f t="shared" si="3"/>
        <v>0.33169049661797462</v>
      </c>
      <c r="AJ117" s="120">
        <f t="shared" si="3"/>
        <v>0.33191216384497474</v>
      </c>
      <c r="AK117" s="120">
        <f t="shared" si="3"/>
        <v>0.33212548799087338</v>
      </c>
      <c r="AL117" s="120">
        <f t="shared" si="3"/>
        <v>0.33233107516085147</v>
      </c>
      <c r="AM117" s="120">
        <f t="shared" si="3"/>
        <v>0.33252946769341263</v>
      </c>
      <c r="AN117" s="120">
        <f t="shared" si="3"/>
        <v>0.33272115280488568</v>
      </c>
      <c r="AO117" s="120">
        <f t="shared" si="3"/>
        <v>0.3329065698167874</v>
      </c>
      <c r="AP117" s="120">
        <f t="shared" si="3"/>
        <v>0.33308611623602474</v>
      </c>
      <c r="AQ117" s="120">
        <f t="shared" si="3"/>
        <v>0.33326015289974176</v>
      </c>
    </row>
    <row r="118" spans="7:70" ht="14.1" hidden="1" customHeight="1" thickTop="1" thickBot="1" x14ac:dyDescent="0.3">
      <c r="G118" s="106"/>
      <c r="H118" s="218"/>
      <c r="J118" s="210"/>
      <c r="K118" s="7" t="s">
        <v>120</v>
      </c>
      <c r="L118" s="120">
        <f t="shared" si="4"/>
        <v>0.31682412900833179</v>
      </c>
      <c r="M118" s="120">
        <f t="shared" si="3"/>
        <v>0.31871605940014458</v>
      </c>
      <c r="N118" s="120">
        <f t="shared" si="3"/>
        <v>0.32005840537558672</v>
      </c>
      <c r="O118" s="120">
        <f t="shared" si="3"/>
        <v>0.32109960980483632</v>
      </c>
      <c r="P118" s="120">
        <f t="shared" si="3"/>
        <v>0.32195033576739951</v>
      </c>
      <c r="Q118" s="120">
        <f t="shared" si="3"/>
        <v>0.32266961431998453</v>
      </c>
      <c r="R118" s="120">
        <f t="shared" si="3"/>
        <v>0.32329268174284159</v>
      </c>
      <c r="S118" s="120">
        <f t="shared" si="3"/>
        <v>0.32384226615921219</v>
      </c>
      <c r="T118" s="120">
        <f t="shared" si="3"/>
        <v>0.32433388617209119</v>
      </c>
      <c r="U118" s="120">
        <f t="shared" si="3"/>
        <v>0.32477861056936996</v>
      </c>
      <c r="V118" s="120">
        <f t="shared" si="3"/>
        <v>0.32518461213465449</v>
      </c>
      <c r="W118" s="120">
        <f t="shared" si="3"/>
        <v>0.32555809736991209</v>
      </c>
      <c r="X118" s="120">
        <f t="shared" si="3"/>
        <v>0.32590389068723952</v>
      </c>
      <c r="Y118" s="120">
        <f t="shared" si="3"/>
        <v>0.32622581656390404</v>
      </c>
      <c r="Z118" s="120">
        <f t="shared" si="3"/>
        <v>0.32652695811009658</v>
      </c>
      <c r="AA118" s="120">
        <f t="shared" si="3"/>
        <v>0.3268098371105656</v>
      </c>
      <c r="AB118" s="120">
        <f t="shared" si="3"/>
        <v>0.32707654252646723</v>
      </c>
      <c r="AC118" s="120">
        <f t="shared" si="3"/>
        <v>0.32732882420761938</v>
      </c>
      <c r="AD118" s="120">
        <f t="shared" si="3"/>
        <v>0.32756816253934612</v>
      </c>
      <c r="AE118" s="120">
        <f t="shared" si="3"/>
        <v>0.32779582107905225</v>
      </c>
      <c r="AF118" s="120">
        <f t="shared" si="3"/>
        <v>0.32801288693662484</v>
      </c>
      <c r="AG118" s="120">
        <f t="shared" si="3"/>
        <v>0.3282203021713655</v>
      </c>
      <c r="AH118" s="120">
        <f t="shared" si="3"/>
        <v>0.32841888850190931</v>
      </c>
      <c r="AI118" s="120">
        <f t="shared" si="3"/>
        <v>0.32860936696859577</v>
      </c>
      <c r="AJ118" s="120">
        <f t="shared" si="3"/>
        <v>0.32879237373716697</v>
      </c>
      <c r="AK118" s="120">
        <f t="shared" si="3"/>
        <v>0.32896847291827991</v>
      </c>
      <c r="AL118" s="120">
        <f t="shared" si="3"/>
        <v>0.32913816705449439</v>
      </c>
      <c r="AM118" s="120">
        <f t="shared" si="3"/>
        <v>0.3293019057661915</v>
      </c>
      <c r="AN118" s="120">
        <f t="shared" si="3"/>
        <v>0.32946009293115891</v>
      </c>
      <c r="AO118" s="120">
        <f t="shared" si="3"/>
        <v>0.32961309268650263</v>
      </c>
      <c r="AP118" s="120">
        <f t="shared" si="3"/>
        <v>0.32976123447735145</v>
      </c>
      <c r="AQ118" s="120">
        <f t="shared" si="3"/>
        <v>0.32990481732843763</v>
      </c>
      <c r="BA118" s="126"/>
      <c r="BB118" s="126"/>
      <c r="BC118" s="126"/>
      <c r="BD118" s="126"/>
      <c r="BE118" s="126"/>
      <c r="BF118" s="126"/>
      <c r="BG118" s="126"/>
      <c r="BH118" s="126"/>
      <c r="BI118" s="126"/>
      <c r="BJ118" s="126"/>
      <c r="BK118" s="126"/>
      <c r="BL118" s="126"/>
      <c r="BM118" s="126"/>
      <c r="BN118" s="126"/>
      <c r="BO118" s="126"/>
      <c r="BP118" s="126"/>
      <c r="BQ118" s="126"/>
      <c r="BR118" s="126"/>
    </row>
    <row r="119" spans="7:70" ht="14.1" hidden="1" customHeight="1" thickTop="1" thickBot="1" x14ac:dyDescent="0.3">
      <c r="G119" s="106"/>
      <c r="H119" s="218"/>
      <c r="J119" s="210"/>
      <c r="K119" s="121" t="s">
        <v>121</v>
      </c>
      <c r="L119" s="120">
        <f t="shared" si="4"/>
        <v>0.31520699082470438</v>
      </c>
      <c r="M119" s="120">
        <f t="shared" si="3"/>
        <v>0.31614812761172828</v>
      </c>
      <c r="N119" s="120">
        <f t="shared" si="3"/>
        <v>0.31681389288182782</v>
      </c>
      <c r="O119" s="120">
        <f t="shared" si="3"/>
        <v>0.31732921762096294</v>
      </c>
      <c r="P119" s="120">
        <f t="shared" si="3"/>
        <v>0.31774958593638086</v>
      </c>
      <c r="Q119" s="120">
        <f t="shared" si="3"/>
        <v>0.31810453270435363</v>
      </c>
      <c r="R119" s="120">
        <f t="shared" si="3"/>
        <v>0.31841165888326106</v>
      </c>
      <c r="S119" s="120">
        <f t="shared" si="3"/>
        <v>0.31868230232122813</v>
      </c>
      <c r="T119" s="120">
        <f t="shared" si="3"/>
        <v>0.31892419569640362</v>
      </c>
      <c r="U119" s="120">
        <f t="shared" si="3"/>
        <v>0.31914284902982915</v>
      </c>
      <c r="V119" s="120">
        <f t="shared" si="3"/>
        <v>0.31934232721595163</v>
      </c>
      <c r="W119" s="120">
        <f t="shared" si="3"/>
        <v>0.31952571480527364</v>
      </c>
      <c r="X119" s="120">
        <f t="shared" si="3"/>
        <v>0.31969540779983679</v>
      </c>
      <c r="Y119" s="120">
        <f t="shared" si="3"/>
        <v>0.31985330438739296</v>
      </c>
      <c r="Z119" s="120">
        <f t="shared" si="3"/>
        <v>0.32000093390312617</v>
      </c>
      <c r="AA119" s="120">
        <f t="shared" si="3"/>
        <v>0.32013954656906884</v>
      </c>
      <c r="AB119" s="120">
        <f t="shared" si="3"/>
        <v>0.32027017750672537</v>
      </c>
      <c r="AC119" s="120">
        <f t="shared" si="3"/>
        <v>0.32039369339413842</v>
      </c>
      <c r="AD119" s="120">
        <f t="shared" si="3"/>
        <v>0.32051082712389539</v>
      </c>
      <c r="AE119" s="120">
        <f t="shared" si="3"/>
        <v>0.32062220398405389</v>
      </c>
      <c r="AF119" s="120">
        <f t="shared" si="3"/>
        <v>0.32072836173407565</v>
      </c>
      <c r="AG119" s="120">
        <f t="shared" si="3"/>
        <v>0.32082976620793396</v>
      </c>
      <c r="AH119" s="120">
        <f t="shared" si="3"/>
        <v>0.32092682358917901</v>
      </c>
      <c r="AI119" s="120">
        <f t="shared" si="3"/>
        <v>0.32101989017489624</v>
      </c>
      <c r="AJ119" s="120">
        <f t="shared" si="3"/>
        <v>0.32110928022072782</v>
      </c>
      <c r="AK119" s="120">
        <f t="shared" si="3"/>
        <v>0.32119527230237482</v>
      </c>
      <c r="AL119" s="120">
        <f t="shared" si="3"/>
        <v>0.32127811451793126</v>
      </c>
      <c r="AM119" s="120">
        <f t="shared" si="3"/>
        <v>0.32135802877557934</v>
      </c>
      <c r="AN119" s="120">
        <f t="shared" si="3"/>
        <v>0.32143521435304095</v>
      </c>
      <c r="AO119" s="120">
        <f t="shared" si="3"/>
        <v>0.3215098508723192</v>
      </c>
      <c r="AP119" s="120">
        <f t="shared" si="3"/>
        <v>0.3215821008013125</v>
      </c>
      <c r="AQ119" s="120">
        <f t="shared" si="3"/>
        <v>0.32165211156980766</v>
      </c>
      <c r="BA119" s="127"/>
      <c r="BB119" s="127"/>
      <c r="BC119" s="127"/>
      <c r="BD119" s="127"/>
      <c r="BE119" s="127"/>
      <c r="BF119" s="127"/>
      <c r="BG119" s="127"/>
      <c r="BH119" s="127"/>
      <c r="BI119" s="127"/>
      <c r="BJ119" s="127"/>
      <c r="BK119" s="127"/>
      <c r="BL119" s="127"/>
      <c r="BM119" s="127"/>
      <c r="BN119" s="127"/>
      <c r="BO119" s="127"/>
      <c r="BP119" s="127"/>
      <c r="BQ119" s="127"/>
      <c r="BR119" s="127"/>
    </row>
    <row r="120" spans="7:70" ht="14.1" hidden="1" customHeight="1" thickTop="1" thickBot="1" x14ac:dyDescent="0.3">
      <c r="G120" s="106"/>
      <c r="H120" s="218"/>
      <c r="J120" s="210"/>
      <c r="K120" s="119" t="s">
        <v>122</v>
      </c>
      <c r="L120" s="120">
        <f t="shared" si="4"/>
        <v>0.31184498350908757</v>
      </c>
      <c r="M120" s="120">
        <f t="shared" si="3"/>
        <v>0.31407962013357149</v>
      </c>
      <c r="N120" s="120">
        <f t="shared" si="3"/>
        <v>0.31566700238791351</v>
      </c>
      <c r="O120" s="120">
        <f t="shared" si="3"/>
        <v>0.31689930452602572</v>
      </c>
      <c r="P120" s="120">
        <f t="shared" si="3"/>
        <v>0.31790682166144307</v>
      </c>
      <c r="Q120" s="120">
        <f t="shared" si="3"/>
        <v>0.31875911544643265</v>
      </c>
      <c r="R120" s="120">
        <f t="shared" si="3"/>
        <v>0.31949773505643325</v>
      </c>
      <c r="S120" s="120">
        <f t="shared" si="3"/>
        <v>0.32014949484996569</v>
      </c>
      <c r="T120" s="120">
        <f t="shared" si="3"/>
        <v>0.32073271173754991</v>
      </c>
      <c r="U120" s="120">
        <f t="shared" si="3"/>
        <v>0.3212604555275011</v>
      </c>
      <c r="V120" s="120">
        <f t="shared" si="3"/>
        <v>0.32174237980538201</v>
      </c>
      <c r="W120" s="120">
        <f t="shared" si="3"/>
        <v>0.32218581786707312</v>
      </c>
      <c r="X120" s="120">
        <f t="shared" si="3"/>
        <v>0.32259647158567945</v>
      </c>
      <c r="Y120" s="120">
        <f t="shared" si="3"/>
        <v>0.32297886217956306</v>
      </c>
      <c r="Z120" s="120">
        <f t="shared" si="3"/>
        <v>0.3233366352888849</v>
      </c>
      <c r="AA120" s="120">
        <f t="shared" si="3"/>
        <v>0.32367277345549106</v>
      </c>
      <c r="AB120" s="120">
        <f t="shared" si="3"/>
        <v>0.32398974781253148</v>
      </c>
      <c r="AC120" s="120">
        <f t="shared" si="3"/>
        <v>0.32428962873076372</v>
      </c>
      <c r="AD120" s="120">
        <f t="shared" si="3"/>
        <v>0.32457416806734524</v>
      </c>
      <c r="AE120" s="120">
        <f t="shared" si="3"/>
        <v>0.32484486133822627</v>
      </c>
      <c r="AF120" s="120">
        <f t="shared" si="3"/>
        <v>0.32510299542244608</v>
      </c>
      <c r="AG120" s="120">
        <f t="shared" si="3"/>
        <v>0.32534968565979688</v>
      </c>
      <c r="AH120" s="120">
        <f t="shared" si="3"/>
        <v>0.32558590505192347</v>
      </c>
      <c r="AI120" s="120">
        <f t="shared" si="3"/>
        <v>0.32581250750192964</v>
      </c>
      <c r="AJ120" s="120">
        <f t="shared" si="3"/>
        <v>0.32603024649595053</v>
      </c>
      <c r="AK120" s="120">
        <f t="shared" si="3"/>
        <v>0.32623979025917144</v>
      </c>
      <c r="AL120" s="120">
        <f t="shared" si="3"/>
        <v>0.3264417341557973</v>
      </c>
      <c r="AM120" s="120">
        <f t="shared" si="3"/>
        <v>0.32663661091338453</v>
      </c>
      <c r="AN120" s="120">
        <f t="shared" si="3"/>
        <v>0.32682489911415186</v>
      </c>
      <c r="AO120" s="120">
        <f t="shared" si="3"/>
        <v>0.32700703029426459</v>
      </c>
      <c r="AP120" s="120">
        <f t="shared" si="3"/>
        <v>0.3271833949162879</v>
      </c>
      <c r="AQ120" s="120">
        <f t="shared" si="3"/>
        <v>0.32735434742285979</v>
      </c>
    </row>
    <row r="121" spans="7:70" ht="14.1" hidden="1" customHeight="1" thickTop="1" thickBot="1" x14ac:dyDescent="0.3">
      <c r="G121" s="106"/>
      <c r="H121" s="218"/>
      <c r="J121" s="210"/>
      <c r="K121" s="7" t="s">
        <v>123</v>
      </c>
      <c r="L121" s="120">
        <f t="shared" si="4"/>
        <v>0.3112095913565151</v>
      </c>
      <c r="M121" s="120">
        <f t="shared" si="3"/>
        <v>0.31306799426905191</v>
      </c>
      <c r="N121" s="120">
        <f t="shared" si="3"/>
        <v>0.31438655211937722</v>
      </c>
      <c r="O121" s="120">
        <f t="shared" si="3"/>
        <v>0.31540930504529735</v>
      </c>
      <c r="P121" s="120">
        <f t="shared" si="3"/>
        <v>0.31624495503191408</v>
      </c>
      <c r="Q121" s="120">
        <f t="shared" si="3"/>
        <v>0.31695148702845788</v>
      </c>
      <c r="R121" s="120">
        <f t="shared" si="3"/>
        <v>0.31756351288223933</v>
      </c>
      <c r="S121" s="120">
        <f t="shared" si="3"/>
        <v>0.31810335794445083</v>
      </c>
      <c r="T121" s="120">
        <f t="shared" si="3"/>
        <v>0.31858626580815941</v>
      </c>
      <c r="U121" s="120">
        <f t="shared" si="3"/>
        <v>0.3190231091078683</v>
      </c>
      <c r="V121" s="120">
        <f t="shared" si="3"/>
        <v>0.31942191579477619</v>
      </c>
      <c r="W121" s="120">
        <f t="shared" si="3"/>
        <v>0.31978878238352382</v>
      </c>
      <c r="X121" s="120">
        <f t="shared" si="3"/>
        <v>0.32012844779131999</v>
      </c>
      <c r="Y121" s="120">
        <f t="shared" si="3"/>
        <v>0.32044466872069621</v>
      </c>
      <c r="Z121" s="120">
        <f t="shared" si="3"/>
        <v>0.32074047364510144</v>
      </c>
      <c r="AA121" s="120">
        <f t="shared" si="3"/>
        <v>0.32101833965996224</v>
      </c>
      <c r="AB121" s="120">
        <f t="shared" si="3"/>
        <v>0.32128031870731294</v>
      </c>
      <c r="AC121" s="120">
        <f t="shared" si="3"/>
        <v>0.32152812962734562</v>
      </c>
      <c r="AD121" s="120">
        <f t="shared" si="3"/>
        <v>0.32176322657102147</v>
      </c>
      <c r="AE121" s="120">
        <f t="shared" si="3"/>
        <v>0.32198685070385674</v>
      </c>
      <c r="AF121" s="120">
        <f t="shared" si="3"/>
        <v>0.3222000698707303</v>
      </c>
      <c r="AG121" s="120">
        <f t="shared" si="3"/>
        <v>0.32240380943642183</v>
      </c>
      <c r="AH121" s="120">
        <f t="shared" si="3"/>
        <v>0.32259887655763819</v>
      </c>
      <c r="AI121" s="120">
        <f t="shared" si="3"/>
        <v>0.32278597949694166</v>
      </c>
      <c r="AJ121" s="120">
        <f t="shared" si="3"/>
        <v>0.32296574314638588</v>
      </c>
      <c r="AK121" s="120">
        <f t="shared" si="3"/>
        <v>0.3231387216198498</v>
      </c>
      <c r="AL121" s="120">
        <f t="shared" si="3"/>
        <v>0.32330540855418205</v>
      </c>
      <c r="AM121" s="120">
        <f t="shared" si="3"/>
        <v>0.32346624560190312</v>
      </c>
      <c r="AN121" s="120">
        <f t="shared" si="3"/>
        <v>0.32362162948355838</v>
      </c>
      <c r="AO121" s="120">
        <f t="shared" si="3"/>
        <v>0.32377191788326831</v>
      </c>
      <c r="AP121" s="120">
        <f t="shared" si="3"/>
        <v>0.32391743440796356</v>
      </c>
      <c r="AQ121" s="120">
        <f t="shared" si="3"/>
        <v>0.32405847278326722</v>
      </c>
    </row>
    <row r="122" spans="7:70" ht="14.1" hidden="1" customHeight="1" thickTop="1" thickBot="1" x14ac:dyDescent="0.3">
      <c r="G122" s="106"/>
      <c r="H122" s="218"/>
      <c r="J122" s="210"/>
      <c r="K122" s="121" t="s">
        <v>124</v>
      </c>
      <c r="L122" s="120">
        <f t="shared" si="4"/>
        <v>0.30962111097508405</v>
      </c>
      <c r="M122" s="120">
        <f t="shared" si="3"/>
        <v>0.31054556958818608</v>
      </c>
      <c r="N122" s="120">
        <f t="shared" si="3"/>
        <v>0.31119953662755129</v>
      </c>
      <c r="O122" s="120">
        <f t="shared" si="3"/>
        <v>0.31170572913878491</v>
      </c>
      <c r="P122" s="120">
        <f t="shared" si="3"/>
        <v>0.31211864797823674</v>
      </c>
      <c r="Q122" s="120">
        <f t="shared" si="3"/>
        <v>0.31246730462556932</v>
      </c>
      <c r="R122" s="120">
        <f t="shared" si="3"/>
        <v>0.3127689881271758</v>
      </c>
      <c r="S122" s="120">
        <f t="shared" si="3"/>
        <v>0.31303483540969407</v>
      </c>
      <c r="T122" s="120">
        <f t="shared" si="3"/>
        <v>0.31327244211810934</v>
      </c>
      <c r="U122" s="120">
        <f t="shared" si="3"/>
        <v>0.31348722062868889</v>
      </c>
      <c r="V122" s="120">
        <f t="shared" si="3"/>
        <v>0.31368316380063738</v>
      </c>
      <c r="W122" s="120">
        <f t="shared" si="3"/>
        <v>0.313863301522191</v>
      </c>
      <c r="X122" s="120">
        <f t="shared" si="3"/>
        <v>0.31402998733510351</v>
      </c>
      <c r="Y122" s="120">
        <f t="shared" si="3"/>
        <v>0.31418508578875898</v>
      </c>
      <c r="Z122" s="120">
        <f t="shared" si="3"/>
        <v>0.31433009911652321</v>
      </c>
      <c r="AA122" s="120">
        <f t="shared" si="3"/>
        <v>0.31446625538486012</v>
      </c>
      <c r="AB122" s="120">
        <f t="shared" si="3"/>
        <v>0.3145945713715681</v>
      </c>
      <c r="AC122" s="120">
        <f t="shared" si="3"/>
        <v>0.31471589839602232</v>
      </c>
      <c r="AD122" s="120">
        <f t="shared" si="3"/>
        <v>0.31483095636299535</v>
      </c>
      <c r="AE122" s="120">
        <f t="shared" si="3"/>
        <v>0.31494035947962346</v>
      </c>
      <c r="AF122" s="120">
        <f t="shared" si="3"/>
        <v>0.31504463597556781</v>
      </c>
      <c r="AG122" s="120">
        <f t="shared" si="3"/>
        <v>0.31514424342961472</v>
      </c>
      <c r="AH122" s="120">
        <f t="shared" si="3"/>
        <v>0.31523958082721115</v>
      </c>
      <c r="AI122" s="120">
        <f t="shared" ref="M122:AQ130" si="5">AI166*(1-$I$115)</f>
        <v>0.31533099815139243</v>
      </c>
      <c r="AJ122" s="120">
        <f t="shared" si="5"/>
        <v>0.31541880408878004</v>
      </c>
      <c r="AK122" s="120">
        <f t="shared" si="5"/>
        <v>0.31550327227834957</v>
      </c>
      <c r="AL122" s="120">
        <f t="shared" si="5"/>
        <v>0.31558464642157241</v>
      </c>
      <c r="AM122" s="120">
        <f t="shared" si="5"/>
        <v>0.31566314449412791</v>
      </c>
      <c r="AN122" s="120">
        <f t="shared" si="5"/>
        <v>0.31573896224227616</v>
      </c>
      <c r="AO122" s="120">
        <f t="shared" si="5"/>
        <v>0.3158122761048836</v>
      </c>
      <c r="AP122" s="120">
        <f t="shared" si="5"/>
        <v>0.31588324567070536</v>
      </c>
      <c r="AQ122" s="120">
        <f t="shared" si="5"/>
        <v>0.31595201575687942</v>
      </c>
    </row>
    <row r="123" spans="7:70" ht="14.1" hidden="1" customHeight="1" thickTop="1" thickBot="1" x14ac:dyDescent="0.3">
      <c r="G123" s="106"/>
      <c r="H123" s="218"/>
      <c r="J123" s="211"/>
      <c r="K123" s="119" t="s">
        <v>125</v>
      </c>
      <c r="L123" s="120">
        <f t="shared" si="4"/>
        <v>0.30762505842895338</v>
      </c>
      <c r="M123" s="120">
        <f t="shared" si="5"/>
        <v>0.30982945567286257</v>
      </c>
      <c r="N123" s="120">
        <f t="shared" si="5"/>
        <v>0.31139535727322243</v>
      </c>
      <c r="O123" s="120">
        <f t="shared" si="5"/>
        <v>0.31261098374562274</v>
      </c>
      <c r="P123" s="120">
        <f t="shared" si="5"/>
        <v>0.3136048670339262</v>
      </c>
      <c r="Q123" s="120">
        <f t="shared" si="5"/>
        <v>0.31444562747347454</v>
      </c>
      <c r="R123" s="120">
        <f t="shared" si="5"/>
        <v>0.31517425199109994</v>
      </c>
      <c r="S123" s="120">
        <f t="shared" si="5"/>
        <v>0.31581719209009057</v>
      </c>
      <c r="T123" s="120">
        <f t="shared" si="5"/>
        <v>0.3163925168142564</v>
      </c>
      <c r="U123" s="120">
        <f t="shared" si="5"/>
        <v>0.31691311910964182</v>
      </c>
      <c r="V123" s="120">
        <f t="shared" si="5"/>
        <v>0.31738852192828976</v>
      </c>
      <c r="W123" s="120">
        <f t="shared" si="5"/>
        <v>0.31782595933100932</v>
      </c>
      <c r="X123" s="120">
        <f t="shared" si="5"/>
        <v>0.31823105603244983</v>
      </c>
      <c r="Y123" s="120">
        <f t="shared" si="5"/>
        <v>0.31860827206928471</v>
      </c>
      <c r="Z123" s="120">
        <f t="shared" si="5"/>
        <v>0.31896120374841891</v>
      </c>
      <c r="AA123" s="120">
        <f t="shared" si="5"/>
        <v>0.31929279325157156</v>
      </c>
      <c r="AB123" s="120">
        <f t="shared" si="5"/>
        <v>0.31960547827221164</v>
      </c>
      <c r="AC123" s="120">
        <f t="shared" si="5"/>
        <v>0.31990130116458232</v>
      </c>
      <c r="AD123" s="120">
        <f t="shared" si="5"/>
        <v>0.32018199007949211</v>
      </c>
      <c r="AE123" s="120">
        <f t="shared" si="5"/>
        <v>0.32044902029538358</v>
      </c>
      <c r="AF123" s="120">
        <f t="shared" si="5"/>
        <v>0.32070366127708883</v>
      </c>
      <c r="AG123" s="120">
        <f t="shared" si="5"/>
        <v>0.32094701327148345</v>
      </c>
      <c r="AH123" s="120">
        <f t="shared" si="5"/>
        <v>0.32118003611343288</v>
      </c>
      <c r="AI123" s="120">
        <f t="shared" si="5"/>
        <v>0.32140357215091819</v>
      </c>
      <c r="AJ123" s="120">
        <f t="shared" si="5"/>
        <v>0.32161836467380639</v>
      </c>
      <c r="AK123" s="120">
        <f t="shared" si="5"/>
        <v>0.32182507286477646</v>
      </c>
      <c r="AL123" s="120">
        <f t="shared" si="5"/>
        <v>0.32202428403149086</v>
      </c>
      <c r="AM123" s="120">
        <f t="shared" si="5"/>
        <v>0.3222165236925707</v>
      </c>
      <c r="AN123" s="120">
        <f t="shared" si="5"/>
        <v>0.3224022639540004</v>
      </c>
      <c r="AO123" s="120">
        <f t="shared" si="5"/>
        <v>0.32258193051234452</v>
      </c>
      <c r="AP123" s="120">
        <f t="shared" si="5"/>
        <v>0.32275590854637987</v>
      </c>
      <c r="AQ123" s="120">
        <f t="shared" si="5"/>
        <v>0.32292454770238294</v>
      </c>
    </row>
    <row r="124" spans="7:70" ht="14.1" hidden="1" customHeight="1" thickTop="1" thickBot="1" x14ac:dyDescent="0.3">
      <c r="G124" s="106"/>
      <c r="H124" s="218"/>
      <c r="J124" s="211"/>
      <c r="K124" s="7" t="s">
        <v>126</v>
      </c>
      <c r="L124" s="120">
        <f t="shared" si="4"/>
        <v>0.30699826448197076</v>
      </c>
      <c r="M124" s="120">
        <f t="shared" si="5"/>
        <v>0.30883151925528995</v>
      </c>
      <c r="N124" s="120">
        <f t="shared" si="5"/>
        <v>0.31013223421688385</v>
      </c>
      <c r="O124" s="120">
        <f t="shared" si="5"/>
        <v>0.31114114712307911</v>
      </c>
      <c r="P124" s="120">
        <f t="shared" si="5"/>
        <v>0.3119654889902031</v>
      </c>
      <c r="Q124" s="120">
        <f t="shared" si="5"/>
        <v>0.31266246010794557</v>
      </c>
      <c r="R124" s="120">
        <f t="shared" si="5"/>
        <v>0.313266203951797</v>
      </c>
      <c r="S124" s="120">
        <f t="shared" si="5"/>
        <v>0.31379874376352224</v>
      </c>
      <c r="T124" s="120">
        <f t="shared" si="5"/>
        <v>0.3142751168579922</v>
      </c>
      <c r="U124" s="120">
        <f t="shared" si="5"/>
        <v>0.3147060487398684</v>
      </c>
      <c r="V124" s="120">
        <f t="shared" si="5"/>
        <v>0.31509945872511619</v>
      </c>
      <c r="W124" s="120">
        <f t="shared" si="5"/>
        <v>0.31546136082958226</v>
      </c>
      <c r="X124" s="120">
        <f t="shared" si="5"/>
        <v>0.31579642984285861</v>
      </c>
      <c r="Y124" s="120">
        <f t="shared" si="5"/>
        <v>0.31610837163131139</v>
      </c>
      <c r="Z124" s="120">
        <f t="shared" si="5"/>
        <v>0.31640017368671003</v>
      </c>
      <c r="AA124" s="120">
        <f t="shared" si="5"/>
        <v>0.31667427958411809</v>
      </c>
      <c r="AB124" s="120">
        <f t="shared" si="5"/>
        <v>0.31693271349843533</v>
      </c>
      <c r="AC124" s="120">
        <f t="shared" si="5"/>
        <v>0.31717717101029447</v>
      </c>
      <c r="AD124" s="120">
        <f t="shared" si="5"/>
        <v>0.31740908659290523</v>
      </c>
      <c r="AE124" s="120">
        <f t="shared" si="5"/>
        <v>0.3176296846161778</v>
      </c>
      <c r="AF124" s="120">
        <f t="shared" si="5"/>
        <v>0.31784001847478144</v>
      </c>
      <c r="AG124" s="120">
        <f t="shared" si="5"/>
        <v>0.31804100101134453</v>
      </c>
      <c r="AH124" s="120">
        <f t="shared" si="5"/>
        <v>0.31823342846002911</v>
      </c>
      <c r="AI124" s="120">
        <f t="shared" si="5"/>
        <v>0.31841799949910043</v>
      </c>
      <c r="AJ124" s="120">
        <f t="shared" si="5"/>
        <v>0.31859533056449524</v>
      </c>
      <c r="AK124" s="120">
        <f t="shared" si="5"/>
        <v>0.31876596827175441</v>
      </c>
      <c r="AL124" s="120">
        <f t="shared" si="5"/>
        <v>0.31893039957777158</v>
      </c>
      <c r="AM124" s="120">
        <f t="shared" si="5"/>
        <v>0.31908906015857041</v>
      </c>
      <c r="AN124" s="120">
        <f t="shared" si="5"/>
        <v>0.31924234136622442</v>
      </c>
      <c r="AO124" s="120">
        <f t="shared" si="5"/>
        <v>0.31939059604462822</v>
      </c>
      <c r="AP124" s="120">
        <f t="shared" si="5"/>
        <v>0.31953414342162317</v>
      </c>
      <c r="AQ124" s="120">
        <f t="shared" si="5"/>
        <v>0.31967327324810069</v>
      </c>
    </row>
    <row r="125" spans="7:70" ht="14.1" hidden="1" customHeight="1" thickTop="1" thickBot="1" x14ac:dyDescent="0.3">
      <c r="G125" s="106"/>
      <c r="H125" s="218"/>
      <c r="J125" s="211"/>
      <c r="K125" s="121" t="s">
        <v>127</v>
      </c>
      <c r="L125" s="120">
        <f t="shared" si="4"/>
        <v>0.30543127961451422</v>
      </c>
      <c r="M125" s="120">
        <f t="shared" si="5"/>
        <v>0.30634322833875066</v>
      </c>
      <c r="N125" s="120">
        <f t="shared" si="5"/>
        <v>0.30698834581484913</v>
      </c>
      <c r="O125" s="120">
        <f t="shared" si="5"/>
        <v>0.30748768846609947</v>
      </c>
      <c r="P125" s="120">
        <f t="shared" si="5"/>
        <v>0.30789501963648874</v>
      </c>
      <c r="Q125" s="120">
        <f t="shared" si="5"/>
        <v>0.30823895821873054</v>
      </c>
      <c r="R125" s="120">
        <f t="shared" si="5"/>
        <v>0.30853655930169316</v>
      </c>
      <c r="S125" s="120">
        <f t="shared" si="5"/>
        <v>0.30879880910573876</v>
      </c>
      <c r="T125" s="120">
        <f t="shared" si="5"/>
        <v>0.30903320049064048</v>
      </c>
      <c r="U125" s="120">
        <f t="shared" si="5"/>
        <v>0.30924507259171718</v>
      </c>
      <c r="V125" s="120">
        <f t="shared" si="5"/>
        <v>0.30943836423630655</v>
      </c>
      <c r="W125" s="120">
        <f t="shared" si="5"/>
        <v>0.30961606431182048</v>
      </c>
      <c r="X125" s="120">
        <f t="shared" si="5"/>
        <v>0.30978049451159301</v>
      </c>
      <c r="Y125" s="120">
        <f t="shared" si="5"/>
        <v>0.30993349415369448</v>
      </c>
      <c r="Z125" s="120">
        <f t="shared" si="5"/>
        <v>0.31007654514308175</v>
      </c>
      <c r="AA125" s="120">
        <f t="shared" si="5"/>
        <v>0.31021085892787087</v>
      </c>
      <c r="AB125" s="120">
        <f t="shared" si="5"/>
        <v>0.31033743852669671</v>
      </c>
      <c r="AC125" s="120">
        <f t="shared" si="5"/>
        <v>0.31045712373877465</v>
      </c>
      <c r="AD125" s="120">
        <f t="shared" si="5"/>
        <v>0.31057062472703661</v>
      </c>
      <c r="AE125" s="120">
        <f t="shared" si="5"/>
        <v>0.31067854738709133</v>
      </c>
      <c r="AF125" s="120">
        <f t="shared" si="5"/>
        <v>0.31078141280053068</v>
      </c>
      <c r="AG125" s="120">
        <f t="shared" si="5"/>
        <v>0.31087967235412789</v>
      </c>
      <c r="AH125" s="120">
        <f t="shared" si="5"/>
        <v>0.31097371963420933</v>
      </c>
      <c r="AI125" s="120">
        <f t="shared" si="5"/>
        <v>0.31106389988779626</v>
      </c>
      <c r="AJ125" s="120">
        <f t="shared" si="5"/>
        <v>0.31115051762432466</v>
      </c>
      <c r="AK125" s="120">
        <f t="shared" si="5"/>
        <v>0.31123384277985322</v>
      </c>
      <c r="AL125" s="120">
        <f t="shared" si="5"/>
        <v>0.3113141157580549</v>
      </c>
      <c r="AM125" s="120">
        <f t="shared" si="5"/>
        <v>0.31139155158493503</v>
      </c>
      <c r="AN125" s="120">
        <f t="shared" si="5"/>
        <v>0.31146634335789103</v>
      </c>
      <c r="AO125" s="120">
        <f t="shared" si="5"/>
        <v>0.31153866512819656</v>
      </c>
      <c r="AP125" s="120">
        <f t="shared" si="5"/>
        <v>0.31160867432503181</v>
      </c>
      <c r="AQ125" s="120">
        <f t="shared" si="5"/>
        <v>0.31167651380585143</v>
      </c>
    </row>
    <row r="126" spans="7:70" ht="14.1" hidden="1" customHeight="1" thickTop="1" thickBot="1" x14ac:dyDescent="0.3">
      <c r="G126" s="106"/>
      <c r="H126" s="218"/>
      <c r="J126" s="211"/>
      <c r="K126" s="119" t="s">
        <v>128</v>
      </c>
      <c r="L126" s="120">
        <f t="shared" si="4"/>
        <v>0.28984302292953246</v>
      </c>
      <c r="M126" s="120">
        <f t="shared" si="5"/>
        <v>0.29191999664609247</v>
      </c>
      <c r="N126" s="120">
        <f t="shared" si="5"/>
        <v>0.29339538248031671</v>
      </c>
      <c r="O126" s="120">
        <f t="shared" si="5"/>
        <v>0.29454074057732316</v>
      </c>
      <c r="P126" s="120">
        <f t="shared" si="5"/>
        <v>0.2954771731884771</v>
      </c>
      <c r="Q126" s="120">
        <f t="shared" si="5"/>
        <v>0.29626933410216461</v>
      </c>
      <c r="R126" s="120">
        <f t="shared" si="5"/>
        <v>0.29695584102669037</v>
      </c>
      <c r="S126" s="120">
        <f t="shared" si="5"/>
        <v>0.29756161645605805</v>
      </c>
      <c r="T126" s="120">
        <f t="shared" si="5"/>
        <v>0.29810368496656864</v>
      </c>
      <c r="U126" s="120">
        <f t="shared" si="5"/>
        <v>0.29859419423720213</v>
      </c>
      <c r="V126" s="120">
        <f t="shared" si="5"/>
        <v>0.29904211675290954</v>
      </c>
      <c r="W126" s="120">
        <f t="shared" si="5"/>
        <v>0.29945426841504719</v>
      </c>
      <c r="X126" s="120">
        <f t="shared" si="5"/>
        <v>0.29983594880585779</v>
      </c>
      <c r="Y126" s="120">
        <f t="shared" si="5"/>
        <v>0.30019136015294412</v>
      </c>
      <c r="Z126" s="120">
        <f t="shared" si="5"/>
        <v>0.30052389088139086</v>
      </c>
      <c r="AA126" s="120">
        <f t="shared" si="5"/>
        <v>0.30083631310231235</v>
      </c>
      <c r="AB126" s="120">
        <f t="shared" si="5"/>
        <v>0.30113092360013705</v>
      </c>
      <c r="AC126" s="120">
        <f t="shared" si="5"/>
        <v>0.30140964667235476</v>
      </c>
      <c r="AD126" s="120">
        <f t="shared" si="5"/>
        <v>0.30167411057531424</v>
      </c>
      <c r="AE126" s="120">
        <f t="shared" si="5"/>
        <v>0.30192570531009555</v>
      </c>
      <c r="AF126" s="120">
        <f t="shared" si="5"/>
        <v>0.30216562696106936</v>
      </c>
      <c r="AG126" s="120">
        <f t="shared" si="5"/>
        <v>0.30239491217616687</v>
      </c>
      <c r="AH126" s="120">
        <f t="shared" si="5"/>
        <v>0.30261446530771996</v>
      </c>
      <c r="AI126" s="120">
        <f t="shared" si="5"/>
        <v>0.30282508001241698</v>
      </c>
      <c r="AJ126" s="120">
        <f t="shared" si="5"/>
        <v>0.30302745661481256</v>
      </c>
      <c r="AK126" s="120">
        <f t="shared" si="5"/>
        <v>0.30322221619402567</v>
      </c>
      <c r="AL126" s="120">
        <f t="shared" si="5"/>
        <v>0.30340991210884066</v>
      </c>
      <c r="AM126" s="120">
        <f t="shared" si="5"/>
        <v>0.30359103950066918</v>
      </c>
      <c r="AN126" s="120">
        <f t="shared" si="5"/>
        <v>0.30376604318576378</v>
      </c>
      <c r="AO126" s="120">
        <f t="shared" si="5"/>
        <v>0.30393532425361869</v>
      </c>
      <c r="AP126" s="120">
        <f t="shared" si="5"/>
        <v>0.30409924561804091</v>
      </c>
      <c r="AQ126" s="120">
        <f t="shared" si="5"/>
        <v>0.30425813671426644</v>
      </c>
    </row>
    <row r="127" spans="7:70" ht="14.1" hidden="1" customHeight="1" thickTop="1" thickBot="1" x14ac:dyDescent="0.3">
      <c r="G127" s="106"/>
      <c r="H127" s="218"/>
      <c r="J127" s="211"/>
      <c r="K127" s="7" t="s">
        <v>129</v>
      </c>
      <c r="L127" s="120">
        <f t="shared" si="4"/>
        <v>0.28925246033598045</v>
      </c>
      <c r="M127" s="120">
        <f t="shared" si="5"/>
        <v>0.29097974519376313</v>
      </c>
      <c r="N127" s="120">
        <f t="shared" si="5"/>
        <v>0.2922052733037403</v>
      </c>
      <c r="O127" s="120">
        <f t="shared" si="5"/>
        <v>0.29315586675700994</v>
      </c>
      <c r="P127" s="120">
        <f t="shared" si="5"/>
        <v>0.29393255816152297</v>
      </c>
      <c r="Q127" s="120">
        <f t="shared" si="5"/>
        <v>0.29458924138717668</v>
      </c>
      <c r="R127" s="120">
        <f t="shared" si="5"/>
        <v>0.29515808627150009</v>
      </c>
      <c r="S127" s="120">
        <f t="shared" si="5"/>
        <v>0.29565984301930553</v>
      </c>
      <c r="T127" s="120">
        <f t="shared" si="5"/>
        <v>0.29610867972476967</v>
      </c>
      <c r="U127" s="120">
        <f t="shared" si="5"/>
        <v>0.29651470191281121</v>
      </c>
      <c r="V127" s="120">
        <f t="shared" si="5"/>
        <v>0.29688537112928282</v>
      </c>
      <c r="W127" s="120">
        <f t="shared" si="5"/>
        <v>0.29722635375436118</v>
      </c>
      <c r="X127" s="120">
        <f t="shared" si="5"/>
        <v>0.29754205435493652</v>
      </c>
      <c r="Y127" s="120">
        <f t="shared" si="5"/>
        <v>0.29783596458255235</v>
      </c>
      <c r="Z127" s="120">
        <f t="shared" si="5"/>
        <v>0.29811089923925987</v>
      </c>
      <c r="AA127" s="120">
        <f t="shared" si="5"/>
        <v>0.29836916065110108</v>
      </c>
      <c r="AB127" s="120">
        <f t="shared" si="5"/>
        <v>0.29861265598706538</v>
      </c>
      <c r="AC127" s="120">
        <f t="shared" si="5"/>
        <v>0.29884298281602056</v>
      </c>
      <c r="AD127" s="120">
        <f t="shared" si="5"/>
        <v>0.29906149269252952</v>
      </c>
      <c r="AE127" s="120">
        <f t="shared" si="5"/>
        <v>0.2992693392127192</v>
      </c>
      <c r="AF127" s="120">
        <f t="shared" si="5"/>
        <v>0.299467514880571</v>
      </c>
      <c r="AG127" s="120">
        <f t="shared" si="5"/>
        <v>0.29965687977253075</v>
      </c>
      <c r="AH127" s="120">
        <f t="shared" si="5"/>
        <v>0.29983818409704255</v>
      </c>
      <c r="AI127" s="120">
        <f t="shared" si="5"/>
        <v>0.30001208614579916</v>
      </c>
      <c r="AJ127" s="120">
        <f t="shared" si="5"/>
        <v>0.30017916672212097</v>
      </c>
      <c r="AK127" s="120">
        <f t="shared" si="5"/>
        <v>0.300339940844848</v>
      </c>
      <c r="AL127" s="120">
        <f t="shared" si="5"/>
        <v>0.30049486732269631</v>
      </c>
      <c r="AM127" s="120">
        <f t="shared" si="5"/>
        <v>0.30064435664776407</v>
      </c>
      <c r="AN127" s="120">
        <f t="shared" si="5"/>
        <v>0.30078877755031219</v>
      </c>
      <c r="AO127" s="120">
        <f t="shared" si="5"/>
        <v>0.30092846247835886</v>
      </c>
      <c r="AP127" s="120">
        <f t="shared" si="5"/>
        <v>0.30106371220701972</v>
      </c>
      <c r="AQ127" s="120">
        <f t="shared" si="5"/>
        <v>0.30119479973835367</v>
      </c>
    </row>
    <row r="128" spans="7:70" ht="14.1" hidden="1" customHeight="1" thickTop="1" thickBot="1" x14ac:dyDescent="0.3">
      <c r="G128" s="106"/>
      <c r="H128" s="218"/>
      <c r="J128" s="211"/>
      <c r="K128" s="121" t="s">
        <v>130</v>
      </c>
      <c r="L128" s="120">
        <f t="shared" si="4"/>
        <v>0.28777605385210059</v>
      </c>
      <c r="M128" s="120">
        <f t="shared" si="5"/>
        <v>0.28863528806513683</v>
      </c>
      <c r="N128" s="120">
        <f t="shared" si="5"/>
        <v>0.28924311500996364</v>
      </c>
      <c r="O128" s="120">
        <f t="shared" si="5"/>
        <v>0.28971359353422688</v>
      </c>
      <c r="P128" s="120">
        <f t="shared" si="5"/>
        <v>0.29009737923218659</v>
      </c>
      <c r="Q128" s="120">
        <f t="shared" si="5"/>
        <v>0.29042143670295367</v>
      </c>
      <c r="R128" s="120">
        <f t="shared" si="5"/>
        <v>0.29070183517879145</v>
      </c>
      <c r="S128" s="120">
        <f t="shared" si="5"/>
        <v>0.29094892582984383</v>
      </c>
      <c r="T128" s="120">
        <f t="shared" si="5"/>
        <v>0.29116976839675152</v>
      </c>
      <c r="U128" s="120">
        <f t="shared" si="5"/>
        <v>0.29136939339012541</v>
      </c>
      <c r="V128" s="120">
        <f t="shared" si="5"/>
        <v>0.2915515119563466</v>
      </c>
      <c r="W128" s="120">
        <f t="shared" si="5"/>
        <v>0.29171894021243466</v>
      </c>
      <c r="X128" s="120">
        <f t="shared" si="5"/>
        <v>0.29187386564798401</v>
      </c>
      <c r="Y128" s="120">
        <f t="shared" si="5"/>
        <v>0.2920180212606649</v>
      </c>
      <c r="Z128" s="120">
        <f t="shared" si="5"/>
        <v>0.29215280329503107</v>
      </c>
      <c r="AA128" s="120">
        <f t="shared" si="5"/>
        <v>0.29227935317234993</v>
      </c>
      <c r="AB128" s="120">
        <f t="shared" si="5"/>
        <v>0.29239861593251731</v>
      </c>
      <c r="AC128" s="120">
        <f t="shared" si="5"/>
        <v>0.29251138283078559</v>
      </c>
      <c r="AD128" s="120">
        <f t="shared" si="5"/>
        <v>0.29261832297965173</v>
      </c>
      <c r="AE128" s="120">
        <f t="shared" si="5"/>
        <v>0.2927200072513837</v>
      </c>
      <c r="AF128" s="120">
        <f t="shared" si="5"/>
        <v>0.29281692660684333</v>
      </c>
      <c r="AG128" s="120">
        <f t="shared" si="5"/>
        <v>0.29290950634073032</v>
      </c>
      <c r="AH128" s="120">
        <f t="shared" si="5"/>
        <v>0.29299811728840908</v>
      </c>
      <c r="AI128" s="120">
        <f t="shared" si="5"/>
        <v>0.29308308474015593</v>
      </c>
      <c r="AJ128" s="120">
        <f t="shared" si="5"/>
        <v>0.29316469560346758</v>
      </c>
      <c r="AK128" s="120">
        <f t="shared" si="5"/>
        <v>0.29324320421095168</v>
      </c>
      <c r="AL128" s="120">
        <f t="shared" si="5"/>
        <v>0.29331883706992734</v>
      </c>
      <c r="AM128" s="120">
        <f t="shared" si="5"/>
        <v>0.29339179677698318</v>
      </c>
      <c r="AN128" s="120">
        <f t="shared" si="5"/>
        <v>0.29346226526766633</v>
      </c>
      <c r="AO128" s="120">
        <f t="shared" si="5"/>
        <v>0.29353040653234747</v>
      </c>
      <c r="AP128" s="120">
        <f t="shared" si="5"/>
        <v>0.29359636890013124</v>
      </c>
      <c r="AQ128" s="120">
        <f t="shared" si="5"/>
        <v>0.2936602869707044</v>
      </c>
    </row>
    <row r="129" spans="7:43" ht="14.1" hidden="1" customHeight="1" thickTop="1" thickBot="1" x14ac:dyDescent="0.3">
      <c r="G129" s="106"/>
      <c r="H129" s="218"/>
      <c r="J129" s="211"/>
      <c r="K129" s="119" t="s">
        <v>131</v>
      </c>
      <c r="L129" s="120">
        <f t="shared" si="4"/>
        <v>0.2311352458655507</v>
      </c>
      <c r="M129" s="120">
        <f t="shared" si="5"/>
        <v>0.2327915280343649</v>
      </c>
      <c r="N129" s="120">
        <f t="shared" si="5"/>
        <v>0.23396807409744846</v>
      </c>
      <c r="O129" s="120">
        <f t="shared" si="5"/>
        <v>0.23488143962434624</v>
      </c>
      <c r="P129" s="120">
        <f t="shared" si="5"/>
        <v>0.23562819757500494</v>
      </c>
      <c r="Q129" s="120">
        <f t="shared" si="5"/>
        <v>0.23625990609674075</v>
      </c>
      <c r="R129" s="120">
        <f t="shared" si="5"/>
        <v>0.23680736087134555</v>
      </c>
      <c r="S129" s="120">
        <f t="shared" si="5"/>
        <v>0.23729043633540545</v>
      </c>
      <c r="T129" s="120">
        <f t="shared" si="5"/>
        <v>0.23772270873301735</v>
      </c>
      <c r="U129" s="120">
        <f t="shared" si="5"/>
        <v>0.23811386522773403</v>
      </c>
      <c r="V129" s="120">
        <f t="shared" si="5"/>
        <v>0.238471060925427</v>
      </c>
      <c r="W129" s="120">
        <f t="shared" si="5"/>
        <v>0.23879973116492156</v>
      </c>
      <c r="X129" s="120">
        <f t="shared" si="5"/>
        <v>0.23910410209674668</v>
      </c>
      <c r="Y129" s="120">
        <f t="shared" si="5"/>
        <v>0.23938752478624914</v>
      </c>
      <c r="Z129" s="120">
        <f t="shared" si="5"/>
        <v>0.23965270133216196</v>
      </c>
      <c r="AA129" s="120">
        <f t="shared" si="5"/>
        <v>0.23990184235379733</v>
      </c>
      <c r="AB129" s="120">
        <f t="shared" si="5"/>
        <v>0.24013677942132103</v>
      </c>
      <c r="AC129" s="120">
        <f t="shared" si="5"/>
        <v>0.24035904706528327</v>
      </c>
      <c r="AD129" s="120">
        <f t="shared" si="5"/>
        <v>0.24056994373830054</v>
      </c>
      <c r="AE129" s="120">
        <f t="shared" si="5"/>
        <v>0.24077057789638509</v>
      </c>
      <c r="AF129" s="120">
        <f t="shared" si="5"/>
        <v>0.24096190335671808</v>
      </c>
      <c r="AG129" s="120">
        <f t="shared" si="5"/>
        <v>0.24114474679393197</v>
      </c>
      <c r="AH129" s="120">
        <f t="shared" si="5"/>
        <v>0.24131982938356672</v>
      </c>
      <c r="AI129" s="120">
        <f t="shared" si="5"/>
        <v>0.24148778402694926</v>
      </c>
      <c r="AJ129" s="120">
        <f t="shared" si="5"/>
        <v>0.24164916919771981</v>
      </c>
      <c r="AK129" s="120">
        <f t="shared" si="5"/>
        <v>0.2418044801752659</v>
      </c>
      <c r="AL129" s="120">
        <f t="shared" si="5"/>
        <v>0.24195415823541111</v>
      </c>
      <c r="AM129" s="120">
        <f t="shared" si="5"/>
        <v>0.2420985982285499</v>
      </c>
      <c r="AN129" s="120">
        <f t="shared" si="5"/>
        <v>0.24223815487329117</v>
      </c>
      <c r="AO129" s="120">
        <f t="shared" si="5"/>
        <v>0.24237314801835144</v>
      </c>
      <c r="AP129" s="120">
        <f t="shared" si="5"/>
        <v>0.24250386706925489</v>
      </c>
      <c r="AQ129" s="120">
        <f t="shared" si="5"/>
        <v>0.24263057473404787</v>
      </c>
    </row>
    <row r="130" spans="7:43" ht="14.1" hidden="1" customHeight="1" thickTop="1" thickBot="1" x14ac:dyDescent="0.3">
      <c r="G130" s="106"/>
      <c r="H130" s="218"/>
      <c r="J130" s="211"/>
      <c r="K130" s="7" t="s">
        <v>132</v>
      </c>
      <c r="L130" s="120">
        <f t="shared" si="4"/>
        <v>0.23066430187359266</v>
      </c>
      <c r="M130" s="120">
        <f t="shared" si="5"/>
        <v>0.23204172474976964</v>
      </c>
      <c r="N130" s="120">
        <f t="shared" si="5"/>
        <v>0.23301902183338299</v>
      </c>
      <c r="O130" s="120">
        <f t="shared" si="5"/>
        <v>0.23377707234403158</v>
      </c>
      <c r="P130" s="120">
        <f t="shared" si="5"/>
        <v>0.23439644470956003</v>
      </c>
      <c r="Q130" s="120">
        <f t="shared" si="5"/>
        <v>0.23492011658298706</v>
      </c>
      <c r="R130" s="120">
        <f t="shared" si="5"/>
        <v>0.23537374179317339</v>
      </c>
      <c r="S130" s="120">
        <f t="shared" si="5"/>
        <v>0.23577386758573701</v>
      </c>
      <c r="T130" s="120">
        <f t="shared" si="5"/>
        <v>0.23613179230382195</v>
      </c>
      <c r="U130" s="120">
        <f t="shared" si="5"/>
        <v>0.23645557459573743</v>
      </c>
      <c r="V130" s="120">
        <f t="shared" si="5"/>
        <v>0.23675116466935042</v>
      </c>
      <c r="W130" s="120">
        <f t="shared" si="5"/>
        <v>0.23702308117811019</v>
      </c>
      <c r="X130" s="120">
        <f t="shared" si="5"/>
        <v>0.23727483654277742</v>
      </c>
      <c r="Y130" s="120">
        <f t="shared" si="5"/>
        <v>0.23750921517999893</v>
      </c>
      <c r="Z130" s="120">
        <f t="shared" si="5"/>
        <v>0.23772846175296375</v>
      </c>
      <c r="AA130" s="120">
        <f t="shared" si="5"/>
        <v>0.23793441225099593</v>
      </c>
      <c r="AB130" s="120">
        <f t="shared" si="5"/>
        <v>0.23812858754552738</v>
      </c>
      <c r="AC130" s="120">
        <f t="shared" si="5"/>
        <v>0.23831226161745053</v>
      </c>
      <c r="AD130" s="120">
        <f t="shared" si="5"/>
        <v>0.23848651226361225</v>
      </c>
      <c r="AE130" s="120">
        <f t="shared" si="5"/>
        <v>0.23865225941895438</v>
      </c>
      <c r="AF130" s="120">
        <f t="shared" si="5"/>
        <v>0.23881029455552774</v>
      </c>
      <c r="AG130" s="120">
        <f t="shared" si="5"/>
        <v>0.23896130354107797</v>
      </c>
      <c r="AH130" s="120">
        <f t="shared" si="5"/>
        <v>0.23910588462914062</v>
      </c>
      <c r="AI130" s="120">
        <f t="shared" si="5"/>
        <v>0.23924456277426079</v>
      </c>
      <c r="AJ130" s="120">
        <f t="shared" si="5"/>
        <v>0.23937780113790041</v>
      </c>
      <c r="AK130" s="120">
        <f t="shared" si="5"/>
        <v>0.23950601042170425</v>
      </c>
      <c r="AL130" s="120">
        <f t="shared" si="5"/>
        <v>0.23962955650256768</v>
      </c>
      <c r="AM130" s="120">
        <f t="shared" si="5"/>
        <v>0.23974876672731135</v>
      </c>
      <c r="AN130" s="120">
        <f t="shared" si="5"/>
        <v>0.23986393513978921</v>
      </c>
      <c r="AO130" s="120">
        <f t="shared" si="5"/>
        <v>0.23997532685058995</v>
      </c>
      <c r="AP130" s="120">
        <f t="shared" ref="M130:AQ131" si="6">AP174*(1-$I$115)</f>
        <v>0.240083181712754</v>
      </c>
      <c r="AQ130" s="120">
        <f t="shared" si="6"/>
        <v>0.24018771743170469</v>
      </c>
    </row>
    <row r="131" spans="7:43" ht="14.1" hidden="1" customHeight="1" thickTop="1" thickBot="1" x14ac:dyDescent="0.3">
      <c r="G131" s="106"/>
      <c r="H131" s="218"/>
      <c r="J131" s="211"/>
      <c r="K131" s="121" t="s">
        <v>133</v>
      </c>
      <c r="L131" s="120">
        <f t="shared" si="4"/>
        <v>0.22948694189369745</v>
      </c>
      <c r="M131" s="120">
        <f t="shared" si="6"/>
        <v>0.2301721380011591</v>
      </c>
      <c r="N131" s="120">
        <f t="shared" si="6"/>
        <v>0.23065684944570677</v>
      </c>
      <c r="O131" s="120">
        <f t="shared" si="6"/>
        <v>0.23103203242675957</v>
      </c>
      <c r="P131" s="120">
        <f t="shared" si="6"/>
        <v>0.23133808223524213</v>
      </c>
      <c r="Q131" s="120">
        <f t="shared" si="6"/>
        <v>0.23159650178394572</v>
      </c>
      <c r="R131" s="120">
        <f t="shared" si="6"/>
        <v>0.23182010547810414</v>
      </c>
      <c r="S131" s="120">
        <f t="shared" si="6"/>
        <v>0.23201714785574992</v>
      </c>
      <c r="T131" s="120">
        <f t="shared" si="6"/>
        <v>0.23219325870528446</v>
      </c>
      <c r="U131" s="120">
        <f t="shared" si="6"/>
        <v>0.23235244960613147</v>
      </c>
      <c r="V131" s="120">
        <f t="shared" si="6"/>
        <v>0.23249768001104087</v>
      </c>
      <c r="W131" s="120">
        <f t="shared" si="6"/>
        <v>0.23263119563182283</v>
      </c>
      <c r="X131" s="120">
        <f t="shared" si="6"/>
        <v>0.23275474088150522</v>
      </c>
      <c r="Y131" s="120">
        <f t="shared" si="6"/>
        <v>0.23286969773864505</v>
      </c>
      <c r="Z131" s="120">
        <f t="shared" si="6"/>
        <v>0.23297717963811124</v>
      </c>
      <c r="AA131" s="120">
        <f t="shared" si="6"/>
        <v>0.23307809680600688</v>
      </c>
      <c r="AB131" s="120">
        <f t="shared" si="6"/>
        <v>0.23317320286415955</v>
      </c>
      <c r="AC131" s="120">
        <f t="shared" si="6"/>
        <v>0.23326312879887171</v>
      </c>
      <c r="AD131" s="120">
        <f t="shared" si="6"/>
        <v>0.23334840819373595</v>
      </c>
      <c r="AE131" s="120">
        <f t="shared" si="6"/>
        <v>0.23342949629069923</v>
      </c>
      <c r="AF131" s="120">
        <f t="shared" si="6"/>
        <v>0.23350678460637736</v>
      </c>
      <c r="AG131" s="120">
        <f t="shared" si="6"/>
        <v>0.23358061229192192</v>
      </c>
      <c r="AH131" s="120">
        <f t="shared" si="6"/>
        <v>0.23365127506990116</v>
      </c>
      <c r="AI131" s="120">
        <f t="shared" si="6"/>
        <v>0.23371903234296432</v>
      </c>
      <c r="AJ131" s="120">
        <f t="shared" si="6"/>
        <v>0.23378411290542253</v>
      </c>
      <c r="AK131" s="120">
        <f t="shared" si="6"/>
        <v>0.23384671957474992</v>
      </c>
      <c r="AL131" s="120">
        <f t="shared" si="6"/>
        <v>0.23390703297915125</v>
      </c>
      <c r="AM131" s="120">
        <f t="shared" si="6"/>
        <v>0.23396521467922521</v>
      </c>
      <c r="AN131" s="120">
        <f t="shared" si="6"/>
        <v>0.23402140975942828</v>
      </c>
      <c r="AO131" s="120">
        <f t="shared" si="6"/>
        <v>0.23407574899384032</v>
      </c>
      <c r="AP131" s="120">
        <f t="shared" si="6"/>
        <v>0.23412835066746862</v>
      </c>
      <c r="AQ131" s="120">
        <f t="shared" si="6"/>
        <v>0.23417932211679954</v>
      </c>
    </row>
    <row r="132" spans="7:43" ht="14.1" customHeight="1" thickTop="1" thickBot="1" x14ac:dyDescent="0.3">
      <c r="G132" s="106"/>
      <c r="H132" s="218"/>
      <c r="I132" s="3" t="s">
        <v>361</v>
      </c>
      <c r="J132" s="211"/>
      <c r="K132" s="119" t="s">
        <v>134</v>
      </c>
      <c r="L132" s="120">
        <f>L176*(1-$I$133)</f>
        <v>0.14595080195828133</v>
      </c>
      <c r="M132" s="120">
        <f t="shared" ref="M132:AQ134" si="7">M176*(1-$I$133)</f>
        <v>0.1469966645652688</v>
      </c>
      <c r="N132" s="120">
        <f t="shared" si="7"/>
        <v>0.1477395968723034</v>
      </c>
      <c r="O132" s="120">
        <f t="shared" si="7"/>
        <v>0.14831634331628507</v>
      </c>
      <c r="P132" s="120">
        <f t="shared" si="7"/>
        <v>0.14878788508119081</v>
      </c>
      <c r="Q132" s="120">
        <f t="shared" si="7"/>
        <v>0.14918677865973592</v>
      </c>
      <c r="R132" s="120">
        <f t="shared" si="7"/>
        <v>0.14953247004527193</v>
      </c>
      <c r="S132" s="120">
        <f t="shared" si="7"/>
        <v>0.14983750898955703</v>
      </c>
      <c r="T132" s="120">
        <f t="shared" si="7"/>
        <v>0.15011046823841423</v>
      </c>
      <c r="U132" s="120">
        <f t="shared" si="7"/>
        <v>0.15035746477016904</v>
      </c>
      <c r="V132" s="120">
        <f t="shared" si="7"/>
        <v>0.15058301669038401</v>
      </c>
      <c r="W132" s="120">
        <f t="shared" si="7"/>
        <v>0.15079055615436501</v>
      </c>
      <c r="X132" s="120">
        <f t="shared" si="7"/>
        <v>0.15098275177310899</v>
      </c>
      <c r="Y132" s="120">
        <f t="shared" si="7"/>
        <v>0.15116171958336719</v>
      </c>
      <c r="Z132" s="120">
        <f t="shared" si="7"/>
        <v>0.15132916583065661</v>
      </c>
      <c r="AA132" s="120">
        <f t="shared" si="7"/>
        <v>0.15148648641485488</v>
      </c>
      <c r="AB132" s="120">
        <f t="shared" si="7"/>
        <v>0.15163483788451679</v>
      </c>
      <c r="AC132" s="120">
        <f t="shared" si="7"/>
        <v>0.1517751892219521</v>
      </c>
      <c r="AD132" s="120">
        <f t="shared" si="7"/>
        <v>0.15190836033759886</v>
      </c>
      <c r="AE132" s="120">
        <f t="shared" si="7"/>
        <v>0.15203505116816865</v>
      </c>
      <c r="AF132" s="120">
        <f t="shared" si="7"/>
        <v>0.15215586400338152</v>
      </c>
      <c r="AG132" s="120">
        <f t="shared" si="7"/>
        <v>0.15227132084854697</v>
      </c>
      <c r="AH132" s="120">
        <f t="shared" si="7"/>
        <v>0.15238187709136677</v>
      </c>
      <c r="AI132" s="120">
        <f t="shared" si="7"/>
        <v>0.15248793237861863</v>
      </c>
      <c r="AJ132" s="120">
        <f t="shared" si="7"/>
        <v>0.15258983935957227</v>
      </c>
      <c r="AK132" s="120">
        <f t="shared" si="7"/>
        <v>0.15268791077936331</v>
      </c>
      <c r="AL132" s="120">
        <f t="shared" si="7"/>
        <v>0.15278242528247143</v>
      </c>
      <c r="AM132" s="120">
        <f t="shared" si="7"/>
        <v>0.15287363219794858</v>
      </c>
      <c r="AN132" s="120">
        <f t="shared" si="7"/>
        <v>0.15296175551355251</v>
      </c>
      <c r="AO132" s="120">
        <f t="shared" si="7"/>
        <v>0.15304699719837919</v>
      </c>
      <c r="AP132" s="120">
        <f t="shared" si="7"/>
        <v>0.15312953999811166</v>
      </c>
      <c r="AQ132" s="120">
        <f t="shared" si="7"/>
        <v>0.15320954980025819</v>
      </c>
    </row>
    <row r="133" spans="7:43" ht="14.1" customHeight="1" thickTop="1" thickBot="1" x14ac:dyDescent="0.3">
      <c r="G133" s="106"/>
      <c r="H133" s="218"/>
      <c r="I133" s="201">
        <v>0.51600000000000001</v>
      </c>
      <c r="J133" s="211"/>
      <c r="K133" s="7" t="s">
        <v>135</v>
      </c>
      <c r="L133" s="120">
        <f t="shared" ref="L133:AA134" si="8">L177*(1-$I$133)</f>
        <v>0.14565342345572402</v>
      </c>
      <c r="M133" s="120">
        <f t="shared" si="8"/>
        <v>0.14652319981830725</v>
      </c>
      <c r="N133" s="120">
        <f t="shared" si="8"/>
        <v>0.14714031596851063</v>
      </c>
      <c r="O133" s="120">
        <f t="shared" si="8"/>
        <v>0.14761898844245433</v>
      </c>
      <c r="P133" s="120">
        <f t="shared" si="8"/>
        <v>0.14801009233109386</v>
      </c>
      <c r="Q133" s="120">
        <f t="shared" si="8"/>
        <v>0.14834076595727949</v>
      </c>
      <c r="R133" s="120">
        <f t="shared" si="8"/>
        <v>0.14862720848129723</v>
      </c>
      <c r="S133" s="120">
        <f t="shared" si="8"/>
        <v>0.14887986869367706</v>
      </c>
      <c r="T133" s="120">
        <f t="shared" si="8"/>
        <v>0.14910588095524088</v>
      </c>
      <c r="U133" s="120">
        <f t="shared" si="8"/>
        <v>0.14931033391518644</v>
      </c>
      <c r="V133" s="120">
        <f t="shared" si="8"/>
        <v>0.14949698484388046</v>
      </c>
      <c r="W133" s="120">
        <f t="shared" si="8"/>
        <v>0.14966868705385958</v>
      </c>
      <c r="X133" s="120">
        <f t="shared" si="8"/>
        <v>0.14982765847006607</v>
      </c>
      <c r="Y133" s="120">
        <f t="shared" si="8"/>
        <v>0.14997565731782408</v>
      </c>
      <c r="Z133" s="120">
        <f t="shared" si="8"/>
        <v>0.15011410099408379</v>
      </c>
      <c r="AA133" s="120">
        <f t="shared" si="8"/>
        <v>0.15024414883788598</v>
      </c>
      <c r="AB133" s="120">
        <f t="shared" si="7"/>
        <v>0.15036676120646361</v>
      </c>
      <c r="AC133" s="120">
        <f t="shared" si="7"/>
        <v>0.15048274255753682</v>
      </c>
      <c r="AD133" s="120">
        <f t="shared" si="7"/>
        <v>0.15059277346802746</v>
      </c>
      <c r="AE133" s="120">
        <f t="shared" si="7"/>
        <v>0.15069743483264925</v>
      </c>
      <c r="AF133" s="120">
        <f t="shared" si="7"/>
        <v>0.150797226427973</v>
      </c>
      <c r="AG133" s="120">
        <f t="shared" si="7"/>
        <v>0.15089258134652483</v>
      </c>
      <c r="AH133" s="120">
        <f t="shared" si="7"/>
        <v>0.15098387735666696</v>
      </c>
      <c r="AI133" s="120">
        <f t="shared" si="7"/>
        <v>0.15107144594197111</v>
      </c>
      <c r="AJ133" s="120">
        <f t="shared" si="7"/>
        <v>0.1511555795666461</v>
      </c>
      <c r="AK133" s="120">
        <f t="shared" si="7"/>
        <v>0.15123653756904681</v>
      </c>
      <c r="AL133" s="120">
        <f t="shared" si="7"/>
        <v>0.15131455098285262</v>
      </c>
      <c r="AM133" s="120">
        <f t="shared" si="7"/>
        <v>0.15138982651185215</v>
      </c>
      <c r="AN133" s="120">
        <f t="shared" si="7"/>
        <v>0.15146254983061067</v>
      </c>
      <c r="AO133" s="120">
        <f t="shared" si="7"/>
        <v>0.15153288834372661</v>
      </c>
      <c r="AP133" s="120">
        <f t="shared" si="7"/>
        <v>0.1516009935068704</v>
      </c>
      <c r="AQ133" s="120">
        <f t="shared" si="7"/>
        <v>0.15166700279055625</v>
      </c>
    </row>
    <row r="134" spans="7:43" ht="14.1" customHeight="1" thickTop="1" x14ac:dyDescent="0.25">
      <c r="G134" s="106"/>
      <c r="H134" s="218"/>
      <c r="J134" s="211"/>
      <c r="K134" s="121" t="s">
        <v>136</v>
      </c>
      <c r="L134" s="120">
        <f t="shared" si="8"/>
        <v>0.14490997719933071</v>
      </c>
      <c r="M134" s="120">
        <f t="shared" si="7"/>
        <v>0.14534264561823942</v>
      </c>
      <c r="N134" s="120">
        <f t="shared" si="7"/>
        <v>0.14564871760559545</v>
      </c>
      <c r="O134" s="120">
        <f t="shared" si="7"/>
        <v>0.14588562763098209</v>
      </c>
      <c r="P134" s="120">
        <f t="shared" si="7"/>
        <v>0.14607888337966698</v>
      </c>
      <c r="Q134" s="120">
        <f t="shared" si="7"/>
        <v>0.14624206290788536</v>
      </c>
      <c r="R134" s="120">
        <f t="shared" si="7"/>
        <v>0.14638325789682372</v>
      </c>
      <c r="S134" s="120">
        <f t="shared" si="7"/>
        <v>0.14650768069062772</v>
      </c>
      <c r="T134" s="120">
        <f t="shared" si="7"/>
        <v>0.14661888623016742</v>
      </c>
      <c r="U134" s="120">
        <f t="shared" si="7"/>
        <v>0.14671940763509672</v>
      </c>
      <c r="V134" s="120">
        <f t="shared" si="7"/>
        <v>0.14681111365762858</v>
      </c>
      <c r="W134" s="120">
        <f t="shared" si="7"/>
        <v>0.14689542235686703</v>
      </c>
      <c r="X134" s="120">
        <f t="shared" si="7"/>
        <v>0.14697343524582196</v>
      </c>
      <c r="Y134" s="120">
        <f t="shared" si="7"/>
        <v>0.14704602497754951</v>
      </c>
      <c r="Z134" s="120">
        <f t="shared" si="7"/>
        <v>0.14711389463266999</v>
      </c>
      <c r="AA134" s="120">
        <f t="shared" si="7"/>
        <v>0.14717761897523216</v>
      </c>
      <c r="AB134" s="120">
        <f t="shared" si="7"/>
        <v>0.14723767388120937</v>
      </c>
      <c r="AC134" s="120">
        <f t="shared" si="7"/>
        <v>0.14729445778813338</v>
      </c>
      <c r="AD134" s="120">
        <f t="shared" si="7"/>
        <v>0.14734830762840481</v>
      </c>
      <c r="AE134" s="120">
        <f t="shared" si="7"/>
        <v>0.14739951086543923</v>
      </c>
      <c r="AF134" s="120">
        <f t="shared" si="7"/>
        <v>0.14744831472316761</v>
      </c>
      <c r="AG134" s="120">
        <f t="shared" si="7"/>
        <v>0.14749493335924624</v>
      </c>
      <c r="AH134" s="120">
        <f t="shared" si="7"/>
        <v>0.14753955350826786</v>
      </c>
      <c r="AI134" s="120">
        <f t="shared" si="7"/>
        <v>0.14758233897054143</v>
      </c>
      <c r="AJ134" s="120">
        <f t="shared" si="7"/>
        <v>0.14762343421868113</v>
      </c>
      <c r="AK134" s="120">
        <f t="shared" si="7"/>
        <v>0.14766296732217665</v>
      </c>
      <c r="AL134" s="120">
        <f t="shared" si="7"/>
        <v>0.14770105233906036</v>
      </c>
      <c r="AM134" s="120">
        <f t="shared" si="7"/>
        <v>0.1477377912870875</v>
      </c>
      <c r="AN134" s="120">
        <f t="shared" si="7"/>
        <v>0.14777327578012117</v>
      </c>
      <c r="AO134" s="120">
        <f t="shared" si="7"/>
        <v>0.14780758839570921</v>
      </c>
      <c r="AP134" s="120">
        <f t="shared" si="7"/>
        <v>0.14784080382515033</v>
      </c>
      <c r="AQ134" s="120">
        <f t="shared" si="7"/>
        <v>0.14787298984627822</v>
      </c>
    </row>
    <row r="135" spans="7:43" ht="14.1" customHeight="1" x14ac:dyDescent="0.25">
      <c r="G135" s="106"/>
      <c r="H135" s="218"/>
      <c r="J135" s="129"/>
      <c r="K135" s="7"/>
      <c r="L135" s="130"/>
      <c r="M135" s="130"/>
      <c r="N135" s="130"/>
      <c r="O135" s="130"/>
      <c r="P135" s="130"/>
      <c r="Q135" s="130"/>
      <c r="R135" s="130"/>
      <c r="S135" s="130"/>
      <c r="T135" s="130"/>
      <c r="U135" s="130"/>
      <c r="V135" s="130"/>
      <c r="W135" s="130"/>
      <c r="X135" s="130"/>
      <c r="Y135" s="130"/>
      <c r="Z135" s="130"/>
      <c r="AA135" s="130"/>
      <c r="AB135" s="130"/>
      <c r="AC135" s="130"/>
      <c r="AD135" s="130"/>
      <c r="AE135" s="130"/>
      <c r="AF135" s="130"/>
      <c r="AG135" s="130"/>
      <c r="AH135" s="130"/>
      <c r="AI135" s="130"/>
      <c r="AJ135" s="130"/>
      <c r="AK135" s="130"/>
      <c r="AL135" s="130"/>
      <c r="AM135" s="130"/>
      <c r="AN135" s="130"/>
      <c r="AO135" s="130"/>
      <c r="AP135" s="130"/>
      <c r="AQ135" s="130"/>
    </row>
    <row r="136" spans="7:43" ht="14.1" customHeight="1" thickBot="1" x14ac:dyDescent="0.3">
      <c r="G136" s="106"/>
      <c r="H136" s="218"/>
      <c r="L136" s="107">
        <v>2019</v>
      </c>
      <c r="M136" s="107">
        <v>2020</v>
      </c>
      <c r="N136" s="107">
        <v>2021</v>
      </c>
      <c r="O136" s="107">
        <v>2022</v>
      </c>
      <c r="P136" s="107">
        <v>2023</v>
      </c>
      <c r="Q136" s="107">
        <v>2024</v>
      </c>
      <c r="R136" s="107">
        <v>2025</v>
      </c>
      <c r="S136" s="107">
        <v>2026</v>
      </c>
      <c r="T136" s="107">
        <v>2027</v>
      </c>
      <c r="U136" s="107">
        <v>2028</v>
      </c>
      <c r="V136" s="107">
        <v>2029</v>
      </c>
      <c r="W136" s="107">
        <v>2030</v>
      </c>
      <c r="X136" s="107">
        <v>2031</v>
      </c>
      <c r="Y136" s="107">
        <v>2032</v>
      </c>
      <c r="Z136" s="107">
        <v>2033</v>
      </c>
      <c r="AA136" s="107">
        <v>2034</v>
      </c>
      <c r="AB136" s="107">
        <v>2035</v>
      </c>
      <c r="AC136" s="107">
        <v>2036</v>
      </c>
      <c r="AD136" s="107">
        <v>2037</v>
      </c>
      <c r="AE136" s="107">
        <v>2038</v>
      </c>
      <c r="AF136" s="107">
        <v>2039</v>
      </c>
      <c r="AG136" s="107">
        <v>2040</v>
      </c>
      <c r="AH136" s="107">
        <v>2041</v>
      </c>
      <c r="AI136" s="107">
        <v>2042</v>
      </c>
      <c r="AJ136" s="107">
        <v>2043</v>
      </c>
      <c r="AK136" s="107">
        <v>2044</v>
      </c>
      <c r="AL136" s="107">
        <v>2045</v>
      </c>
      <c r="AM136" s="107">
        <v>2046</v>
      </c>
      <c r="AN136" s="107">
        <v>2047</v>
      </c>
      <c r="AO136" s="107">
        <v>2048</v>
      </c>
      <c r="AP136" s="107">
        <v>2049</v>
      </c>
      <c r="AQ136" s="107">
        <v>2050</v>
      </c>
    </row>
    <row r="137" spans="7:43" ht="14.1" hidden="1" customHeight="1" x14ac:dyDescent="0.25">
      <c r="G137" s="106"/>
      <c r="H137" s="218"/>
      <c r="J137" s="209" t="s">
        <v>363</v>
      </c>
      <c r="K137" s="119" t="s">
        <v>95</v>
      </c>
      <c r="L137" s="120">
        <v>0.45186209770770747</v>
      </c>
      <c r="M137" s="120">
        <v>0.45949530225690388</v>
      </c>
      <c r="N137" s="120">
        <v>0.46492618350875636</v>
      </c>
      <c r="O137" s="120">
        <v>0.46914691946458048</v>
      </c>
      <c r="P137" s="120">
        <v>0.47260069055293891</v>
      </c>
      <c r="Q137" s="120">
        <v>0.47552437345147086</v>
      </c>
      <c r="R137" s="120">
        <v>0.47805958065912968</v>
      </c>
      <c r="S137" s="120">
        <v>0.48029777012918601</v>
      </c>
      <c r="T137" s="120">
        <v>0.4823014550312244</v>
      </c>
      <c r="U137" s="120">
        <v>0.48411526439044628</v>
      </c>
      <c r="V137" s="120">
        <v>0.48577217724538629</v>
      </c>
      <c r="W137" s="120">
        <v>0.48729725629641746</v>
      </c>
      <c r="X137" s="120">
        <v>0.48870999585380476</v>
      </c>
      <c r="Y137" s="120">
        <v>0.49002585888849554</v>
      </c>
      <c r="Z137" s="120">
        <v>0.49125731769051295</v>
      </c>
      <c r="AA137" s="120">
        <v>0.49241457891714446</v>
      </c>
      <c r="AB137" s="120">
        <v>0.49350610136939949</v>
      </c>
      <c r="AC137" s="120">
        <v>0.49453897378187711</v>
      </c>
      <c r="AD137" s="120">
        <v>0.49551919572867614</v>
      </c>
      <c r="AE137" s="120">
        <v>0.49645189001583612</v>
      </c>
      <c r="AF137" s="120">
        <v>0.49734146568681781</v>
      </c>
      <c r="AG137" s="120">
        <v>0.49819174481350548</v>
      </c>
      <c r="AH137" s="120">
        <v>0.49900606231971184</v>
      </c>
      <c r="AI137" s="120">
        <v>0.49978734544130526</v>
      </c>
      <c r="AJ137" s="120">
        <v>0.50053817761378694</v>
      </c>
      <c r="AK137" s="120">
        <v>0.5012608503124828</v>
      </c>
      <c r="AL137" s="120">
        <v>0.50195740547316914</v>
      </c>
      <c r="AM137" s="120">
        <v>0.50262967047554719</v>
      </c>
      <c r="AN137" s="120">
        <v>0.50327928720161708</v>
      </c>
      <c r="AO137" s="120">
        <v>0.50390773633404118</v>
      </c>
      <c r="AP137" s="120">
        <v>0.50451635780072701</v>
      </c>
      <c r="AQ137" s="120">
        <v>0.50510636807672415</v>
      </c>
    </row>
    <row r="138" spans="7:43" ht="14.1" hidden="1" customHeight="1" x14ac:dyDescent="0.25">
      <c r="G138" s="106"/>
      <c r="H138" s="218"/>
      <c r="J138" s="210"/>
      <c r="K138" s="7" t="s">
        <v>96</v>
      </c>
      <c r="L138" s="93">
        <v>0.44969767365991592</v>
      </c>
      <c r="M138" s="93">
        <v>0.4560282081780016</v>
      </c>
      <c r="N138" s="93">
        <v>0.4605197938988736</v>
      </c>
      <c r="O138" s="93">
        <v>0.46400373845004322</v>
      </c>
      <c r="P138" s="93">
        <v>0.46685032841695934</v>
      </c>
      <c r="Q138" s="93">
        <v>0.46925708594089527</v>
      </c>
      <c r="R138" s="93">
        <v>0.47134191413783127</v>
      </c>
      <c r="S138" s="93">
        <v>0.47318086293504497</v>
      </c>
      <c r="T138" s="93">
        <v>0.4748258586890009</v>
      </c>
      <c r="U138" s="93">
        <v>0.47631393835630303</v>
      </c>
      <c r="V138" s="93">
        <v>0.47767244865591696</v>
      </c>
      <c r="W138" s="93">
        <v>0.47892215698769575</v>
      </c>
      <c r="X138" s="93">
        <v>0.48007920617985284</v>
      </c>
      <c r="Y138" s="93">
        <v>0.48115639320708647</v>
      </c>
      <c r="Z138" s="93">
        <v>0.4821640343767889</v>
      </c>
      <c r="AA138" s="93">
        <v>0.48311056776124089</v>
      </c>
      <c r="AB138" s="93">
        <v>0.48400298317400264</v>
      </c>
      <c r="AC138" s="93">
        <v>0.48484713573782118</v>
      </c>
      <c r="AD138" s="93">
        <v>0.48564797892795847</v>
      </c>
      <c r="AE138" s="93">
        <v>0.48640974069793869</v>
      </c>
      <c r="AF138" s="93">
        <v>0.48713605859526066</v>
      </c>
      <c r="AG138" s="93">
        <v>0.48783008481778167</v>
      </c>
      <c r="AH138" s="93">
        <v>0.48849456889487458</v>
      </c>
      <c r="AI138" s="93">
        <v>0.48913192347912804</v>
      </c>
      <c r="AJ138" s="93">
        <v>0.48974427722665331</v>
      </c>
      <c r="AK138" s="93">
        <v>0.49033351769208833</v>
      </c>
      <c r="AL138" s="93">
        <v>0.49090132641881051</v>
      </c>
      <c r="AM138" s="93">
        <v>0.49144920786879998</v>
      </c>
      <c r="AN138" s="93">
        <v>0.49197851344604421</v>
      </c>
      <c r="AO138" s="93">
        <v>0.49249046157936538</v>
      </c>
      <c r="AP138" s="93">
        <v>0.49298615461574652</v>
      </c>
      <c r="AQ138" s="93">
        <v>0.4934665931133464</v>
      </c>
    </row>
    <row r="139" spans="7:43" ht="14.1" hidden="1" customHeight="1" x14ac:dyDescent="0.25">
      <c r="G139" s="106"/>
      <c r="H139" s="218"/>
      <c r="J139" s="210"/>
      <c r="K139" s="121" t="s">
        <v>97</v>
      </c>
      <c r="L139" s="122">
        <v>0.44428661354043714</v>
      </c>
      <c r="M139" s="122">
        <v>0.44741379420834088</v>
      </c>
      <c r="N139" s="122">
        <v>0.4496171638391544</v>
      </c>
      <c r="O139" s="122">
        <v>0.45131789558708629</v>
      </c>
      <c r="P139" s="122">
        <v>0.45270227774503968</v>
      </c>
      <c r="Q139" s="122">
        <v>0.45386918772319079</v>
      </c>
      <c r="R139" s="122">
        <v>0.45487741893443456</v>
      </c>
      <c r="S139" s="122">
        <v>0.45576477507372382</v>
      </c>
      <c r="T139" s="122">
        <v>0.45655699975832809</v>
      </c>
      <c r="U139" s="122">
        <v>0.4572724127627722</v>
      </c>
      <c r="V139" s="122">
        <v>0.4579245134388632</v>
      </c>
      <c r="W139" s="122">
        <v>0.45852353488272135</v>
      </c>
      <c r="X139" s="122">
        <v>0.45907741851274381</v>
      </c>
      <c r="Y139" s="122">
        <v>0.45959245044221736</v>
      </c>
      <c r="Z139" s="122">
        <v>0.46007369134526688</v>
      </c>
      <c r="AA139" s="122">
        <v>0.46052527532615123</v>
      </c>
      <c r="AB139" s="122">
        <v>0.46095062293919542</v>
      </c>
      <c r="AC139" s="122">
        <v>0.4613525963398511</v>
      </c>
      <c r="AD139" s="122">
        <v>0.46173361445648764</v>
      </c>
      <c r="AE139" s="122">
        <v>0.46209573993694797</v>
      </c>
      <c r="AF139" s="122">
        <v>0.4624407457809005</v>
      </c>
      <c r="AG139" s="122">
        <v>0.46277016709787261</v>
      </c>
      <c r="AH139" s="122">
        <v>0.46308534180414868</v>
      </c>
      <c r="AI139" s="122">
        <v>0.46338744297813628</v>
      </c>
      <c r="AJ139" s="122">
        <v>0.46367750484451936</v>
      </c>
      <c r="AK139" s="122">
        <v>0.46395644383520401</v>
      </c>
      <c r="AL139" s="122">
        <v>0.46422507580520328</v>
      </c>
      <c r="AM139" s="122">
        <v>0.4644841302159024</v>
      </c>
      <c r="AN139" s="122">
        <v>0.46473426190472011</v>
      </c>
      <c r="AO139" s="122">
        <v>0.46497606091765464</v>
      </c>
      <c r="AP139" s="122">
        <v>0.46521006077497323</v>
      </c>
      <c r="AQ139" s="122">
        <v>0.46543674546030817</v>
      </c>
    </row>
    <row r="140" spans="7:43" ht="14.1" hidden="1" customHeight="1" x14ac:dyDescent="0.25">
      <c r="G140" s="106"/>
      <c r="H140" s="218"/>
      <c r="J140" s="210"/>
      <c r="K140" s="119" t="s">
        <v>98</v>
      </c>
      <c r="L140" s="120">
        <v>0.44034238251764596</v>
      </c>
      <c r="M140" s="120">
        <v>0.44778098711513076</v>
      </c>
      <c r="N140" s="120">
        <v>0.45307341416697455</v>
      </c>
      <c r="O140" s="120">
        <v>0.45718654721396829</v>
      </c>
      <c r="P140" s="120">
        <v>0.46055226829886009</v>
      </c>
      <c r="Q140" s="120">
        <v>0.46340141519521794</v>
      </c>
      <c r="R140" s="120">
        <v>0.46587199015085079</v>
      </c>
      <c r="S140" s="120">
        <v>0.46805311950153167</v>
      </c>
      <c r="T140" s="120">
        <v>0.47000572271400326</v>
      </c>
      <c r="U140" s="120">
        <v>0.47177329104674087</v>
      </c>
      <c r="V140" s="120">
        <v>0.47338796277484047</v>
      </c>
      <c r="W140" s="120">
        <v>0.47487416165336033</v>
      </c>
      <c r="X140" s="120">
        <v>0.47625088500708418</v>
      </c>
      <c r="Y140" s="120">
        <v>0.47753320159593304</v>
      </c>
      <c r="Z140" s="120">
        <v>0.478733265742945</v>
      </c>
      <c r="AA140" s="120">
        <v>0.47986102389817731</v>
      </c>
      <c r="AB140" s="120">
        <v>0.48092471921503577</v>
      </c>
      <c r="AC140" s="120">
        <v>0.48193125970881562</v>
      </c>
      <c r="AD140" s="120">
        <v>0.48288649200123235</v>
      </c>
      <c r="AE140" s="120">
        <v>0.48379540829815593</v>
      </c>
      <c r="AF140" s="120">
        <v>0.48466230523945059</v>
      </c>
      <c r="AG140" s="120">
        <v>0.48549090745758322</v>
      </c>
      <c r="AH140" s="120">
        <v>0.48628446485624049</v>
      </c>
      <c r="AI140" s="120">
        <v>0.48704583004470958</v>
      </c>
      <c r="AJ140" s="120">
        <v>0.4877775205967137</v>
      </c>
      <c r="AK140" s="120">
        <v>0.48848176956899642</v>
      </c>
      <c r="AL140" s="120">
        <v>0.48916056684048165</v>
      </c>
      <c r="AM140" s="120">
        <v>0.48981569320388346</v>
      </c>
      <c r="AN140" s="120">
        <v>0.49044874868326988</v>
      </c>
      <c r="AO140" s="120">
        <v>0.4910611762129668</v>
      </c>
      <c r="AP140" s="120">
        <v>0.49165428156092894</v>
      </c>
      <c r="AQ140" s="120">
        <v>0.49222925018954478</v>
      </c>
    </row>
    <row r="141" spans="7:43" ht="14.1" hidden="1" customHeight="1" x14ac:dyDescent="0.25">
      <c r="G141" s="106"/>
      <c r="H141" s="218"/>
      <c r="J141" s="210"/>
      <c r="K141" s="7" t="s">
        <v>99</v>
      </c>
      <c r="L141" s="93">
        <v>0.43823313802288077</v>
      </c>
      <c r="M141" s="93">
        <v>0.44440228269433152</v>
      </c>
      <c r="N141" s="93">
        <v>0.44877936049670653</v>
      </c>
      <c r="O141" s="93">
        <v>0.45217448580596353</v>
      </c>
      <c r="P141" s="93">
        <v>0.45494850516815727</v>
      </c>
      <c r="Q141" s="93">
        <v>0.45729390512006418</v>
      </c>
      <c r="R141" s="93">
        <v>0.45932558297053216</v>
      </c>
      <c r="S141" s="93">
        <v>0.4611176498396079</v>
      </c>
      <c r="T141" s="93">
        <v>0.46272070827978917</v>
      </c>
      <c r="U141" s="93">
        <v>0.46417085103219091</v>
      </c>
      <c r="V141" s="93">
        <v>0.46549472764198285</v>
      </c>
      <c r="W141" s="93">
        <v>0.46671257606755184</v>
      </c>
      <c r="X141" s="93">
        <v>0.46784012759388977</v>
      </c>
      <c r="Y141" s="93">
        <v>0.46888985295123981</v>
      </c>
      <c r="Z141" s="93">
        <v>0.4698718054443578</v>
      </c>
      <c r="AA141" s="93">
        <v>0.47079420802637678</v>
      </c>
      <c r="AB141" s="93">
        <v>0.47166387231343365</v>
      </c>
      <c r="AC141" s="93">
        <v>0.47248650415851634</v>
      </c>
      <c r="AD141" s="93">
        <v>0.47326693075361481</v>
      </c>
      <c r="AE141" s="93">
        <v>0.47400927226534062</v>
      </c>
      <c r="AF141" s="93">
        <v>0.47471707350601661</v>
      </c>
      <c r="AG141" s="93">
        <v>0.47539340631176635</v>
      </c>
      <c r="AH141" s="93">
        <v>0.47604095011580855</v>
      </c>
      <c r="AI141" s="93">
        <v>0.47666205606287171</v>
      </c>
      <c r="AJ141" s="93">
        <v>0.47725879854137743</v>
      </c>
      <c r="AK141" s="93">
        <v>0.47783301698488428</v>
      </c>
      <c r="AL141" s="93">
        <v>0.4783863500677154</v>
      </c>
      <c r="AM141" s="93">
        <v>0.47892026389728742</v>
      </c>
      <c r="AN141" s="93">
        <v>0.47943607542506544</v>
      </c>
      <c r="AO141" s="93">
        <v>0.47993497201740132</v>
      </c>
      <c r="AP141" s="93">
        <v>0.48041802791818344</v>
      </c>
      <c r="AQ141" s="93">
        <v>0.4808862181774673</v>
      </c>
    </row>
    <row r="142" spans="7:43" ht="14.1" hidden="1" customHeight="1" x14ac:dyDescent="0.25">
      <c r="G142" s="106"/>
      <c r="H142" s="218"/>
      <c r="J142" s="210"/>
      <c r="K142" s="121" t="s">
        <v>100</v>
      </c>
      <c r="L142" s="122">
        <v>0.43296002678596796</v>
      </c>
      <c r="M142" s="122">
        <v>0.4360074835052935</v>
      </c>
      <c r="N142" s="122">
        <v>0.43815468070931091</v>
      </c>
      <c r="O142" s="122">
        <v>0.43981205421708447</v>
      </c>
      <c r="P142" s="122">
        <v>0.44116114311133031</v>
      </c>
      <c r="Q142" s="122">
        <v>0.44229830403403081</v>
      </c>
      <c r="R142" s="122">
        <v>0.4432808315262457</v>
      </c>
      <c r="S142" s="122">
        <v>0.44414556552030832</v>
      </c>
      <c r="T142" s="122">
        <v>0.44491759332896413</v>
      </c>
      <c r="U142" s="122">
        <v>0.44561476768472258</v>
      </c>
      <c r="V142" s="122">
        <v>0.44625024378862238</v>
      </c>
      <c r="W142" s="122">
        <v>0.44683399385552508</v>
      </c>
      <c r="X142" s="122">
        <v>0.4473737568463112</v>
      </c>
      <c r="Y142" s="122">
        <v>0.44787565861689027</v>
      </c>
      <c r="Z142" s="122">
        <v>0.4483446308252006</v>
      </c>
      <c r="AA142" s="122">
        <v>0.44878470218117011</v>
      </c>
      <c r="AB142" s="122">
        <v>0.44919920603594404</v>
      </c>
      <c r="AC142" s="122">
        <v>0.44959093157754487</v>
      </c>
      <c r="AD142" s="122">
        <v>0.44996223606648794</v>
      </c>
      <c r="AE142" s="122">
        <v>0.45031512956573289</v>
      </c>
      <c r="AF142" s="122">
        <v>0.45065133987431882</v>
      </c>
      <c r="AG142" s="122">
        <v>0.45097236296588472</v>
      </c>
      <c r="AH142" s="122">
        <v>0.4512795026480465</v>
      </c>
      <c r="AI142" s="122">
        <v>0.45157390209289905</v>
      </c>
      <c r="AJ142" s="122">
        <v>0.45185656915873307</v>
      </c>
      <c r="AK142" s="122">
        <v>0.45212839691405549</v>
      </c>
      <c r="AL142" s="122">
        <v>0.45239018041457468</v>
      </c>
      <c r="AM142" s="122">
        <v>0.45264263052487963</v>
      </c>
      <c r="AN142" s="122">
        <v>0.45288638538804676</v>
      </c>
      <c r="AO142" s="122">
        <v>0.45312202000751617</v>
      </c>
      <c r="AP142" s="122">
        <v>0.45335005430205694</v>
      </c>
      <c r="AQ142" s="122">
        <v>0.45357095991668361</v>
      </c>
    </row>
    <row r="143" spans="7:43" ht="14.1" hidden="1" customHeight="1" x14ac:dyDescent="0.25">
      <c r="G143" s="106"/>
      <c r="H143" s="218"/>
      <c r="J143" s="210"/>
      <c r="K143" s="119" t="s">
        <v>101</v>
      </c>
      <c r="L143" s="120">
        <v>0.44363387232576323</v>
      </c>
      <c r="M143" s="120">
        <v>0.45112807931854609</v>
      </c>
      <c r="N143" s="120">
        <v>0.4564600664272751</v>
      </c>
      <c r="O143" s="120">
        <v>0.46060394449460096</v>
      </c>
      <c r="P143" s="120">
        <v>0.46399482381337559</v>
      </c>
      <c r="Q143" s="120">
        <v>0.46686526763309022</v>
      </c>
      <c r="R143" s="120">
        <v>0.46935430974657455</v>
      </c>
      <c r="S143" s="120">
        <v>0.47155174269489436</v>
      </c>
      <c r="T143" s="120">
        <v>0.47351894130819105</v>
      </c>
      <c r="U143" s="120">
        <v>0.47529972193523273</v>
      </c>
      <c r="V143" s="120">
        <v>0.47692646307964909</v>
      </c>
      <c r="W143" s="123">
        <v>0.47842377106021244</v>
      </c>
      <c r="X143" s="120">
        <v>0.47981078520371101</v>
      </c>
      <c r="Y143" s="120">
        <v>0.48110268690666774</v>
      </c>
      <c r="Z143" s="120">
        <v>0.48231172134376715</v>
      </c>
      <c r="AA143" s="120">
        <v>0.48344790931321069</v>
      </c>
      <c r="AB143" s="120">
        <v>0.48451955558467485</v>
      </c>
      <c r="AC143" s="120">
        <v>0.48553361980977899</v>
      </c>
      <c r="AD143" s="120">
        <v>0.48649599231281293</v>
      </c>
      <c r="AE143" s="120">
        <v>0.48741170261559774</v>
      </c>
      <c r="AF143" s="120">
        <v>0.4882850794747024</v>
      </c>
      <c r="AG143" s="120">
        <v>0.48911987536363355</v>
      </c>
      <c r="AH143" s="120">
        <v>0.48991936447859508</v>
      </c>
      <c r="AI143" s="120">
        <v>0.49068642075167834</v>
      </c>
      <c r="AJ143" s="120">
        <v>0.49142358057507274</v>
      </c>
      <c r="AK143" s="120">
        <v>0.49213309369726849</v>
      </c>
      <c r="AL143" s="120">
        <v>0.49281696487122051</v>
      </c>
      <c r="AM143" s="120">
        <v>0.49347698820078723</v>
      </c>
      <c r="AN143" s="120">
        <v>0.49411477566996415</v>
      </c>
      <c r="AO143" s="120">
        <v>0.49473178099878334</v>
      </c>
      <c r="AP143" s="120">
        <v>0.49532931971560912</v>
      </c>
      <c r="AQ143" s="120">
        <v>0.49590858614397398</v>
      </c>
    </row>
    <row r="144" spans="7:43" ht="14.1" hidden="1" customHeight="1" x14ac:dyDescent="0.25">
      <c r="G144" s="106"/>
      <c r="H144" s="218"/>
      <c r="J144" s="210"/>
      <c r="K144" s="7" t="s">
        <v>102</v>
      </c>
      <c r="L144" s="93">
        <v>0.44150886156131119</v>
      </c>
      <c r="M144" s="93">
        <v>0.44772411961547742</v>
      </c>
      <c r="N144" s="93">
        <v>0.45213391538357145</v>
      </c>
      <c r="O144" s="93">
        <v>0.45555441871864738</v>
      </c>
      <c r="P144" s="93">
        <v>0.45834917343773768</v>
      </c>
      <c r="Q144" s="93">
        <v>0.46071210488410019</v>
      </c>
      <c r="R144" s="93">
        <v>0.46275896920583165</v>
      </c>
      <c r="S144" s="93">
        <v>0.4645644314919038</v>
      </c>
      <c r="T144" s="93">
        <v>0.46617947254090758</v>
      </c>
      <c r="U144" s="93">
        <v>0.46764045488150102</v>
      </c>
      <c r="V144" s="93">
        <v>0.46897422725999782</v>
      </c>
      <c r="W144" s="124">
        <v>0.47020117891032948</v>
      </c>
      <c r="X144" s="93">
        <v>0.47133715870636028</v>
      </c>
      <c r="Y144" s="93">
        <v>0.47239473059507364</v>
      </c>
      <c r="Z144" s="93">
        <v>0.47338402302809179</v>
      </c>
      <c r="AA144" s="93">
        <v>0.47431332042382446</v>
      </c>
      <c r="AB144" s="93">
        <v>0.47518948531416405</v>
      </c>
      <c r="AC144" s="93">
        <v>0.47601826620244908</v>
      </c>
      <c r="AD144" s="93">
        <v>0.47680452636316772</v>
      </c>
      <c r="AE144" s="93">
        <v>0.47755241676052662</v>
      </c>
      <c r="AF144" s="93">
        <v>0.47826550870376122</v>
      </c>
      <c r="AG144" s="93">
        <v>0.47894689699048532</v>
      </c>
      <c r="AH144" s="93">
        <v>0.47959928108225802</v>
      </c>
      <c r="AI144" s="93">
        <v>0.4802250296982436</v>
      </c>
      <c r="AJ144" s="93">
        <v>0.48082623273258962</v>
      </c>
      <c r="AK144" s="93">
        <v>0.48140474336833022</v>
      </c>
      <c r="AL144" s="93">
        <v>0.48196221252862048</v>
      </c>
      <c r="AM144" s="93">
        <v>0.48250011727979858</v>
      </c>
      <c r="AN144" s="93">
        <v>0.48301978441733395</v>
      </c>
      <c r="AO144" s="93">
        <v>0.48352241018295444</v>
      </c>
      <c r="AP144" s="93">
        <v>0.48400907685035205</v>
      </c>
      <c r="AQ144" s="93">
        <v>0.48448076675792751</v>
      </c>
    </row>
    <row r="145" spans="7:43" ht="14.1" hidden="1" customHeight="1" x14ac:dyDescent="0.25">
      <c r="G145" s="106"/>
      <c r="H145" s="218"/>
      <c r="J145" s="210"/>
      <c r="K145" s="121" t="s">
        <v>103</v>
      </c>
      <c r="L145" s="122">
        <v>0.43619633465018115</v>
      </c>
      <c r="M145" s="122">
        <v>0.43926657062748992</v>
      </c>
      <c r="N145" s="122">
        <v>0.44142981779170565</v>
      </c>
      <c r="O145" s="122">
        <v>0.44309957990485915</v>
      </c>
      <c r="P145" s="122">
        <v>0.44445875302565679</v>
      </c>
      <c r="Q145" s="122">
        <v>0.44560441404677131</v>
      </c>
      <c r="R145" s="122">
        <v>0.44659428577691379</v>
      </c>
      <c r="S145" s="122">
        <v>0.44746548352109722</v>
      </c>
      <c r="T145" s="122">
        <v>0.44824328211577019</v>
      </c>
      <c r="U145" s="122">
        <v>0.44894566773979971</v>
      </c>
      <c r="V145" s="122">
        <v>0.44958589392727621</v>
      </c>
      <c r="W145" s="125">
        <v>0.4501740074337931</v>
      </c>
      <c r="X145" s="122">
        <v>0.45071780506774217</v>
      </c>
      <c r="Y145" s="122">
        <v>0.45122345847483886</v>
      </c>
      <c r="Z145" s="122">
        <v>0.45169593617638637</v>
      </c>
      <c r="AA145" s="122">
        <v>0.4521392969962833</v>
      </c>
      <c r="AB145" s="122">
        <v>0.45255689920194869</v>
      </c>
      <c r="AC145" s="122">
        <v>0.45295155283014515</v>
      </c>
      <c r="AD145" s="122">
        <v>0.45332563276153848</v>
      </c>
      <c r="AE145" s="122">
        <v>0.45368116408399156</v>
      </c>
      <c r="AF145" s="122">
        <v>0.45401988751156852</v>
      </c>
      <c r="AG145" s="122">
        <v>0.4543433102000754</v>
      </c>
      <c r="AH145" s="122">
        <v>0.45465274570288416</v>
      </c>
      <c r="AI145" s="122">
        <v>0.45494934573712065</v>
      </c>
      <c r="AJ145" s="122">
        <v>0.45523412569465715</v>
      </c>
      <c r="AK145" s="122">
        <v>0.45550798531954678</v>
      </c>
      <c r="AL145" s="122">
        <v>0.4557717256104139</v>
      </c>
      <c r="AM145" s="122">
        <v>0.4560260627454481</v>
      </c>
      <c r="AN145" s="122">
        <v>0.45627163963774453</v>
      </c>
      <c r="AO145" s="122">
        <v>0.45650903558880318</v>
      </c>
      <c r="AP145" s="122">
        <v>0.45673877440370397</v>
      </c>
      <c r="AQ145" s="122">
        <v>0.45696133125293353</v>
      </c>
    </row>
    <row r="146" spans="7:43" ht="14.1" hidden="1" customHeight="1" x14ac:dyDescent="0.25">
      <c r="G146" s="106"/>
      <c r="H146" s="218"/>
      <c r="J146" s="210"/>
      <c r="K146" s="119" t="s">
        <v>104</v>
      </c>
      <c r="L146" s="120">
        <v>0.44161576716833228</v>
      </c>
      <c r="M146" s="120">
        <v>0.44907588276565047</v>
      </c>
      <c r="N146" s="120">
        <v>0.45438361448867798</v>
      </c>
      <c r="O146" s="120">
        <v>0.45850864191762586</v>
      </c>
      <c r="P146" s="120">
        <v>0.46188409601423347</v>
      </c>
      <c r="Q146" s="120">
        <v>0.46474148209007854</v>
      </c>
      <c r="R146" s="120">
        <v>0.46721920146866897</v>
      </c>
      <c r="S146" s="120">
        <v>0.46940663822183165</v>
      </c>
      <c r="T146" s="120">
        <v>0.47136488798357573</v>
      </c>
      <c r="U146" s="120">
        <v>0.47313756778064958</v>
      </c>
      <c r="V146" s="120">
        <v>0.47475690882579902</v>
      </c>
      <c r="W146" s="120">
        <v>0.47624740550283856</v>
      </c>
      <c r="X146" s="120">
        <v>0.47762811007312589</v>
      </c>
      <c r="Y146" s="120">
        <v>0.47891413487250911</v>
      </c>
      <c r="Z146" s="120">
        <v>0.48011766937196798</v>
      </c>
      <c r="AA146" s="120">
        <v>0.48124868878476162</v>
      </c>
      <c r="AB146" s="120">
        <v>0.48231546010189452</v>
      </c>
      <c r="AC146" s="120">
        <v>0.4833249113153007</v>
      </c>
      <c r="AD146" s="120">
        <v>0.48428290595398998</v>
      </c>
      <c r="AE146" s="120">
        <v>0.4851944506603223</v>
      </c>
      <c r="AF146" s="120">
        <v>0.48606385449920986</v>
      </c>
      <c r="AG146" s="120">
        <v>0.48689485287403322</v>
      </c>
      <c r="AH146" s="120">
        <v>0.48769070508656942</v>
      </c>
      <c r="AI146" s="120">
        <v>0.48845427199529767</v>
      </c>
      <c r="AJ146" s="120">
        <v>0.48918807845427553</v>
      </c>
      <c r="AK146" s="120">
        <v>0.48989436397781289</v>
      </c>
      <c r="AL146" s="120">
        <v>0.49057512419917698</v>
      </c>
      <c r="AM146" s="120">
        <v>0.49123214506078866</v>
      </c>
      <c r="AN146" s="120">
        <v>0.49186703121367487</v>
      </c>
      <c r="AO146" s="120">
        <v>0.49248122976484721</v>
      </c>
      <c r="AP146" s="120">
        <v>0.49307605025828771</v>
      </c>
      <c r="AQ146" s="120">
        <v>0.49365268158451198</v>
      </c>
    </row>
    <row r="147" spans="7:43" ht="14.1" hidden="1" customHeight="1" x14ac:dyDescent="0.25">
      <c r="G147" s="106"/>
      <c r="H147" s="218"/>
      <c r="J147" s="210"/>
      <c r="K147" s="7" t="s">
        <v>105</v>
      </c>
      <c r="L147" s="93">
        <v>0.43950042314812782</v>
      </c>
      <c r="M147" s="93">
        <v>0.44568740778784954</v>
      </c>
      <c r="N147" s="93">
        <v>0.45007714324915016</v>
      </c>
      <c r="O147" s="93">
        <v>0.45348208660142914</v>
      </c>
      <c r="P147" s="93">
        <v>0.45626412788887188</v>
      </c>
      <c r="Q147" s="93">
        <v>0.45861631028193611</v>
      </c>
      <c r="R147" s="93">
        <v>0.46065386335017244</v>
      </c>
      <c r="S147" s="93">
        <v>0.46245111252859356</v>
      </c>
      <c r="T147" s="93">
        <v>0.46405880670245148</v>
      </c>
      <c r="U147" s="93">
        <v>0.46551314298605878</v>
      </c>
      <c r="V147" s="93">
        <v>0.46684084798989417</v>
      </c>
      <c r="W147" s="93">
        <v>0.46806221819658972</v>
      </c>
      <c r="X147" s="93">
        <v>0.46919303038295834</v>
      </c>
      <c r="Y147" s="93">
        <v>0.47024579134217309</v>
      </c>
      <c r="Z147" s="93">
        <v>0.47123058345119473</v>
      </c>
      <c r="AA147" s="93">
        <v>0.47215565344233973</v>
      </c>
      <c r="AB147" s="93">
        <v>0.47302783262961595</v>
      </c>
      <c r="AC147" s="93">
        <v>0.47385284336623007</v>
      </c>
      <c r="AD147" s="93">
        <v>0.47463552680347376</v>
      </c>
      <c r="AE147" s="93">
        <v>0.47538001502268024</v>
      </c>
      <c r="AF147" s="93">
        <v>0.47608986308708112</v>
      </c>
      <c r="AG147" s="93">
        <v>0.47676815171595349</v>
      </c>
      <c r="AH147" s="93">
        <v>0.47741756809091651</v>
      </c>
      <c r="AI147" s="93">
        <v>0.47804047015575268</v>
      </c>
      <c r="AJ147" s="93">
        <v>0.478638938297612</v>
      </c>
      <c r="AK147" s="93">
        <v>0.47921481726933768</v>
      </c>
      <c r="AL147" s="93">
        <v>0.47976975048398068</v>
      </c>
      <c r="AM147" s="93">
        <v>0.48030520828865564</v>
      </c>
      <c r="AN147" s="93">
        <v>0.48082251144319549</v>
      </c>
      <c r="AO147" s="93">
        <v>0.48132285074758491</v>
      </c>
      <c r="AP147" s="93">
        <v>0.48180730355221707</v>
      </c>
      <c r="AQ147" s="93">
        <v>0.48227684772680285</v>
      </c>
    </row>
    <row r="148" spans="7:43" ht="14.1" hidden="1" customHeight="1" x14ac:dyDescent="0.25">
      <c r="G148" s="106"/>
      <c r="H148" s="218"/>
      <c r="J148" s="210"/>
      <c r="K148" s="121" t="s">
        <v>106</v>
      </c>
      <c r="L148" s="122">
        <v>0.43421206309761673</v>
      </c>
      <c r="M148" s="122">
        <v>0.43726833246992336</v>
      </c>
      <c r="N148" s="122">
        <v>0.43942173895124442</v>
      </c>
      <c r="O148" s="122">
        <v>0.44108390526132141</v>
      </c>
      <c r="P148" s="122">
        <v>0.44243689545864084</v>
      </c>
      <c r="Q148" s="122">
        <v>0.44357734482988009</v>
      </c>
      <c r="R148" s="122">
        <v>0.44456271360078431</v>
      </c>
      <c r="S148" s="122">
        <v>0.4454299482376165</v>
      </c>
      <c r="T148" s="122">
        <v>0.44620420860075832</v>
      </c>
      <c r="U148" s="122">
        <v>0.44690339904935433</v>
      </c>
      <c r="V148" s="122">
        <v>0.44754071282672986</v>
      </c>
      <c r="W148" s="122">
        <v>0.44812615098545505</v>
      </c>
      <c r="X148" s="122">
        <v>0.44866747486598235</v>
      </c>
      <c r="Y148" s="122">
        <v>0.44917082803900682</v>
      </c>
      <c r="Z148" s="122">
        <v>0.44964115642386382</v>
      </c>
      <c r="AA148" s="122">
        <v>0.45008250038072783</v>
      </c>
      <c r="AB148" s="122">
        <v>0.45049820290014836</v>
      </c>
      <c r="AC148" s="122">
        <v>0.45089106123593792</v>
      </c>
      <c r="AD148" s="122">
        <v>0.45126343946535141</v>
      </c>
      <c r="AE148" s="122">
        <v>0.45161735346406023</v>
      </c>
      <c r="AF148" s="122">
        <v>0.45195453602756269</v>
      </c>
      <c r="AG148" s="122">
        <v>0.45227648745556304</v>
      </c>
      <c r="AH148" s="122">
        <v>0.45258451532603555</v>
      </c>
      <c r="AI148" s="122">
        <v>0.45287976611690689</v>
      </c>
      <c r="AJ148" s="122">
        <v>0.4531632506009981</v>
      </c>
      <c r="AK148" s="122">
        <v>0.45343586442939682</v>
      </c>
      <c r="AL148" s="122">
        <v>0.45369840495695818</v>
      </c>
      <c r="AM148" s="122">
        <v>0.45395158510395345</v>
      </c>
      <c r="AN148" s="122">
        <v>0.45419604485884485</v>
      </c>
      <c r="AO148" s="122">
        <v>0.45443236088787081</v>
      </c>
      <c r="AP148" s="122">
        <v>0.45466105461330447</v>
      </c>
      <c r="AQ148" s="122">
        <v>0.4548825990440663</v>
      </c>
    </row>
    <row r="149" spans="7:43" ht="14.1" hidden="1" customHeight="1" x14ac:dyDescent="0.25">
      <c r="G149" s="106"/>
      <c r="H149" s="218"/>
      <c r="J149" s="210"/>
      <c r="K149" s="119" t="s">
        <v>107</v>
      </c>
      <c r="L149" s="120">
        <v>0.43449929185309216</v>
      </c>
      <c r="M149" s="120">
        <v>0.44183919043724174</v>
      </c>
      <c r="N149" s="120">
        <v>0.44706139001989964</v>
      </c>
      <c r="O149" s="120">
        <v>0.45111994415225071</v>
      </c>
      <c r="P149" s="120">
        <v>0.45444100405023119</v>
      </c>
      <c r="Q149" s="120">
        <v>0.45725234440265189</v>
      </c>
      <c r="R149" s="120">
        <v>0.45969013624670507</v>
      </c>
      <c r="S149" s="120">
        <v>0.46184232326284552</v>
      </c>
      <c r="T149" s="120">
        <v>0.46376901655145936</v>
      </c>
      <c r="U149" s="120">
        <v>0.46551313026698543</v>
      </c>
      <c r="V149" s="120">
        <v>0.46710637622805612</v>
      </c>
      <c r="W149" s="120">
        <v>0.46857285410051902</v>
      </c>
      <c r="X149" s="120">
        <v>0.4699313091255623</v>
      </c>
      <c r="Y149" s="120">
        <v>0.47119661010931208</v>
      </c>
      <c r="Z149" s="120">
        <v>0.47238075009391617</v>
      </c>
      <c r="AA149" s="120">
        <v>0.47349354354574874</v>
      </c>
      <c r="AB149" s="120">
        <v>0.47454312423630129</v>
      </c>
      <c r="AC149" s="120">
        <v>0.47553630851547141</v>
      </c>
      <c r="AD149" s="120">
        <v>0.47647886542366003</v>
      </c>
      <c r="AE149" s="120">
        <v>0.47737572092303093</v>
      </c>
      <c r="AF149" s="120">
        <v>0.47823111463950352</v>
      </c>
      <c r="AG149" s="120">
        <v>0.47904872178180968</v>
      </c>
      <c r="AH149" s="120">
        <v>0.47983174912927951</v>
      </c>
      <c r="AI149" s="120">
        <v>0.48058301143871252</v>
      </c>
      <c r="AJ149" s="120">
        <v>0.48130499287707351</v>
      </c>
      <c r="AK149" s="120">
        <v>0.48199989686972483</v>
      </c>
      <c r="AL149" s="120">
        <v>0.48266968689103928</v>
      </c>
      <c r="AM149" s="120">
        <v>0.48331612010363373</v>
      </c>
      <c r="AN149" s="120">
        <v>0.48394077530017526</v>
      </c>
      <c r="AO149" s="120">
        <v>0.48454507626807947</v>
      </c>
      <c r="AP149" s="120">
        <v>0.48513031144850977</v>
      </c>
      <c r="AQ149" s="120">
        <v>0.48569765057344921</v>
      </c>
    </row>
    <row r="150" spans="7:43" ht="14.1" hidden="1" customHeight="1" x14ac:dyDescent="0.25">
      <c r="G150" s="106"/>
      <c r="H150" s="218"/>
      <c r="J150" s="210"/>
      <c r="K150" s="7" t="s">
        <v>108</v>
      </c>
      <c r="L150" s="93">
        <v>0.43241803582209049</v>
      </c>
      <c r="M150" s="93">
        <v>0.43850531948476906</v>
      </c>
      <c r="N150" s="93">
        <v>0.44282431597709876</v>
      </c>
      <c r="O150" s="93">
        <v>0.44617438992226471</v>
      </c>
      <c r="P150" s="93">
        <v>0.44891159963977728</v>
      </c>
      <c r="Q150" s="93">
        <v>0.45122587748055498</v>
      </c>
      <c r="R150" s="93">
        <v>0.45323059613210698</v>
      </c>
      <c r="S150" s="93">
        <v>0.4549988833024558</v>
      </c>
      <c r="T150" s="93">
        <v>0.45658067007727293</v>
      </c>
      <c r="U150" s="93">
        <v>0.45801157026771555</v>
      </c>
      <c r="V150" s="93">
        <v>0.45931787979478544</v>
      </c>
      <c r="W150" s="93">
        <v>0.4605195680707781</v>
      </c>
      <c r="X150" s="93">
        <v>0.46163215763556309</v>
      </c>
      <c r="Y150" s="93">
        <v>0.46266795373995134</v>
      </c>
      <c r="Z150" s="93">
        <v>0.46363687628711509</v>
      </c>
      <c r="AA150" s="93">
        <v>0.46454703911631912</v>
      </c>
      <c r="AB150" s="93">
        <v>0.46540516345746402</v>
      </c>
      <c r="AC150" s="93">
        <v>0.46621687945014367</v>
      </c>
      <c r="AD150" s="93">
        <v>0.46698695023228104</v>
      </c>
      <c r="AE150" s="93">
        <v>0.46771944129824172</v>
      </c>
      <c r="AF150" s="93">
        <v>0.46841785042272371</v>
      </c>
      <c r="AG150" s="93">
        <v>0.46908520868034842</v>
      </c>
      <c r="AH150" s="93">
        <v>0.46972415994979366</v>
      </c>
      <c r="AI150" s="93">
        <v>0.47033702417744699</v>
      </c>
      <c r="AJ150" s="93">
        <v>0.47092584822578626</v>
      </c>
      <c r="AK150" s="93">
        <v>0.47149244712014254</v>
      </c>
      <c r="AL150" s="93">
        <v>0.47203843779057131</v>
      </c>
      <c r="AM150" s="93">
        <v>0.47256526689008532</v>
      </c>
      <c r="AN150" s="93">
        <v>0.47307423389495962</v>
      </c>
      <c r="AO150" s="93">
        <v>0.47356651041587605</v>
      </c>
      <c r="AP150" s="93">
        <v>0.4740431564421233</v>
      </c>
      <c r="AQ150" s="93">
        <v>0.47450513408540229</v>
      </c>
    </row>
    <row r="151" spans="7:43" ht="14.1" hidden="1" customHeight="1" x14ac:dyDescent="0.25">
      <c r="G151" s="106"/>
      <c r="H151" s="218"/>
      <c r="J151" s="210"/>
      <c r="K151" s="121" t="s">
        <v>109</v>
      </c>
      <c r="L151" s="122">
        <v>0.42721489574458643</v>
      </c>
      <c r="M151" s="122">
        <v>0.4302219144624515</v>
      </c>
      <c r="N151" s="122">
        <v>0.43234061959203807</v>
      </c>
      <c r="O151" s="122">
        <v>0.43397600070467673</v>
      </c>
      <c r="P151" s="122">
        <v>0.43530718796365742</v>
      </c>
      <c r="Q151" s="122">
        <v>0.43642925941363098</v>
      </c>
      <c r="R151" s="122">
        <v>0.43739874932998368</v>
      </c>
      <c r="S151" s="122">
        <v>0.43825200880029241</v>
      </c>
      <c r="T151" s="122">
        <v>0.43901379224306247</v>
      </c>
      <c r="U151" s="122">
        <v>0.43970171549529002</v>
      </c>
      <c r="V151" s="122">
        <v>0.44032875919604703</v>
      </c>
      <c r="W151" s="122">
        <v>0.44090476323462768</v>
      </c>
      <c r="X151" s="122">
        <v>0.44143736388034382</v>
      </c>
      <c r="Y151" s="122">
        <v>0.44193260570251314</v>
      </c>
      <c r="Z151" s="122">
        <v>0.44239535491880383</v>
      </c>
      <c r="AA151" s="122">
        <v>0.44282958678047546</v>
      </c>
      <c r="AB151" s="122">
        <v>0.44323859040701702</v>
      </c>
      <c r="AC151" s="122">
        <v>0.44362511797552673</v>
      </c>
      <c r="AD151" s="122">
        <v>0.44399149546702604</v>
      </c>
      <c r="AE151" s="122">
        <v>0.44433970627209285</v>
      </c>
      <c r="AF151" s="122">
        <v>0.44467145526286467</v>
      </c>
      <c r="AG151" s="122">
        <v>0.44498821856226906</v>
      </c>
      <c r="AH151" s="122">
        <v>0.44529128267714324</v>
      </c>
      <c r="AI151" s="122">
        <v>0.44558177561034451</v>
      </c>
      <c r="AJ151" s="122">
        <v>0.44586069184646254</v>
      </c>
      <c r="AK151" s="122">
        <v>0.4461289126034978</v>
      </c>
      <c r="AL151" s="122">
        <v>0.44638722238722583</v>
      </c>
      <c r="AM151" s="122">
        <v>0.44663632262947051</v>
      </c>
      <c r="AN151" s="122">
        <v>0.44687684300551589</v>
      </c>
      <c r="AO151" s="122">
        <v>0.44710935088883647</v>
      </c>
      <c r="AP151" s="122">
        <v>0.4473343592991777</v>
      </c>
      <c r="AQ151" s="122">
        <v>0.44755233362309566</v>
      </c>
    </row>
    <row r="152" spans="7:43" ht="14.1" hidden="1" customHeight="1" x14ac:dyDescent="0.25">
      <c r="G152" s="106"/>
      <c r="H152" s="218"/>
      <c r="J152" s="210"/>
      <c r="K152" s="119" t="s">
        <v>110</v>
      </c>
      <c r="L152" s="120">
        <v>0.37303839357042784</v>
      </c>
      <c r="M152" s="120">
        <v>0.37934004705557728</v>
      </c>
      <c r="N152" s="120">
        <v>0.38382355480747837</v>
      </c>
      <c r="O152" s="120">
        <v>0.387308017365044</v>
      </c>
      <c r="P152" s="120">
        <v>0.39015930589996917</v>
      </c>
      <c r="Q152" s="120">
        <v>0.39257297586102702</v>
      </c>
      <c r="R152" s="120">
        <v>0.39466593658712223</v>
      </c>
      <c r="S152" s="120">
        <v>0.3965136919280805</v>
      </c>
      <c r="T152" s="120">
        <v>0.39816785013446587</v>
      </c>
      <c r="U152" s="120">
        <v>0.39966525505742717</v>
      </c>
      <c r="V152" s="120">
        <v>0.40103313280780412</v>
      </c>
      <c r="W152" s="120">
        <v>0.4022921740997174</v>
      </c>
      <c r="X152" s="120">
        <v>0.4034584726179925</v>
      </c>
      <c r="Y152" s="120">
        <v>0.40454479394281689</v>
      </c>
      <c r="Z152" s="120">
        <v>0.40556143467365741</v>
      </c>
      <c r="AA152" s="120">
        <v>0.40651682099863135</v>
      </c>
      <c r="AB152" s="120">
        <v>0.40741793614902994</v>
      </c>
      <c r="AC152" s="120">
        <v>0.40827063228678634</v>
      </c>
      <c r="AD152" s="120">
        <v>0.40907986240861194</v>
      </c>
      <c r="AE152" s="120">
        <v>0.40984985568828619</v>
      </c>
      <c r="AF152" s="120">
        <v>0.41058425204714394</v>
      </c>
      <c r="AG152" s="120">
        <v>0.41128620682740791</v>
      </c>
      <c r="AH152" s="120">
        <v>0.41195847320228762</v>
      </c>
      <c r="AI152" s="120">
        <v>0.41260346777492696</v>
      </c>
      <c r="AJ152" s="120">
        <v>0.41322332332130818</v>
      </c>
      <c r="AK152" s="120">
        <v>0.41381993158733954</v>
      </c>
      <c r="AL152" s="120">
        <v>0.4143949783095448</v>
      </c>
      <c r="AM152" s="120">
        <v>0.41494997209595197</v>
      </c>
      <c r="AN152" s="120">
        <v>0.41548626841546832</v>
      </c>
      <c r="AO152" s="120">
        <v>0.41600508965758959</v>
      </c>
      <c r="AP152" s="120">
        <v>0.41650754201059004</v>
      </c>
      <c r="AQ152" s="120">
        <v>0.41699462974524309</v>
      </c>
    </row>
    <row r="153" spans="7:43" ht="14.1" hidden="1" customHeight="1" x14ac:dyDescent="0.25">
      <c r="G153" s="106"/>
      <c r="H153" s="218"/>
      <c r="J153" s="210"/>
      <c r="K153" s="7" t="s">
        <v>111</v>
      </c>
      <c r="L153" s="93">
        <v>0.37125153586784698</v>
      </c>
      <c r="M153" s="93">
        <v>0.3764777596185197</v>
      </c>
      <c r="N153" s="93">
        <v>0.38018582438075121</v>
      </c>
      <c r="O153" s="93">
        <v>0.38306202286088453</v>
      </c>
      <c r="P153" s="93">
        <v>0.38541204813142399</v>
      </c>
      <c r="Q153" s="93">
        <v>0.38739896618672715</v>
      </c>
      <c r="R153" s="93">
        <v>0.38912011289365545</v>
      </c>
      <c r="S153" s="93">
        <v>0.39063827188209665</v>
      </c>
      <c r="T153" s="93">
        <v>0.39199631137378871</v>
      </c>
      <c r="U153" s="93">
        <v>0.39322480752651157</v>
      </c>
      <c r="V153" s="93">
        <v>0.39434633664432811</v>
      </c>
      <c r="W153" s="93">
        <v>0.39537804342142518</v>
      </c>
      <c r="X153" s="93">
        <v>0.39633325469963127</v>
      </c>
      <c r="Y153" s="93">
        <v>0.39722253512446137</v>
      </c>
      <c r="Z153" s="93">
        <v>0.39805440140655957</v>
      </c>
      <c r="AA153" s="93">
        <v>0.39883581966444842</v>
      </c>
      <c r="AB153" s="93">
        <v>0.39957256039500089</v>
      </c>
      <c r="AC153" s="93">
        <v>0.40026945734195157</v>
      </c>
      <c r="AD153" s="93">
        <v>0.40093059988669288</v>
      </c>
      <c r="AE153" s="93">
        <v>0.4015594784503041</v>
      </c>
      <c r="AF153" s="93">
        <v>0.4021590960394158</v>
      </c>
      <c r="AG153" s="93">
        <v>0.40273205497635339</v>
      </c>
      <c r="AH153" s="93">
        <v>0.40328062515723234</v>
      </c>
      <c r="AI153" s="93">
        <v>0.40380679836682615</v>
      </c>
      <c r="AJ153" s="93">
        <v>0.40431233193432936</v>
      </c>
      <c r="AK153" s="93">
        <v>0.40479878414567361</v>
      </c>
      <c r="AL153" s="93">
        <v>0.40526754321253544</v>
      </c>
      <c r="AM153" s="93">
        <v>0.40571985115561787</v>
      </c>
      <c r="AN153" s="93">
        <v>0.40615682363736555</v>
      </c>
      <c r="AO153" s="93">
        <v>0.40657946654150451</v>
      </c>
      <c r="AP153" s="93">
        <v>0.40698868991946369</v>
      </c>
      <c r="AQ153" s="93">
        <v>0.40738531979008846</v>
      </c>
    </row>
    <row r="154" spans="7:43" ht="14.1" hidden="1" customHeight="1" x14ac:dyDescent="0.25">
      <c r="G154" s="106"/>
      <c r="H154" s="218"/>
      <c r="J154" s="210"/>
      <c r="K154" s="121" t="s">
        <v>112</v>
      </c>
      <c r="L154" s="122">
        <v>0.36678439161139492</v>
      </c>
      <c r="M154" s="122">
        <v>0.36936606079470824</v>
      </c>
      <c r="N154" s="122">
        <v>0.3711850703369784</v>
      </c>
      <c r="O154" s="122">
        <v>0.37258912312733472</v>
      </c>
      <c r="P154" s="122">
        <v>0.37373201096614728</v>
      </c>
      <c r="Q154" s="122">
        <v>0.37469536289563876</v>
      </c>
      <c r="R154" s="122">
        <v>0.37552771629128301</v>
      </c>
      <c r="S154" s="122">
        <v>0.37626028029787834</v>
      </c>
      <c r="T154" s="122">
        <v>0.37691430776597268</v>
      </c>
      <c r="U154" s="122">
        <v>0.37750492273295283</v>
      </c>
      <c r="V154" s="122">
        <v>0.3780432696974122</v>
      </c>
      <c r="W154" s="122">
        <v>0.37853779667425907</v>
      </c>
      <c r="X154" s="122">
        <v>0.37899505976540288</v>
      </c>
      <c r="Y154" s="122">
        <v>0.37942024852228901</v>
      </c>
      <c r="Z154" s="122">
        <v>0.37981754082519437</v>
      </c>
      <c r="AA154" s="122">
        <v>0.38019034961718168</v>
      </c>
      <c r="AB154" s="122">
        <v>0.38054149876441923</v>
      </c>
      <c r="AC154" s="122">
        <v>0.38087335114238885</v>
      </c>
      <c r="AD154" s="122">
        <v>0.38118790371688527</v>
      </c>
      <c r="AE154" s="122">
        <v>0.38148685932344562</v>
      </c>
      <c r="AF154" s="122">
        <v>0.38177168167622394</v>
      </c>
      <c r="AG154" s="122">
        <v>0.38204363809725272</v>
      </c>
      <c r="AH154" s="122">
        <v>0.38230383311409455</v>
      </c>
      <c r="AI154" s="122">
        <v>0.38255323517107559</v>
      </c>
      <c r="AJ154" s="122">
        <v>0.3827926980807122</v>
      </c>
      <c r="AK154" s="122">
        <v>0.38302297841074434</v>
      </c>
      <c r="AL154" s="122">
        <v>0.38324474969684813</v>
      </c>
      <c r="AM154" s="122">
        <v>0.38345861415174431</v>
      </c>
      <c r="AN154" s="122">
        <v>0.38366511238173739</v>
      </c>
      <c r="AO154" s="122">
        <v>0.38386473150405281</v>
      </c>
      <c r="AP154" s="122">
        <v>0.38405791197064354</v>
      </c>
      <c r="AQ154" s="122">
        <v>0.38424505333809467</v>
      </c>
    </row>
    <row r="155" spans="7:43" ht="14.1" hidden="1" customHeight="1" x14ac:dyDescent="0.25">
      <c r="G155" s="106"/>
      <c r="H155" s="218"/>
      <c r="J155" s="210"/>
      <c r="K155" s="119" t="s">
        <v>113</v>
      </c>
      <c r="L155" s="120">
        <v>0.28818324714342741</v>
      </c>
      <c r="M155" s="120">
        <v>0.29305146176965247</v>
      </c>
      <c r="N155" s="120">
        <v>0.29651510477478366</v>
      </c>
      <c r="O155" s="120">
        <v>0.29920695567189348</v>
      </c>
      <c r="P155" s="120">
        <v>0.30140966081618958</v>
      </c>
      <c r="Q155" s="120">
        <v>0.30327429260449612</v>
      </c>
      <c r="R155" s="120">
        <v>0.30489116697610391</v>
      </c>
      <c r="S155" s="120">
        <v>0.30631861289926315</v>
      </c>
      <c r="T155" s="120">
        <v>0.3075964992815266</v>
      </c>
      <c r="U155" s="120">
        <v>0.30875328909304517</v>
      </c>
      <c r="V155" s="120">
        <v>0.3098100153137055</v>
      </c>
      <c r="W155" s="120">
        <v>0.31078266213517197</v>
      </c>
      <c r="X155" s="120">
        <v>0.3116836624073373</v>
      </c>
      <c r="Y155" s="120">
        <v>0.31252287792033773</v>
      </c>
      <c r="Z155" s="120">
        <v>0.31330826310331511</v>
      </c>
      <c r="AA155" s="120">
        <v>0.31404632743704819</v>
      </c>
      <c r="AB155" s="120">
        <v>0.31474246567527747</v>
      </c>
      <c r="AC155" s="120">
        <v>0.3154011987870447</v>
      </c>
      <c r="AD155" s="120">
        <v>0.31602635310953114</v>
      </c>
      <c r="AE155" s="120">
        <v>0.3166211958051886</v>
      </c>
      <c r="AF155" s="120">
        <v>0.31718853882144027</v>
      </c>
      <c r="AG155" s="120">
        <v>0.31773081975394202</v>
      </c>
      <c r="AH155" s="120">
        <v>0.31825016551083279</v>
      </c>
      <c r="AI155" s="120">
        <v>0.31874844298987198</v>
      </c>
      <c r="AJ155" s="120">
        <v>0.31922729982389997</v>
      </c>
      <c r="AK155" s="120">
        <v>0.31968819744286064</v>
      </c>
      <c r="AL155" s="120">
        <v>0.32013243812832515</v>
      </c>
      <c r="AM155" s="120">
        <v>0.32056118732483663</v>
      </c>
      <c r="AN155" s="120">
        <v>0.32097549217241561</v>
      </c>
      <c r="AO155" s="120">
        <v>0.32137629700328152</v>
      </c>
      <c r="AP155" s="120">
        <v>0.3217644563807564</v>
      </c>
      <c r="AQ155" s="120">
        <v>0.3221407461338634</v>
      </c>
    </row>
    <row r="156" spans="7:43" ht="14.1" hidden="1" customHeight="1" x14ac:dyDescent="0.25">
      <c r="G156" s="106"/>
      <c r="H156" s="218"/>
      <c r="J156" s="210"/>
      <c r="K156" s="7" t="s">
        <v>114</v>
      </c>
      <c r="L156" s="93">
        <v>0.28680284645602261</v>
      </c>
      <c r="M156" s="93">
        <v>0.2908402596465301</v>
      </c>
      <c r="N156" s="93">
        <v>0.29370484989304652</v>
      </c>
      <c r="O156" s="93">
        <v>0.29592679871043365</v>
      </c>
      <c r="P156" s="93">
        <v>0.297742263083554</v>
      </c>
      <c r="Q156" s="93">
        <v>0.29927721633998622</v>
      </c>
      <c r="R156" s="93">
        <v>0.30060685333007037</v>
      </c>
      <c r="S156" s="93">
        <v>0.30177967627406144</v>
      </c>
      <c r="T156" s="93">
        <v>0.3028288021474575</v>
      </c>
      <c r="U156" s="93">
        <v>0.30377785194098239</v>
      </c>
      <c r="V156" s="93">
        <v>0.3046442665205778</v>
      </c>
      <c r="W156" s="93">
        <v>0.30544129067210818</v>
      </c>
      <c r="X156" s="93">
        <v>0.30617921977701001</v>
      </c>
      <c r="Y156" s="93">
        <v>0.30686621533796493</v>
      </c>
      <c r="Z156" s="93">
        <v>0.30750885676709422</v>
      </c>
      <c r="AA156" s="93">
        <v>0.30811252559801594</v>
      </c>
      <c r="AB156" s="93">
        <v>0.3086816797110854</v>
      </c>
      <c r="AC156" s="93">
        <v>0.30922005331701469</v>
      </c>
      <c r="AD156" s="93">
        <v>0.30973080558448135</v>
      </c>
      <c r="AE156" s="93">
        <v>0.31021663296751761</v>
      </c>
      <c r="AF156" s="93">
        <v>0.3106798553780063</v>
      </c>
      <c r="AG156" s="93">
        <v>0.31112248318729463</v>
      </c>
      <c r="AH156" s="93">
        <v>0.31154626995760171</v>
      </c>
      <c r="AI156" s="93">
        <v>0.31195275440186843</v>
      </c>
      <c r="AJ156" s="93">
        <v>0.31234329410913203</v>
      </c>
      <c r="AK156" s="93">
        <v>0.31271909290159283</v>
      </c>
      <c r="AL156" s="93">
        <v>0.31308122321403392</v>
      </c>
      <c r="AM156" s="93">
        <v>0.31343064454436587</v>
      </c>
      <c r="AN156" s="93">
        <v>0.31376821877498884</v>
      </c>
      <c r="AO156" s="93">
        <v>0.3140947229809799</v>
      </c>
      <c r="AP156" s="93">
        <v>0.31441086020411807</v>
      </c>
      <c r="AQ156" s="93">
        <v>0.31471726856851379</v>
      </c>
    </row>
    <row r="157" spans="7:43" ht="14.1" hidden="1" customHeight="1" x14ac:dyDescent="0.25">
      <c r="G157" s="106"/>
      <c r="H157" s="218"/>
      <c r="J157" s="210"/>
      <c r="K157" s="121" t="s">
        <v>115</v>
      </c>
      <c r="L157" s="122">
        <v>0.28335184473751068</v>
      </c>
      <c r="M157" s="122">
        <v>0.28534626091858106</v>
      </c>
      <c r="N157" s="122">
        <v>0.28675149985782</v>
      </c>
      <c r="O157" s="122">
        <v>0.28783617237212317</v>
      </c>
      <c r="P157" s="122">
        <v>0.28871908719854988</v>
      </c>
      <c r="Q157" s="122">
        <v>0.28946330519854069</v>
      </c>
      <c r="R157" s="122">
        <v>0.2901063229373631</v>
      </c>
      <c r="S157" s="122">
        <v>0.2906722504070276</v>
      </c>
      <c r="T157" s="122">
        <v>0.29117750606629761</v>
      </c>
      <c r="U157" s="122">
        <v>0.29163377368359772</v>
      </c>
      <c r="V157" s="122">
        <v>0.29204966271534805</v>
      </c>
      <c r="W157" s="122">
        <v>0.29243169950417219</v>
      </c>
      <c r="X157" s="122">
        <v>0.29278494883366724</v>
      </c>
      <c r="Y157" s="122">
        <v>0.29311341978657784</v>
      </c>
      <c r="Z157" s="122">
        <v>0.29342033989960037</v>
      </c>
      <c r="AA157" s="122">
        <v>0.29370834577269617</v>
      </c>
      <c r="AB157" s="122">
        <v>0.29397961892641639</v>
      </c>
      <c r="AC157" s="122">
        <v>0.29423598475230417</v>
      </c>
      <c r="AD157" s="122">
        <v>0.29447898596579347</v>
      </c>
      <c r="AE157" s="122">
        <v>0.29470993805795132</v>
      </c>
      <c r="AF157" s="122">
        <v>0.29492997179146885</v>
      </c>
      <c r="AG157" s="122">
        <v>0.29514006621028577</v>
      </c>
      <c r="AH157" s="122">
        <v>0.29534107459477493</v>
      </c>
      <c r="AI157" s="122">
        <v>0.29553374509696406</v>
      </c>
      <c r="AJ157" s="122">
        <v>0.29571873731240061</v>
      </c>
      <c r="AK157" s="122">
        <v>0.2958966357121518</v>
      </c>
      <c r="AL157" s="122">
        <v>0.29606796062254737</v>
      </c>
      <c r="AM157" s="122">
        <v>0.29623317727081422</v>
      </c>
      <c r="AN157" s="122">
        <v>0.29639270329139139</v>
      </c>
      <c r="AO157" s="122">
        <v>0.29654691499681446</v>
      </c>
      <c r="AP157" s="122">
        <v>0.29669615264930904</v>
      </c>
      <c r="AQ157" s="122">
        <v>0.29684072491821339</v>
      </c>
    </row>
    <row r="158" spans="7:43" ht="14.1" customHeight="1" thickTop="1" x14ac:dyDescent="0.25">
      <c r="G158" s="106"/>
      <c r="H158" s="218"/>
      <c r="J158" s="210"/>
      <c r="K158" s="119" t="s">
        <v>116</v>
      </c>
      <c r="L158" s="120">
        <v>0.51654851215547515</v>
      </c>
      <c r="M158" s="120">
        <v>0.52025002503728057</v>
      </c>
      <c r="N158" s="120">
        <v>0.52287940817654299</v>
      </c>
      <c r="O158" s="120">
        <v>0.52492062695391473</v>
      </c>
      <c r="P158" s="120">
        <v>0.52658950573918406</v>
      </c>
      <c r="Q158" s="120">
        <v>0.52800126834508432</v>
      </c>
      <c r="R158" s="120">
        <v>0.52922473795585512</v>
      </c>
      <c r="S158" s="120">
        <v>0.53030433060423943</v>
      </c>
      <c r="T158" s="120">
        <v>0.53127038691900075</v>
      </c>
      <c r="U158" s="120">
        <v>0.53214455608610112</v>
      </c>
      <c r="V158" s="120">
        <v>0.5329428285672223</v>
      </c>
      <c r="W158" s="120">
        <v>0.53367735143310946</v>
      </c>
      <c r="X158" s="120">
        <v>0.53435756942145174</v>
      </c>
      <c r="Y158" s="120">
        <v>0.53499097160131104</v>
      </c>
      <c r="Z158" s="120">
        <v>0.53558359671020284</v>
      </c>
      <c r="AA158" s="120">
        <v>0.53614038511155937</v>
      </c>
      <c r="AB158" s="120">
        <v>0.53666543005753942</v>
      </c>
      <c r="AC158" s="120">
        <v>0.53716216096657521</v>
      </c>
      <c r="AD158" s="120">
        <v>0.53763347966250863</v>
      </c>
      <c r="AE158" s="120">
        <v>0.5380818633586345</v>
      </c>
      <c r="AF158" s="120">
        <v>0.53850944367639342</v>
      </c>
      <c r="AG158" s="120">
        <v>0.53891806809495202</v>
      </c>
      <c r="AH158" s="120">
        <v>0.53930934832069821</v>
      </c>
      <c r="AI158" s="120">
        <v>0.53968469878195724</v>
      </c>
      <c r="AJ158" s="120">
        <v>0.54004536757365673</v>
      </c>
      <c r="AK158" s="120">
        <v>0.54039246156216747</v>
      </c>
      <c r="AL158" s="120">
        <v>0.54072696692495104</v>
      </c>
      <c r="AM158" s="120">
        <v>0.54104976608642097</v>
      </c>
      <c r="AN158" s="120">
        <v>0.54136165178318085</v>
      </c>
      <c r="AO158" s="120">
        <v>0.54166333882347162</v>
      </c>
      <c r="AP158" s="120">
        <v>0.54195547398010557</v>
      </c>
      <c r="AQ158" s="120">
        <v>0.54223864436150893</v>
      </c>
    </row>
    <row r="159" spans="7:43" ht="14.1" customHeight="1" x14ac:dyDescent="0.25">
      <c r="G159" s="106"/>
      <c r="H159" s="218"/>
      <c r="I159" s="201"/>
      <c r="J159" s="210"/>
      <c r="K159" s="7" t="s">
        <v>117</v>
      </c>
      <c r="L159" s="93">
        <v>0.51549603131273936</v>
      </c>
      <c r="M159" s="93">
        <v>0.51857434044137829</v>
      </c>
      <c r="N159" s="93">
        <v>0.52075843552641787</v>
      </c>
      <c r="O159" s="93">
        <v>0.52245255128945478</v>
      </c>
      <c r="P159" s="93">
        <v>0.52383674465505703</v>
      </c>
      <c r="Q159" s="93">
        <v>0.52500706347018811</v>
      </c>
      <c r="R159" s="93">
        <v>0.52602083974009661</v>
      </c>
      <c r="S159" s="93">
        <v>0.52691505378369596</v>
      </c>
      <c r="T159" s="93">
        <v>0.52771495550313341</v>
      </c>
      <c r="U159" s="93">
        <v>0.52843855462591072</v>
      </c>
      <c r="V159" s="93">
        <v>0.52909914886873566</v>
      </c>
      <c r="W159" s="93">
        <v>0.52970683666427021</v>
      </c>
      <c r="X159" s="93">
        <v>0.53026946768386674</v>
      </c>
      <c r="Y159" s="93">
        <v>0.53079326463177234</v>
      </c>
      <c r="Z159" s="93">
        <v>0.53128324395377513</v>
      </c>
      <c r="AA159" s="93">
        <v>0.53174350877811127</v>
      </c>
      <c r="AB159" s="93">
        <v>0.53217745799737448</v>
      </c>
      <c r="AC159" s="93">
        <v>0.53258793874520749</v>
      </c>
      <c r="AD159" s="93">
        <v>0.53297735971681193</v>
      </c>
      <c r="AE159" s="93">
        <v>0.53334777681250567</v>
      </c>
      <c r="AF159" s="93">
        <v>0.53370095883958923</v>
      </c>
      <c r="AG159" s="93">
        <v>0.53403843859745126</v>
      </c>
      <c r="AH159" s="93">
        <v>0.53436155308241406</v>
      </c>
      <c r="AI159" s="93">
        <v>0.53467147547984872</v>
      </c>
      <c r="AJ159" s="93">
        <v>0.53496924087794873</v>
      </c>
      <c r="AK159" s="93">
        <v>0.53525576712601353</v>
      </c>
      <c r="AL159" s="93">
        <v>0.53553187189754525</v>
      </c>
      <c r="AM159" s="93">
        <v>0.53579828675779062</v>
      </c>
      <c r="AN159" s="93">
        <v>0.53605566884545097</v>
      </c>
      <c r="AO159" s="93">
        <v>0.53630461063823165</v>
      </c>
      <c r="AP159" s="93">
        <v>0.53654564816745376</v>
      </c>
      <c r="AQ159" s="93">
        <v>0.53677926796822828</v>
      </c>
    </row>
    <row r="160" spans="7:43" ht="14.1" customHeight="1" thickBot="1" x14ac:dyDescent="0.3">
      <c r="G160" s="106"/>
      <c r="H160" s="218"/>
      <c r="J160" s="210"/>
      <c r="K160" s="121" t="s">
        <v>118</v>
      </c>
      <c r="L160" s="122">
        <v>0.51286482920590004</v>
      </c>
      <c r="M160" s="122">
        <v>0.51439612759580422</v>
      </c>
      <c r="N160" s="122">
        <v>0.51547937638621788</v>
      </c>
      <c r="O160" s="122">
        <v>0.51631784742910514</v>
      </c>
      <c r="P160" s="122">
        <v>0.51700181742522211</v>
      </c>
      <c r="Q160" s="122">
        <v>0.51757934177852805</v>
      </c>
      <c r="R160" s="122">
        <v>0.51807905853569103</v>
      </c>
      <c r="S160" s="122">
        <v>0.51851941520489286</v>
      </c>
      <c r="T160" s="122">
        <v>0.51891299341907149</v>
      </c>
      <c r="U160" s="122">
        <v>0.51926875838548014</v>
      </c>
      <c r="V160" s="122">
        <v>0.51959332398470226</v>
      </c>
      <c r="W160" s="122">
        <v>0.51989170900601811</v>
      </c>
      <c r="X160" s="122">
        <v>0.52016781191999961</v>
      </c>
      <c r="Y160" s="122">
        <v>0.52042472121695815</v>
      </c>
      <c r="Z160" s="122">
        <v>0.52066492523709795</v>
      </c>
      <c r="AA160" s="122">
        <v>0.52089045818311053</v>
      </c>
      <c r="AB160" s="122">
        <v>0.52110300427339529</v>
      </c>
      <c r="AC160" s="122">
        <v>0.52130397365651915</v>
      </c>
      <c r="AD160" s="122">
        <v>0.5214945588023272</v>
      </c>
      <c r="AE160" s="122">
        <v>0.52167577710022472</v>
      </c>
      <c r="AF160" s="122">
        <v>0.52184850352418943</v>
      </c>
      <c r="AG160" s="122">
        <v>0.52201349602016778</v>
      </c>
      <c r="AH160" s="122">
        <v>0.52217141547850598</v>
      </c>
      <c r="AI160" s="122">
        <v>0.52232284162062215</v>
      </c>
      <c r="AJ160" s="122">
        <v>0.52246828576343196</v>
      </c>
      <c r="AK160" s="122">
        <v>0.52260820116997664</v>
      </c>
      <c r="AL160" s="122">
        <v>0.52274299151400161</v>
      </c>
      <c r="AM160" s="122">
        <v>0.52287301785635087</v>
      </c>
      <c r="AN160" s="122">
        <v>0.52299860443645318</v>
      </c>
      <c r="AO160" s="122">
        <v>0.52312004351244568</v>
      </c>
      <c r="AP160" s="122">
        <v>0.52323759943148274</v>
      </c>
      <c r="AQ160" s="122">
        <v>0.52335151207261066</v>
      </c>
    </row>
    <row r="161" spans="7:70" ht="14.1" hidden="1" customHeight="1" thickTop="1" x14ac:dyDescent="0.25">
      <c r="G161" s="106"/>
      <c r="H161" s="218"/>
      <c r="J161" s="210"/>
      <c r="K161" s="119" t="s">
        <v>119</v>
      </c>
      <c r="L161" s="120">
        <v>0.50392219727267107</v>
      </c>
      <c r="M161" s="120">
        <v>0.50753323178489729</v>
      </c>
      <c r="N161" s="120">
        <v>0.5100983432852283</v>
      </c>
      <c r="O161" s="120">
        <v>0.51208966728907657</v>
      </c>
      <c r="P161" s="120">
        <v>0.51371775263762465</v>
      </c>
      <c r="Q161" s="120">
        <v>0.51509500665665964</v>
      </c>
      <c r="R161" s="120">
        <v>0.5162885702427461</v>
      </c>
      <c r="S161" s="120">
        <v>0.51734177374005774</v>
      </c>
      <c r="T161" s="120">
        <v>0.51828421614259657</v>
      </c>
      <c r="U161" s="120">
        <v>0.51913701745187746</v>
      </c>
      <c r="V161" s="120">
        <v>0.51991577726483351</v>
      </c>
      <c r="W161" s="120">
        <v>0.52063234573384398</v>
      </c>
      <c r="X161" s="120">
        <v>0.52129593673303098</v>
      </c>
      <c r="Y161" s="120">
        <v>0.52191385627150788</v>
      </c>
      <c r="Z161" s="120">
        <v>0.52249199547819258</v>
      </c>
      <c r="AA161" s="120">
        <v>0.52303517395615728</v>
      </c>
      <c r="AB161" s="120">
        <v>0.52354738490366548</v>
      </c>
      <c r="AC161" s="120">
        <v>0.52403197391175305</v>
      </c>
      <c r="AD161" s="120">
        <v>0.5244917718731863</v>
      </c>
      <c r="AE161" s="120">
        <v>0.52492919544920269</v>
      </c>
      <c r="AF161" s="120">
        <v>0.52534632415670102</v>
      </c>
      <c r="AG161" s="120">
        <v>0.52574496031577178</v>
      </c>
      <c r="AH161" s="120">
        <v>0.52612667623686615</v>
      </c>
      <c r="AI161" s="120">
        <v>0.52649285177456284</v>
      </c>
      <c r="AJ161" s="120">
        <v>0.52684470451583287</v>
      </c>
      <c r="AK161" s="120">
        <v>0.52718331427122755</v>
      </c>
      <c r="AL161" s="120">
        <v>0.52750964311246262</v>
      </c>
      <c r="AM161" s="120">
        <v>0.52782455189430577</v>
      </c>
      <c r="AN161" s="120">
        <v>0.52812881397600897</v>
      </c>
      <c r="AO161" s="120">
        <v>0.52842312669331337</v>
      </c>
      <c r="AP161" s="120">
        <v>0.5287081210095631</v>
      </c>
      <c r="AQ161" s="120">
        <v>0.52898436968212981</v>
      </c>
    </row>
    <row r="162" spans="7:70" ht="14.1" hidden="1" customHeight="1" thickBot="1" x14ac:dyDescent="0.3">
      <c r="G162" s="106"/>
      <c r="H162" s="218"/>
      <c r="J162" s="210"/>
      <c r="K162" s="7" t="s">
        <v>120</v>
      </c>
      <c r="L162" s="93">
        <v>0.50289544287036791</v>
      </c>
      <c r="M162" s="93">
        <v>0.50589850698435646</v>
      </c>
      <c r="N162" s="93">
        <v>0.50802921488188368</v>
      </c>
      <c r="O162" s="93">
        <v>0.50968192032513704</v>
      </c>
      <c r="P162" s="93">
        <v>0.51103227899587222</v>
      </c>
      <c r="Q162" s="93">
        <v>0.51217399098410243</v>
      </c>
      <c r="R162" s="93">
        <v>0.51316298689339934</v>
      </c>
      <c r="S162" s="93">
        <v>0.51403534310986065</v>
      </c>
      <c r="T162" s="93">
        <v>0.5148156923366527</v>
      </c>
      <c r="U162" s="93">
        <v>0.515521604078365</v>
      </c>
      <c r="V162" s="93">
        <v>0.5161660510073881</v>
      </c>
      <c r="W162" s="93">
        <v>0.51675888471414622</v>
      </c>
      <c r="X162" s="93">
        <v>0.51730776299561831</v>
      </c>
      <c r="Y162" s="93">
        <v>0.51781875645064135</v>
      </c>
      <c r="Z162" s="93">
        <v>0.51829675890491522</v>
      </c>
      <c r="AA162" s="93">
        <v>0.51874577319137394</v>
      </c>
      <c r="AB162" s="93">
        <v>0.51916911512137653</v>
      </c>
      <c r="AC162" s="93">
        <v>0.5195695622343165</v>
      </c>
      <c r="AD162" s="93">
        <v>0.51994946434816847</v>
      </c>
      <c r="AE162" s="93">
        <v>0.52031082710960674</v>
      </c>
      <c r="AF162" s="93">
        <v>0.52065537608988066</v>
      </c>
      <c r="AG162" s="93">
        <v>0.52098460662121504</v>
      </c>
      <c r="AH162" s="93">
        <v>0.52129982301890365</v>
      </c>
      <c r="AI162" s="93">
        <v>0.52160216979142182</v>
      </c>
      <c r="AJ162" s="93">
        <v>0.52189265672566187</v>
      </c>
      <c r="AK162" s="93">
        <v>0.52217217923536496</v>
      </c>
      <c r="AL162" s="93">
        <v>0.52244153500713397</v>
      </c>
      <c r="AM162" s="93">
        <v>0.52270143772411348</v>
      </c>
      <c r="AN162" s="93">
        <v>0.52295252846215701</v>
      </c>
      <c r="AO162" s="93">
        <v>0.52319538521667086</v>
      </c>
      <c r="AP162" s="93">
        <v>0.52343053091643088</v>
      </c>
      <c r="AQ162" s="93">
        <v>0.5236584402038692</v>
      </c>
      <c r="BA162" s="126"/>
      <c r="BB162" s="126"/>
      <c r="BC162" s="126"/>
      <c r="BD162" s="126"/>
      <c r="BE162" s="126"/>
      <c r="BF162" s="126"/>
      <c r="BG162" s="126"/>
      <c r="BH162" s="126"/>
      <c r="BI162" s="126"/>
      <c r="BJ162" s="126"/>
      <c r="BK162" s="126"/>
      <c r="BL162" s="126"/>
      <c r="BM162" s="126"/>
      <c r="BN162" s="126"/>
      <c r="BO162" s="126"/>
      <c r="BP162" s="126"/>
      <c r="BQ162" s="126"/>
      <c r="BR162" s="126"/>
    </row>
    <row r="163" spans="7:70" ht="14.1" hidden="1" customHeight="1" thickTop="1" thickBot="1" x14ac:dyDescent="0.3">
      <c r="G163" s="106"/>
      <c r="H163" s="218"/>
      <c r="J163" s="210"/>
      <c r="K163" s="121" t="s">
        <v>121</v>
      </c>
      <c r="L163" s="122">
        <v>0.50032855686461009</v>
      </c>
      <c r="M163" s="122">
        <v>0.50182242478052108</v>
      </c>
      <c r="N163" s="122">
        <v>0.50287919505052037</v>
      </c>
      <c r="O163" s="122">
        <v>0.50369717082692533</v>
      </c>
      <c r="P163" s="122">
        <v>0.50436442212123944</v>
      </c>
      <c r="Q163" s="122">
        <v>0.50492782968945016</v>
      </c>
      <c r="R163" s="122">
        <v>0.50541533156073182</v>
      </c>
      <c r="S163" s="122">
        <v>0.50584492431940975</v>
      </c>
      <c r="T163" s="122">
        <v>0.50622888205778349</v>
      </c>
      <c r="U163" s="122">
        <v>0.5065759508409986</v>
      </c>
      <c r="V163" s="122">
        <v>0.50689258288246286</v>
      </c>
      <c r="W163" s="122">
        <v>0.50718367429408517</v>
      </c>
      <c r="X163" s="122">
        <v>0.50745302825370919</v>
      </c>
      <c r="Y163" s="122">
        <v>0.5077036577577666</v>
      </c>
      <c r="Z163" s="122">
        <v>0.50793799032242248</v>
      </c>
      <c r="AA163" s="122">
        <v>0.50815801042709341</v>
      </c>
      <c r="AB163" s="122">
        <v>0.50836536112178632</v>
      </c>
      <c r="AC163" s="122">
        <v>0.50856141808593402</v>
      </c>
      <c r="AD163" s="122">
        <v>0.50874734464110383</v>
      </c>
      <c r="AE163" s="122">
        <v>0.508924133308022</v>
      </c>
      <c r="AF163" s="122">
        <v>0.50909263767313595</v>
      </c>
      <c r="AG163" s="122">
        <v>0.50925359715545071</v>
      </c>
      <c r="AH163" s="122">
        <v>0.50940765649076036</v>
      </c>
      <c r="AI163" s="122">
        <v>0.509555381229994</v>
      </c>
      <c r="AJ163" s="122">
        <v>0.50969727019163147</v>
      </c>
      <c r="AK163" s="122">
        <v>0.50983376555932514</v>
      </c>
      <c r="AL163" s="122">
        <v>0.50996526113957341</v>
      </c>
      <c r="AM163" s="122">
        <v>0.51009210916758629</v>
      </c>
      <c r="AN163" s="122">
        <v>0.5102146259572079</v>
      </c>
      <c r="AO163" s="122">
        <v>0.51033309662272885</v>
      </c>
      <c r="AP163" s="122">
        <v>0.5104477790497024</v>
      </c>
      <c r="AQ163" s="122">
        <v>0.51055890725366293</v>
      </c>
      <c r="BA163" s="127"/>
      <c r="BB163" s="127"/>
      <c r="BC163" s="127"/>
      <c r="BD163" s="127"/>
      <c r="BE163" s="127"/>
      <c r="BF163" s="127"/>
      <c r="BG163" s="127"/>
      <c r="BH163" s="127"/>
      <c r="BI163" s="127"/>
      <c r="BJ163" s="127"/>
      <c r="BK163" s="127"/>
      <c r="BL163" s="127"/>
      <c r="BM163" s="127"/>
      <c r="BN163" s="127"/>
      <c r="BO163" s="127"/>
      <c r="BP163" s="127"/>
      <c r="BQ163" s="127"/>
      <c r="BR163" s="127"/>
    </row>
    <row r="164" spans="7:70" ht="14.1" hidden="1" customHeight="1" thickTop="1" x14ac:dyDescent="0.25">
      <c r="G164" s="106"/>
      <c r="H164" s="218"/>
      <c r="J164" s="210"/>
      <c r="K164" s="119" t="s">
        <v>122</v>
      </c>
      <c r="L164" s="120">
        <v>0.49499203731601199</v>
      </c>
      <c r="M164" s="120">
        <v>0.49853907957709759</v>
      </c>
      <c r="N164" s="120">
        <v>0.50105873394906908</v>
      </c>
      <c r="O164" s="120">
        <v>0.50301476908892973</v>
      </c>
      <c r="P164" s="120">
        <v>0.50461400263721123</v>
      </c>
      <c r="Q164" s="120">
        <v>0.50596684991497243</v>
      </c>
      <c r="R164" s="120">
        <v>0.50713926199433845</v>
      </c>
      <c r="S164" s="120">
        <v>0.50817380134915191</v>
      </c>
      <c r="T164" s="120">
        <v>0.50909954244055544</v>
      </c>
      <c r="U164" s="120">
        <v>0.5099372309960335</v>
      </c>
      <c r="V164" s="120">
        <v>0.51070219016727303</v>
      </c>
      <c r="W164" s="120">
        <v>0.51140606010646528</v>
      </c>
      <c r="X164" s="120">
        <v>0.51205789140584035</v>
      </c>
      <c r="Y164" s="120">
        <v>0.51266486060248107</v>
      </c>
      <c r="Z164" s="120">
        <v>0.51323275442680139</v>
      </c>
      <c r="AA164" s="120">
        <v>0.51376630707220805</v>
      </c>
      <c r="AB164" s="120">
        <v>0.51426944097227223</v>
      </c>
      <c r="AC164" s="120">
        <v>0.51474544242978371</v>
      </c>
      <c r="AD164" s="120">
        <v>0.51519709217038923</v>
      </c>
      <c r="AE164" s="120">
        <v>0.5156267640289306</v>
      </c>
      <c r="AF164" s="120">
        <v>0.51603650067054929</v>
      </c>
      <c r="AG164" s="120">
        <v>0.51642807247586808</v>
      </c>
      <c r="AH164" s="120">
        <v>0.51680302389194199</v>
      </c>
      <c r="AI164" s="120">
        <v>0.51716271032052319</v>
      </c>
      <c r="AJ164" s="120">
        <v>0.51750832777135003</v>
      </c>
      <c r="AK164" s="120">
        <v>0.51784093691931976</v>
      </c>
      <c r="AL164" s="120">
        <v>0.51816148278697982</v>
      </c>
      <c r="AM164" s="120">
        <v>0.51847081097362624</v>
      </c>
      <c r="AN164" s="120">
        <v>0.51876968113357436</v>
      </c>
      <c r="AO164" s="120">
        <v>0.51905877824486446</v>
      </c>
      <c r="AP164" s="120">
        <v>0.51933872208934584</v>
      </c>
      <c r="AQ164" s="120">
        <v>0.51961007527438063</v>
      </c>
    </row>
    <row r="165" spans="7:70" ht="14.1" hidden="1" customHeight="1" x14ac:dyDescent="0.25">
      <c r="G165" s="106"/>
      <c r="H165" s="218"/>
      <c r="J165" s="210"/>
      <c r="K165" s="7" t="s">
        <v>123</v>
      </c>
      <c r="L165" s="93">
        <v>0.49398347834367479</v>
      </c>
      <c r="M165" s="93">
        <v>0.49693332423659037</v>
      </c>
      <c r="N165" s="93">
        <v>0.49902627320536069</v>
      </c>
      <c r="O165" s="93">
        <v>0.50064969054809105</v>
      </c>
      <c r="P165" s="93">
        <v>0.50197611909827633</v>
      </c>
      <c r="Q165" s="93">
        <v>0.50309759845786961</v>
      </c>
      <c r="R165" s="93">
        <v>0.50406906806704654</v>
      </c>
      <c r="S165" s="93">
        <v>0.5049259649911918</v>
      </c>
      <c r="T165" s="93">
        <v>0.50569248540977685</v>
      </c>
      <c r="U165" s="93">
        <v>0.50638588747280677</v>
      </c>
      <c r="V165" s="93">
        <v>0.50701891395996224</v>
      </c>
      <c r="W165" s="93">
        <v>0.50760124187860922</v>
      </c>
      <c r="X165" s="93">
        <v>0.50814039331955552</v>
      </c>
      <c r="Y165" s="93">
        <v>0.50864233130269243</v>
      </c>
      <c r="Z165" s="93">
        <v>0.50911186292873245</v>
      </c>
      <c r="AA165" s="93">
        <v>0.50955292009517816</v>
      </c>
      <c r="AB165" s="93">
        <v>0.50996875985287771</v>
      </c>
      <c r="AC165" s="93">
        <v>0.51036211051959623</v>
      </c>
      <c r="AD165" s="93">
        <v>0.51073528027146264</v>
      </c>
      <c r="AE165" s="93">
        <v>0.51109023921247099</v>
      </c>
      <c r="AF165" s="93">
        <v>0.51142868233449257</v>
      </c>
      <c r="AG165" s="93">
        <v>0.51175207847051085</v>
      </c>
      <c r="AH165" s="93">
        <v>0.51206170882164792</v>
      </c>
      <c r="AI165" s="93">
        <v>0.51235869761419306</v>
      </c>
      <c r="AJ165" s="93">
        <v>0.51264403674029502</v>
      </c>
      <c r="AK165" s="93">
        <v>0.51291860574579329</v>
      </c>
      <c r="AL165" s="93">
        <v>0.51318318818124131</v>
      </c>
      <c r="AM165" s="93">
        <v>0.51343848508238588</v>
      </c>
      <c r="AN165" s="93">
        <v>0.51368512616437834</v>
      </c>
      <c r="AO165" s="93">
        <v>0.51392367917979098</v>
      </c>
      <c r="AP165" s="93">
        <v>0.51415465779041836</v>
      </c>
      <c r="AQ165" s="93">
        <v>0.51437852822740826</v>
      </c>
    </row>
    <row r="166" spans="7:70" ht="14.1" hidden="1" customHeight="1" thickBot="1" x14ac:dyDescent="0.3">
      <c r="G166" s="106"/>
      <c r="H166" s="218"/>
      <c r="J166" s="210"/>
      <c r="K166" s="121" t="s">
        <v>124</v>
      </c>
      <c r="L166" s="122">
        <v>0.49146208091283183</v>
      </c>
      <c r="M166" s="122">
        <v>0.49292947553680327</v>
      </c>
      <c r="N166" s="122">
        <v>0.49396751845643061</v>
      </c>
      <c r="O166" s="122">
        <v>0.49477099863299195</v>
      </c>
      <c r="P166" s="122">
        <v>0.49542642536228054</v>
      </c>
      <c r="Q166" s="122">
        <v>0.49597984861201483</v>
      </c>
      <c r="R166" s="122">
        <v>0.49645871131297747</v>
      </c>
      <c r="S166" s="122">
        <v>0.49688069112649852</v>
      </c>
      <c r="T166" s="122">
        <v>0.49725784463191958</v>
      </c>
      <c r="U166" s="122">
        <v>0.49759876290268074</v>
      </c>
      <c r="V166" s="122">
        <v>0.49790978381053552</v>
      </c>
      <c r="W166" s="122">
        <v>0.4981957167018905</v>
      </c>
      <c r="X166" s="122">
        <v>0.49846029735730718</v>
      </c>
      <c r="Y166" s="122">
        <v>0.49870648537898249</v>
      </c>
      <c r="Z166" s="122">
        <v>0.49893666526432257</v>
      </c>
      <c r="AA166" s="122">
        <v>0.49915278632517479</v>
      </c>
      <c r="AB166" s="122">
        <v>0.49935646249455251</v>
      </c>
      <c r="AC166" s="122">
        <v>0.49954904507305126</v>
      </c>
      <c r="AD166" s="122">
        <v>0.49973167676665925</v>
      </c>
      <c r="AE166" s="122">
        <v>0.49990533250733882</v>
      </c>
      <c r="AF166" s="122">
        <v>0.50007085075486957</v>
      </c>
      <c r="AG166" s="122">
        <v>0.50022895782478527</v>
      </c>
      <c r="AH166" s="122">
        <v>0.50038028702731929</v>
      </c>
      <c r="AI166" s="122">
        <v>0.50052539389109907</v>
      </c>
      <c r="AJ166" s="122">
        <v>0.50066476839488894</v>
      </c>
      <c r="AK166" s="122">
        <v>0.50079884488626913</v>
      </c>
      <c r="AL166" s="122">
        <v>0.50092801019297206</v>
      </c>
      <c r="AM166" s="122">
        <v>0.50105261030813952</v>
      </c>
      <c r="AN166" s="122">
        <v>0.5011729559401209</v>
      </c>
      <c r="AO166" s="122">
        <v>0.50128932715060892</v>
      </c>
      <c r="AP166" s="122">
        <v>0.50140197725508784</v>
      </c>
      <c r="AQ166" s="122">
        <v>0.5015111361220308</v>
      </c>
    </row>
    <row r="167" spans="7:70" ht="14.1" hidden="1" customHeight="1" thickTop="1" x14ac:dyDescent="0.25">
      <c r="G167" s="106"/>
      <c r="H167" s="218"/>
      <c r="J167" s="211"/>
      <c r="K167" s="119" t="s">
        <v>125</v>
      </c>
      <c r="L167" s="120">
        <v>0.48829374353802124</v>
      </c>
      <c r="M167" s="120">
        <v>0.49179278678232158</v>
      </c>
      <c r="N167" s="120">
        <v>0.49427834487813083</v>
      </c>
      <c r="O167" s="120">
        <v>0.49620791070733772</v>
      </c>
      <c r="P167" s="120">
        <v>0.49778550322845427</v>
      </c>
      <c r="Q167" s="120">
        <v>0.49912004360868978</v>
      </c>
      <c r="R167" s="120">
        <v>0.50027659046206341</v>
      </c>
      <c r="S167" s="120">
        <v>0.50129713030173106</v>
      </c>
      <c r="T167" s="120">
        <v>0.5022103441496133</v>
      </c>
      <c r="U167" s="120">
        <v>0.50303669699943143</v>
      </c>
      <c r="V167" s="120">
        <v>0.50379130464807897</v>
      </c>
      <c r="W167" s="120">
        <v>0.5044856497317608</v>
      </c>
      <c r="X167" s="120">
        <v>0.50512866036896797</v>
      </c>
      <c r="Y167" s="120">
        <v>0.50572741598299165</v>
      </c>
      <c r="Z167" s="120">
        <v>0.50628762499749036</v>
      </c>
      <c r="AA167" s="120">
        <v>0.50681395754217706</v>
      </c>
      <c r="AB167" s="120">
        <v>0.5073102829717645</v>
      </c>
      <c r="AC167" s="120">
        <v>0.50777984311838464</v>
      </c>
      <c r="AD167" s="120">
        <v>0.50822538107855886</v>
      </c>
      <c r="AE167" s="120">
        <v>0.50864923856410094</v>
      </c>
      <c r="AF167" s="120">
        <v>0.50905343059855368</v>
      </c>
      <c r="AG167" s="120">
        <v>0.50943970360552926</v>
      </c>
      <c r="AH167" s="120">
        <v>0.50980958113243313</v>
      </c>
      <c r="AI167" s="120">
        <v>0.51016440023955267</v>
      </c>
      <c r="AJ167" s="120">
        <v>0.51050534075207366</v>
      </c>
      <c r="AK167" s="120">
        <v>0.51083344899170868</v>
      </c>
      <c r="AL167" s="120">
        <v>0.51114965719284267</v>
      </c>
      <c r="AM167" s="120">
        <v>0.511454799512017</v>
      </c>
      <c r="AN167" s="120">
        <v>0.51174962532381019</v>
      </c>
      <c r="AO167" s="120">
        <v>0.51203481033705478</v>
      </c>
      <c r="AP167" s="120">
        <v>0.51231096594663472</v>
      </c>
      <c r="AQ167" s="120">
        <v>0.51257864714663959</v>
      </c>
    </row>
    <row r="168" spans="7:70" ht="14.1" hidden="1" customHeight="1" x14ac:dyDescent="0.25">
      <c r="G168" s="106"/>
      <c r="H168" s="218"/>
      <c r="J168" s="211"/>
      <c r="K168" s="7" t="s">
        <v>126</v>
      </c>
      <c r="L168" s="93">
        <v>0.48729883251106471</v>
      </c>
      <c r="M168" s="93">
        <v>0.49020876072268244</v>
      </c>
      <c r="N168" s="93">
        <v>0.49227338764584738</v>
      </c>
      <c r="O168" s="93">
        <v>0.49387483670330018</v>
      </c>
      <c r="P168" s="93">
        <v>0.49518331585746522</v>
      </c>
      <c r="Q168" s="93">
        <v>0.4962896192189612</v>
      </c>
      <c r="R168" s="93">
        <v>0.49724794278063017</v>
      </c>
      <c r="S168" s="93">
        <v>0.49809324406908295</v>
      </c>
      <c r="T168" s="93">
        <v>0.49884939183808286</v>
      </c>
      <c r="U168" s="93">
        <v>0.49953341069820384</v>
      </c>
      <c r="V168" s="93">
        <v>0.50015787099224795</v>
      </c>
      <c r="W168" s="93">
        <v>0.50073231877711466</v>
      </c>
      <c r="X168" s="93">
        <v>0.50126417435374382</v>
      </c>
      <c r="Y168" s="93">
        <v>0.50175932004970059</v>
      </c>
      <c r="Z168" s="93">
        <v>0.50222249791541274</v>
      </c>
      <c r="AA168" s="93">
        <v>0.50265758664145732</v>
      </c>
      <c r="AB168" s="93">
        <v>0.50306779920386557</v>
      </c>
      <c r="AC168" s="93">
        <v>0.50345582700046743</v>
      </c>
      <c r="AD168" s="93">
        <v>0.50382394697286548</v>
      </c>
      <c r="AE168" s="93">
        <v>0.50417410256536155</v>
      </c>
      <c r="AF168" s="93">
        <v>0.5045079658329864</v>
      </c>
      <c r="AG168" s="93">
        <v>0.5048269857322929</v>
      </c>
      <c r="AH168" s="93">
        <v>0.50513242612703035</v>
      </c>
      <c r="AI168" s="93">
        <v>0.50542539603031811</v>
      </c>
      <c r="AJ168" s="93">
        <v>0.50570687391189717</v>
      </c>
      <c r="AK168" s="93">
        <v>0.50597772741548319</v>
      </c>
      <c r="AL168" s="93">
        <v>0.50623872948852633</v>
      </c>
      <c r="AM168" s="93">
        <v>0.50649057168027045</v>
      </c>
      <c r="AN168" s="93">
        <v>0.50673387518448321</v>
      </c>
      <c r="AO168" s="93">
        <v>0.50696920007083845</v>
      </c>
      <c r="AP168" s="93">
        <v>0.50719705305019547</v>
      </c>
      <c r="AQ168" s="93">
        <v>0.50741789404460425</v>
      </c>
    </row>
    <row r="169" spans="7:70" ht="14.1" hidden="1" customHeight="1" thickBot="1" x14ac:dyDescent="0.3">
      <c r="G169" s="106"/>
      <c r="H169" s="218"/>
      <c r="J169" s="211"/>
      <c r="K169" s="121" t="s">
        <v>127</v>
      </c>
      <c r="L169" s="122">
        <v>0.48481155494367334</v>
      </c>
      <c r="M169" s="122">
        <v>0.48625909260119154</v>
      </c>
      <c r="N169" s="122">
        <v>0.48728308859499858</v>
      </c>
      <c r="O169" s="122">
        <v>0.48807569597793565</v>
      </c>
      <c r="P169" s="122">
        <v>0.48872225339125197</v>
      </c>
      <c r="Q169" s="122">
        <v>0.48926818764877866</v>
      </c>
      <c r="R169" s="122">
        <v>0.48974057032014789</v>
      </c>
      <c r="S169" s="122">
        <v>0.49015683985037894</v>
      </c>
      <c r="T169" s="122">
        <v>0.49052888966768327</v>
      </c>
      <c r="U169" s="122">
        <v>0.49086519459002731</v>
      </c>
      <c r="V169" s="122">
        <v>0.49117200672429612</v>
      </c>
      <c r="W169" s="122">
        <v>0.49145407033622296</v>
      </c>
      <c r="X169" s="122">
        <v>0.49171507065332226</v>
      </c>
      <c r="Y169" s="122">
        <v>0.49195792722808646</v>
      </c>
      <c r="Z169" s="122">
        <v>0.49218499229060592</v>
      </c>
      <c r="AA169" s="122">
        <v>0.49239818877439823</v>
      </c>
      <c r="AB169" s="122">
        <v>0.49259910877253443</v>
      </c>
      <c r="AC169" s="122">
        <v>0.49278908529964233</v>
      </c>
      <c r="AD169" s="122">
        <v>0.49296924559847077</v>
      </c>
      <c r="AE169" s="122">
        <v>0.49314055140808144</v>
      </c>
      <c r="AF169" s="122">
        <v>0.49330382984211218</v>
      </c>
      <c r="AG169" s="122">
        <v>0.49345979738750456</v>
      </c>
      <c r="AH169" s="122">
        <v>0.49360907878445925</v>
      </c>
      <c r="AI169" s="122">
        <v>0.49375222204412106</v>
      </c>
      <c r="AJ169" s="122">
        <v>0.49388971051480102</v>
      </c>
      <c r="AK169" s="122">
        <v>0.49402197266643366</v>
      </c>
      <c r="AL169" s="122">
        <v>0.49414939009215059</v>
      </c>
      <c r="AM169" s="122">
        <v>0.49427230410307149</v>
      </c>
      <c r="AN169" s="122">
        <v>0.49439102120300166</v>
      </c>
      <c r="AO169" s="122">
        <v>0.49450581766380403</v>
      </c>
      <c r="AP169" s="122">
        <v>0.49461694337306639</v>
      </c>
      <c r="AQ169" s="122">
        <v>0.49472462508865306</v>
      </c>
    </row>
    <row r="170" spans="7:70" ht="14.1" hidden="1" customHeight="1" thickTop="1" x14ac:dyDescent="0.25">
      <c r="G170" s="106"/>
      <c r="H170" s="218"/>
      <c r="J170" s="211"/>
      <c r="K170" s="119" t="s">
        <v>128</v>
      </c>
      <c r="L170" s="120">
        <v>0.46006829036433722</v>
      </c>
      <c r="M170" s="120">
        <v>0.46336507404141658</v>
      </c>
      <c r="N170" s="120">
        <v>0.46570695631796305</v>
      </c>
      <c r="O170" s="120">
        <v>0.46752498504337009</v>
      </c>
      <c r="P170" s="120">
        <v>0.46901138601345571</v>
      </c>
      <c r="Q170" s="120">
        <v>0.4702687842891502</v>
      </c>
      <c r="R170" s="120">
        <v>0.47135847782014345</v>
      </c>
      <c r="S170" s="120">
        <v>0.47232002612072704</v>
      </c>
      <c r="T170" s="120">
        <v>0.47318045232788669</v>
      </c>
      <c r="U170" s="120">
        <v>0.47395903847174936</v>
      </c>
      <c r="V170" s="120">
        <v>0.47467002659191992</v>
      </c>
      <c r="W170" s="120">
        <v>0.47532423557943998</v>
      </c>
      <c r="X170" s="120">
        <v>0.47593007746961558</v>
      </c>
      <c r="Y170" s="120">
        <v>0.47649422246499068</v>
      </c>
      <c r="Z170" s="120">
        <v>0.47702204901808076</v>
      </c>
      <c r="AA170" s="120">
        <v>0.4775179573052577</v>
      </c>
      <c r="AB170" s="120">
        <v>0.4779855930160905</v>
      </c>
      <c r="AC170" s="120">
        <v>0.47842801059103929</v>
      </c>
      <c r="AD170" s="120">
        <v>0.47884779456399085</v>
      </c>
      <c r="AE170" s="120">
        <v>0.47924715128586592</v>
      </c>
      <c r="AF170" s="120">
        <v>0.47962797930328471</v>
      </c>
      <c r="AG170" s="120">
        <v>0.47999192408915381</v>
      </c>
      <c r="AH170" s="120">
        <v>0.480340421123365</v>
      </c>
      <c r="AI170" s="120">
        <v>0.48067473017843965</v>
      </c>
      <c r="AJ170" s="120">
        <v>0.48099596288065483</v>
      </c>
      <c r="AK170" s="120">
        <v>0.48130510506988206</v>
      </c>
      <c r="AL170" s="120">
        <v>0.48160303509339791</v>
      </c>
      <c r="AM170" s="120">
        <v>0.48189053888995104</v>
      </c>
      <c r="AN170" s="120">
        <v>0.48216832251708536</v>
      </c>
      <c r="AO170" s="120">
        <v>0.4824370226247916</v>
      </c>
      <c r="AP170" s="120">
        <v>0.48269721526673165</v>
      </c>
      <c r="AQ170" s="120">
        <v>0.48294942335597846</v>
      </c>
    </row>
    <row r="171" spans="7:70" ht="14.1" hidden="1" customHeight="1" x14ac:dyDescent="0.25">
      <c r="G171" s="106"/>
      <c r="H171" s="218"/>
      <c r="J171" s="211"/>
      <c r="K171" s="7" t="s">
        <v>129</v>
      </c>
      <c r="L171" s="93">
        <v>0.45913088942219121</v>
      </c>
      <c r="M171" s="93">
        <v>0.46187261141867159</v>
      </c>
      <c r="N171" s="93">
        <v>0.46381789413292107</v>
      </c>
      <c r="O171" s="93">
        <v>0.46532677263017447</v>
      </c>
      <c r="P171" s="93">
        <v>0.4665596161294015</v>
      </c>
      <c r="Q171" s="93">
        <v>0.46760197045583601</v>
      </c>
      <c r="R171" s="93">
        <v>0.46850489884365093</v>
      </c>
      <c r="S171" s="93">
        <v>0.46930133812588182</v>
      </c>
      <c r="T171" s="93">
        <v>0.47001377734090427</v>
      </c>
      <c r="U171" s="93">
        <v>0.47065825700446223</v>
      </c>
      <c r="V171" s="93">
        <v>0.47124662084013141</v>
      </c>
      <c r="W171" s="93">
        <v>0.47178786310216059</v>
      </c>
      <c r="X171" s="93">
        <v>0.47228897516656587</v>
      </c>
      <c r="Y171" s="93">
        <v>0.47275549933738464</v>
      </c>
      <c r="Z171" s="93">
        <v>0.47319190355438079</v>
      </c>
      <c r="AA171" s="93">
        <v>0.47360184230333502</v>
      </c>
      <c r="AB171" s="93">
        <v>0.47398834283661173</v>
      </c>
      <c r="AC171" s="93">
        <v>0.47435394097781042</v>
      </c>
      <c r="AD171" s="93">
        <v>0.47470078205163418</v>
      </c>
      <c r="AE171" s="93">
        <v>0.4750306971630463</v>
      </c>
      <c r="AF171" s="93">
        <v>0.47534526171519209</v>
      </c>
      <c r="AG171" s="93">
        <v>0.47564584090877893</v>
      </c>
      <c r="AH171" s="93">
        <v>0.47593362555086116</v>
      </c>
      <c r="AI171" s="93">
        <v>0.47620966054888753</v>
      </c>
      <c r="AJ171" s="93">
        <v>0.47647486781289039</v>
      </c>
      <c r="AK171" s="93">
        <v>0.47673006483309205</v>
      </c>
      <c r="AL171" s="93">
        <v>0.47697597987729573</v>
      </c>
      <c r="AM171" s="93">
        <v>0.47721326452026042</v>
      </c>
      <c r="AN171" s="93">
        <v>0.47744250404811456</v>
      </c>
      <c r="AO171" s="93">
        <v>0.47766422615612514</v>
      </c>
      <c r="AP171" s="93">
        <v>0.4778789082651107</v>
      </c>
      <c r="AQ171" s="93">
        <v>0.47808698371167252</v>
      </c>
    </row>
    <row r="172" spans="7:70" ht="14.1" hidden="1" customHeight="1" thickBot="1" x14ac:dyDescent="0.3">
      <c r="G172" s="106"/>
      <c r="H172" s="218"/>
      <c r="J172" s="211"/>
      <c r="K172" s="121" t="s">
        <v>130</v>
      </c>
      <c r="L172" s="122">
        <v>0.45678738706682631</v>
      </c>
      <c r="M172" s="122">
        <v>0.45815125089704256</v>
      </c>
      <c r="N172" s="122">
        <v>0.45911605557137081</v>
      </c>
      <c r="O172" s="122">
        <v>0.45986284687972523</v>
      </c>
      <c r="P172" s="122">
        <v>0.46047203052728031</v>
      </c>
      <c r="Q172" s="122">
        <v>0.46098640746500585</v>
      </c>
      <c r="R172" s="122">
        <v>0.46143148441078008</v>
      </c>
      <c r="S172" s="122">
        <v>0.46182369179340294</v>
      </c>
      <c r="T172" s="122">
        <v>0.46217423555039922</v>
      </c>
      <c r="U172" s="122">
        <v>0.46249110061924664</v>
      </c>
      <c r="V172" s="122">
        <v>0.46278017770848667</v>
      </c>
      <c r="W172" s="122">
        <v>0.4630459368451344</v>
      </c>
      <c r="X172" s="122">
        <v>0.46329185023489527</v>
      </c>
      <c r="Y172" s="122">
        <v>0.46352066866772201</v>
      </c>
      <c r="Z172" s="122">
        <v>0.46373460840481123</v>
      </c>
      <c r="AA172" s="122">
        <v>0.4639354812259523</v>
      </c>
      <c r="AB172" s="122">
        <v>0.46412478719447192</v>
      </c>
      <c r="AC172" s="122">
        <v>0.46430378227108826</v>
      </c>
      <c r="AD172" s="122">
        <v>0.46447352853912971</v>
      </c>
      <c r="AE172" s="122">
        <v>0.46463493214505353</v>
      </c>
      <c r="AF172" s="122">
        <v>0.46478877239181482</v>
      </c>
      <c r="AG172" s="122">
        <v>0.46493572435036562</v>
      </c>
      <c r="AH172" s="122">
        <v>0.46507637664826834</v>
      </c>
      <c r="AI172" s="122">
        <v>0.46521124561929511</v>
      </c>
      <c r="AJ172" s="122">
        <v>0.46534078667217077</v>
      </c>
      <c r="AK172" s="122">
        <v>0.46546540350944715</v>
      </c>
      <c r="AL172" s="122">
        <v>0.46558545566655135</v>
      </c>
      <c r="AM172" s="122">
        <v>0.4657012647253701</v>
      </c>
      <c r="AN172" s="122">
        <v>0.46581311947248621</v>
      </c>
      <c r="AO172" s="122">
        <v>0.46592128021007534</v>
      </c>
      <c r="AP172" s="122">
        <v>0.46602598238116072</v>
      </c>
      <c r="AQ172" s="122">
        <v>0.46612743963603875</v>
      </c>
    </row>
    <row r="173" spans="7:70" ht="14.1" hidden="1" customHeight="1" thickTop="1" x14ac:dyDescent="0.25">
      <c r="G173" s="106"/>
      <c r="H173" s="218"/>
      <c r="J173" s="211"/>
      <c r="K173" s="119" t="s">
        <v>131</v>
      </c>
      <c r="L173" s="120">
        <v>0.36688134264373129</v>
      </c>
      <c r="M173" s="120">
        <v>0.36951036195930936</v>
      </c>
      <c r="N173" s="120">
        <v>0.37137789539277533</v>
      </c>
      <c r="O173" s="120">
        <v>0.37282768194340671</v>
      </c>
      <c r="P173" s="120">
        <v>0.37401301202381737</v>
      </c>
      <c r="Q173" s="120">
        <v>0.37501572396308053</v>
      </c>
      <c r="R173" s="120">
        <v>0.37588469979578659</v>
      </c>
      <c r="S173" s="120">
        <v>0.37665148624667533</v>
      </c>
      <c r="T173" s="120">
        <v>0.37733763290955136</v>
      </c>
      <c r="U173" s="120">
        <v>0.37795851623449844</v>
      </c>
      <c r="V173" s="120">
        <v>0.37852549353242382</v>
      </c>
      <c r="W173" s="123">
        <v>0.37904719232527234</v>
      </c>
      <c r="X173" s="120">
        <v>0.37953032078848681</v>
      </c>
      <c r="Y173" s="120">
        <v>0.37998019807341132</v>
      </c>
      <c r="Z173" s="120">
        <v>0.3804011132256539</v>
      </c>
      <c r="AA173" s="120">
        <v>0.38079657516475768</v>
      </c>
      <c r="AB173" s="120">
        <v>0.38116949114495402</v>
      </c>
      <c r="AC173" s="120">
        <v>0.38152229692902107</v>
      </c>
      <c r="AD173" s="120">
        <v>0.38185705355285798</v>
      </c>
      <c r="AE173" s="120">
        <v>0.3821755204704525</v>
      </c>
      <c r="AF173" s="120">
        <v>0.38247921167733029</v>
      </c>
      <c r="AG173" s="120">
        <v>0.38276943935544755</v>
      </c>
      <c r="AH173" s="120">
        <v>0.38304734822788367</v>
      </c>
      <c r="AI173" s="120">
        <v>0.38331394289991944</v>
      </c>
      <c r="AJ173" s="120">
        <v>0.3835701098376505</v>
      </c>
      <c r="AK173" s="120">
        <v>0.38381663519883474</v>
      </c>
      <c r="AL173" s="120">
        <v>0.38405421942128748</v>
      </c>
      <c r="AM173" s="120">
        <v>0.3842834892516665</v>
      </c>
      <c r="AN173" s="120">
        <v>0.38450500773538282</v>
      </c>
      <c r="AO173" s="120">
        <v>0.38471928256881183</v>
      </c>
      <c r="AP173" s="120">
        <v>0.38492677312580142</v>
      </c>
      <c r="AQ173" s="120">
        <v>0.38512789640325057</v>
      </c>
    </row>
    <row r="174" spans="7:70" ht="14.1" hidden="1" customHeight="1" x14ac:dyDescent="0.25">
      <c r="G174" s="106"/>
      <c r="H174" s="218"/>
      <c r="J174" s="211"/>
      <c r="K174" s="7" t="s">
        <v>132</v>
      </c>
      <c r="L174" s="93">
        <v>0.36613381249776611</v>
      </c>
      <c r="M174" s="93">
        <v>0.36832019801550736</v>
      </c>
      <c r="N174" s="93">
        <v>0.36987146322759207</v>
      </c>
      <c r="O174" s="93">
        <v>0.37107471800639935</v>
      </c>
      <c r="P174" s="93">
        <v>0.37205784874533337</v>
      </c>
      <c r="Q174" s="93">
        <v>0.37288907394124932</v>
      </c>
      <c r="R174" s="93">
        <v>0.37360911395741808</v>
      </c>
      <c r="S174" s="93">
        <v>0.37424423426307463</v>
      </c>
      <c r="T174" s="93">
        <v>0.37481236873622531</v>
      </c>
      <c r="U174" s="93">
        <v>0.37532630888212293</v>
      </c>
      <c r="V174" s="93">
        <v>0.37579549947515939</v>
      </c>
      <c r="W174" s="124">
        <v>0.37622711298112727</v>
      </c>
      <c r="X174" s="93">
        <v>0.37662672467107527</v>
      </c>
      <c r="Y174" s="93">
        <v>0.37699875425396656</v>
      </c>
      <c r="Z174" s="93">
        <v>0.37734676468724404</v>
      </c>
      <c r="AA174" s="93">
        <v>0.37767367023967607</v>
      </c>
      <c r="AB174" s="93">
        <v>0.37798188499290059</v>
      </c>
      <c r="AC174" s="93">
        <v>0.37827343113881035</v>
      </c>
      <c r="AD174" s="93">
        <v>0.37855001946605121</v>
      </c>
      <c r="AE174" s="93">
        <v>0.37881311018881647</v>
      </c>
      <c r="AF174" s="93">
        <v>0.37906395961194878</v>
      </c>
      <c r="AG174" s="93">
        <v>0.3793036564144095</v>
      </c>
      <c r="AH174" s="93">
        <v>0.37953315020498513</v>
      </c>
      <c r="AI174" s="93">
        <v>0.37975327424485839</v>
      </c>
      <c r="AJ174" s="93">
        <v>0.37996476371095306</v>
      </c>
      <c r="AK174" s="93">
        <v>0.38016827051064167</v>
      </c>
      <c r="AL174" s="93">
        <v>0.38036437540090107</v>
      </c>
      <c r="AM174" s="93">
        <v>0.38055359797985927</v>
      </c>
      <c r="AN174" s="93">
        <v>0.38073640498379241</v>
      </c>
      <c r="AO174" s="93">
        <v>0.38091321722315863</v>
      </c>
      <c r="AP174" s="93">
        <v>0.38108441541706983</v>
      </c>
      <c r="AQ174" s="93">
        <v>0.38125034512968997</v>
      </c>
    </row>
    <row r="175" spans="7:70" ht="14.1" hidden="1" customHeight="1" thickBot="1" x14ac:dyDescent="0.3">
      <c r="G175" s="106"/>
      <c r="H175" s="218"/>
      <c r="J175" s="211"/>
      <c r="K175" s="121" t="s">
        <v>133</v>
      </c>
      <c r="L175" s="122">
        <v>0.3642649871328531</v>
      </c>
      <c r="M175" s="122">
        <v>0.36535260000183983</v>
      </c>
      <c r="N175" s="122">
        <v>0.36612198324715362</v>
      </c>
      <c r="O175" s="122">
        <v>0.36671751178850726</v>
      </c>
      <c r="P175" s="122">
        <v>0.36720330513530497</v>
      </c>
      <c r="Q175" s="122">
        <v>0.36761349489515194</v>
      </c>
      <c r="R175" s="122">
        <v>0.36796842139381608</v>
      </c>
      <c r="S175" s="122">
        <v>0.36828118707261892</v>
      </c>
      <c r="T175" s="122">
        <v>0.36856072810362611</v>
      </c>
      <c r="U175" s="122">
        <v>0.36881341207322454</v>
      </c>
      <c r="V175" s="122">
        <v>0.36904393652546169</v>
      </c>
      <c r="W175" s="125">
        <v>0.36925586608225847</v>
      </c>
      <c r="X175" s="122">
        <v>0.36945196965318289</v>
      </c>
      <c r="Y175" s="122">
        <v>0.36963444085499214</v>
      </c>
      <c r="Z175" s="122">
        <v>0.36980504704462103</v>
      </c>
      <c r="AA175" s="122">
        <v>0.36996523302540774</v>
      </c>
      <c r="AB175" s="122">
        <v>0.37011619502247545</v>
      </c>
      <c r="AC175" s="122">
        <v>0.37025893460138365</v>
      </c>
      <c r="AD175" s="122">
        <v>0.37039429872021579</v>
      </c>
      <c r="AE175" s="122">
        <v>0.37052300998523685</v>
      </c>
      <c r="AF175" s="122">
        <v>0.37064568985139262</v>
      </c>
      <c r="AG175" s="122">
        <v>0.37076287665384433</v>
      </c>
      <c r="AH175" s="122">
        <v>0.3708750397934939</v>
      </c>
      <c r="AI175" s="122">
        <v>0.37098259102057829</v>
      </c>
      <c r="AJ175" s="122">
        <v>0.37108589350067067</v>
      </c>
      <c r="AK175" s="122">
        <v>0.3711852691662697</v>
      </c>
      <c r="AL175" s="122">
        <v>0.37128100472881148</v>
      </c>
      <c r="AM175" s="122">
        <v>0.37137335663369081</v>
      </c>
      <c r="AN175" s="122">
        <v>0.3714625551736957</v>
      </c>
      <c r="AO175" s="122">
        <v>0.37154880792673067</v>
      </c>
      <c r="AP175" s="122">
        <v>0.3716323026467756</v>
      </c>
      <c r="AQ175" s="122">
        <v>0.37171320970920563</v>
      </c>
    </row>
    <row r="176" spans="7:70" ht="14.1" customHeight="1" thickTop="1" x14ac:dyDescent="0.25">
      <c r="G176" s="106"/>
      <c r="H176" s="218"/>
      <c r="J176" s="211"/>
      <c r="K176" s="119" t="s">
        <v>134</v>
      </c>
      <c r="L176" s="120">
        <v>0.30155124371545733</v>
      </c>
      <c r="M176" s="120">
        <v>0.30371211687039013</v>
      </c>
      <c r="N176" s="120">
        <v>0.30524710097583346</v>
      </c>
      <c r="O176" s="120">
        <v>0.30643872586009313</v>
      </c>
      <c r="P176" s="120">
        <v>0.30741298570493969</v>
      </c>
      <c r="Q176" s="120">
        <v>0.30823714599118995</v>
      </c>
      <c r="R176" s="120">
        <v>0.30895138439105768</v>
      </c>
      <c r="S176" s="120">
        <v>0.30958163014371287</v>
      </c>
      <c r="T176" s="120">
        <v>0.31014559553391369</v>
      </c>
      <c r="U176" s="120">
        <v>0.31065591894663025</v>
      </c>
      <c r="V176" s="120">
        <v>0.31112193531071081</v>
      </c>
      <c r="W176" s="120">
        <v>0.31155073585612608</v>
      </c>
      <c r="X176" s="120">
        <v>0.31194783424196071</v>
      </c>
      <c r="Y176" s="120">
        <v>0.31231760244497353</v>
      </c>
      <c r="Z176" s="120">
        <v>0.31266356576581944</v>
      </c>
      <c r="AA176" s="120">
        <v>0.31298860829515474</v>
      </c>
      <c r="AB176" s="120">
        <v>0.31329511959610906</v>
      </c>
      <c r="AC176" s="120">
        <v>0.31358510169824816</v>
      </c>
      <c r="AD176" s="120">
        <v>0.31386024863140261</v>
      </c>
      <c r="AE176" s="120">
        <v>0.31412200654580302</v>
      </c>
      <c r="AF176" s="120">
        <v>0.31437161984169737</v>
      </c>
      <c r="AG176" s="120">
        <v>0.31461016704245243</v>
      </c>
      <c r="AH176" s="120">
        <v>0.31483858903174955</v>
      </c>
      <c r="AI176" s="120">
        <v>0.31505771152607154</v>
      </c>
      <c r="AJ176" s="120">
        <v>0.31526826313961215</v>
      </c>
      <c r="AK176" s="120">
        <v>0.31547089004000683</v>
      </c>
      <c r="AL176" s="120">
        <v>0.31566616793899055</v>
      </c>
      <c r="AM176" s="120">
        <v>0.31585461197923259</v>
      </c>
      <c r="AN176" s="120">
        <v>0.31603668494535642</v>
      </c>
      <c r="AO176" s="120">
        <v>0.31621280412888264</v>
      </c>
      <c r="AP176" s="120">
        <v>0.31638334710353649</v>
      </c>
      <c r="AQ176" s="120">
        <v>0.31654865661210374</v>
      </c>
    </row>
    <row r="177" spans="7:52" ht="14.1" customHeight="1" x14ac:dyDescent="0.25">
      <c r="G177" s="106"/>
      <c r="H177" s="218"/>
      <c r="J177" s="211"/>
      <c r="K177" s="7" t="s">
        <v>135</v>
      </c>
      <c r="L177" s="93">
        <v>0.30093682532174387</v>
      </c>
      <c r="M177" s="93">
        <v>0.30273388392212242</v>
      </c>
      <c r="N177" s="93">
        <v>0.30400891729031121</v>
      </c>
      <c r="O177" s="93">
        <v>0.30499791000507093</v>
      </c>
      <c r="P177" s="93">
        <v>0.30580597589068981</v>
      </c>
      <c r="Q177" s="93">
        <v>0.30648918586214774</v>
      </c>
      <c r="R177" s="93">
        <v>0.3070810092588786</v>
      </c>
      <c r="S177" s="93">
        <v>0.30760303449106829</v>
      </c>
      <c r="T177" s="93">
        <v>0.30807000197363821</v>
      </c>
      <c r="U177" s="93">
        <v>0.30849242544460009</v>
      </c>
      <c r="V177" s="93">
        <v>0.30887806785925714</v>
      </c>
      <c r="W177" s="93">
        <v>0.3092328244914454</v>
      </c>
      <c r="X177" s="93">
        <v>0.30956127783071502</v>
      </c>
      <c r="Y177" s="93">
        <v>0.3098670605740167</v>
      </c>
      <c r="Z177" s="93">
        <v>0.31015310122744583</v>
      </c>
      <c r="AA177" s="93">
        <v>0.31042179511959911</v>
      </c>
      <c r="AB177" s="93">
        <v>0.31067512645963558</v>
      </c>
      <c r="AC177" s="93">
        <v>0.31091475735028273</v>
      </c>
      <c r="AD177" s="93">
        <v>0.31114209394220549</v>
      </c>
      <c r="AE177" s="93">
        <v>0.31135833643109351</v>
      </c>
      <c r="AF177" s="93">
        <v>0.31156451741316737</v>
      </c>
      <c r="AG177" s="93">
        <v>0.31176153170769594</v>
      </c>
      <c r="AH177" s="93">
        <v>0.31195015982782431</v>
      </c>
      <c r="AI177" s="93">
        <v>0.3121310866569651</v>
      </c>
      <c r="AJ177" s="93">
        <v>0.31230491646001263</v>
      </c>
      <c r="AK177" s="93">
        <v>0.31247218506001406</v>
      </c>
      <c r="AL177" s="93">
        <v>0.3126333697992823</v>
      </c>
      <c r="AM177" s="93">
        <v>0.31278889775176066</v>
      </c>
      <c r="AN177" s="93">
        <v>0.31293915254258403</v>
      </c>
      <c r="AO177" s="93">
        <v>0.31308448004902195</v>
      </c>
      <c r="AP177" s="93">
        <v>0.31322519319601322</v>
      </c>
      <c r="AQ177" s="93">
        <v>0.31336157601354597</v>
      </c>
    </row>
    <row r="178" spans="7:52" ht="14.1" customHeight="1" x14ac:dyDescent="0.25">
      <c r="G178" s="106"/>
      <c r="H178" s="218"/>
      <c r="J178" s="211"/>
      <c r="K178" s="121" t="s">
        <v>136</v>
      </c>
      <c r="L178" s="122">
        <v>0.29940077933746018</v>
      </c>
      <c r="M178" s="122">
        <v>0.30029472235173438</v>
      </c>
      <c r="N178" s="122">
        <v>0.30092710249089971</v>
      </c>
      <c r="O178" s="122">
        <v>0.30141658601442584</v>
      </c>
      <c r="P178" s="122">
        <v>0.30181587475137805</v>
      </c>
      <c r="Q178" s="122">
        <v>0.3021530225369532</v>
      </c>
      <c r="R178" s="122">
        <v>0.30244474772071017</v>
      </c>
      <c r="S178" s="122">
        <v>0.30270181960873499</v>
      </c>
      <c r="T178" s="122">
        <v>0.30293158312018065</v>
      </c>
      <c r="U178" s="122">
        <v>0.30313927197334034</v>
      </c>
      <c r="V178" s="122">
        <v>0.30332874722650532</v>
      </c>
      <c r="W178" s="122">
        <v>0.30350293875385753</v>
      </c>
      <c r="X178" s="122">
        <v>0.30366412240872309</v>
      </c>
      <c r="Y178" s="122">
        <v>0.30381410119328411</v>
      </c>
      <c r="Z178" s="122">
        <v>0.30395432775345044</v>
      </c>
      <c r="AA178" s="122">
        <v>0.30408598961824829</v>
      </c>
      <c r="AB178" s="122">
        <v>0.30421007000249872</v>
      </c>
      <c r="AC178" s="122">
        <v>0.30432739212424254</v>
      </c>
      <c r="AD178" s="122">
        <v>0.30443865212480337</v>
      </c>
      <c r="AE178" s="122">
        <v>0.30454444393685792</v>
      </c>
      <c r="AF178" s="122">
        <v>0.30464527835365207</v>
      </c>
      <c r="AG178" s="122">
        <v>0.3047415978496823</v>
      </c>
      <c r="AH178" s="122">
        <v>0.30483378824022284</v>
      </c>
      <c r="AI178" s="122">
        <v>0.30492218795566411</v>
      </c>
      <c r="AJ178" s="122">
        <v>0.30500709549314281</v>
      </c>
      <c r="AK178" s="122">
        <v>0.30508877545904267</v>
      </c>
      <c r="AL178" s="122">
        <v>0.30516746351045532</v>
      </c>
      <c r="AM178" s="122">
        <v>0.30524337042786676</v>
      </c>
      <c r="AN178" s="122">
        <v>0.30531668549611812</v>
      </c>
      <c r="AO178" s="122">
        <v>0.30538757932997773</v>
      </c>
      <c r="AP178" s="122">
        <v>0.30545620625031061</v>
      </c>
      <c r="AQ178" s="122">
        <v>0.30552270629396328</v>
      </c>
    </row>
    <row r="179" spans="7:52" ht="14.1" customHeight="1" thickBot="1" x14ac:dyDescent="0.3">
      <c r="G179" s="106"/>
      <c r="H179" s="218"/>
      <c r="J179" s="18"/>
      <c r="L179" s="107">
        <v>2019</v>
      </c>
      <c r="M179" s="107">
        <v>2020</v>
      </c>
      <c r="N179" s="107">
        <v>2021</v>
      </c>
      <c r="O179" s="107">
        <v>2022</v>
      </c>
      <c r="P179" s="107">
        <v>2023</v>
      </c>
      <c r="Q179" s="107">
        <v>2024</v>
      </c>
      <c r="R179" s="107">
        <v>2025</v>
      </c>
      <c r="S179" s="107">
        <v>2026</v>
      </c>
      <c r="T179" s="107">
        <v>2027</v>
      </c>
      <c r="U179" s="107">
        <v>2028</v>
      </c>
      <c r="V179" s="107">
        <v>2029</v>
      </c>
      <c r="W179" s="107">
        <v>2030</v>
      </c>
      <c r="X179" s="107">
        <v>2031</v>
      </c>
      <c r="Y179" s="107">
        <v>2032</v>
      </c>
      <c r="Z179" s="107">
        <v>2033</v>
      </c>
      <c r="AA179" s="107">
        <v>2034</v>
      </c>
      <c r="AB179" s="107">
        <v>2035</v>
      </c>
      <c r="AC179" s="107">
        <v>2036</v>
      </c>
      <c r="AD179" s="107">
        <v>2037</v>
      </c>
      <c r="AE179" s="107">
        <v>2038</v>
      </c>
      <c r="AF179" s="107">
        <v>2039</v>
      </c>
      <c r="AG179" s="107">
        <v>2040</v>
      </c>
      <c r="AH179" s="107">
        <v>2041</v>
      </c>
      <c r="AI179" s="107">
        <v>2042</v>
      </c>
      <c r="AJ179" s="107">
        <v>2043</v>
      </c>
      <c r="AK179" s="107">
        <v>2044</v>
      </c>
      <c r="AL179" s="107">
        <v>2045</v>
      </c>
      <c r="AM179" s="107">
        <v>2046</v>
      </c>
      <c r="AN179" s="107">
        <v>2047</v>
      </c>
      <c r="AO179" s="107">
        <v>2048</v>
      </c>
      <c r="AP179" s="107">
        <v>2049</v>
      </c>
      <c r="AQ179" s="107">
        <v>2050</v>
      </c>
    </row>
    <row r="180" spans="7:52" ht="14.1" hidden="1" customHeight="1" x14ac:dyDescent="0.25">
      <c r="G180" s="106"/>
      <c r="H180" s="218"/>
      <c r="J180" s="209" t="s">
        <v>137</v>
      </c>
      <c r="K180" s="119" t="s">
        <v>95</v>
      </c>
      <c r="L180" s="131">
        <f t="shared" ref="L180:AQ180" si="9">(L93)*8760</f>
        <v>3958.3119759195174</v>
      </c>
      <c r="M180" s="131">
        <f t="shared" si="9"/>
        <v>4025.1788477704781</v>
      </c>
      <c r="N180" s="131">
        <f t="shared" si="9"/>
        <v>4072.7533675367058</v>
      </c>
      <c r="O180" s="131">
        <f t="shared" si="9"/>
        <v>4109.7270145097254</v>
      </c>
      <c r="P180" s="131">
        <f t="shared" si="9"/>
        <v>4139.9820492437448</v>
      </c>
      <c r="Q180" s="131">
        <f t="shared" si="9"/>
        <v>4165.5935114348849</v>
      </c>
      <c r="R180" s="131">
        <f t="shared" si="9"/>
        <v>4187.8019265739758</v>
      </c>
      <c r="S180" s="131">
        <f t="shared" si="9"/>
        <v>4207.4084663316698</v>
      </c>
      <c r="T180" s="131">
        <f t="shared" si="9"/>
        <v>4224.960746073526</v>
      </c>
      <c r="U180" s="131">
        <f t="shared" si="9"/>
        <v>4240.8497160603092</v>
      </c>
      <c r="V180" s="131">
        <f t="shared" si="9"/>
        <v>4255.3642726695844</v>
      </c>
      <c r="W180" s="131">
        <f t="shared" si="9"/>
        <v>4268.7239651566169</v>
      </c>
      <c r="X180" s="131">
        <f t="shared" si="9"/>
        <v>4281.0995636793295</v>
      </c>
      <c r="Y180" s="131">
        <f t="shared" si="9"/>
        <v>4292.6265238632213</v>
      </c>
      <c r="Z180" s="131">
        <f t="shared" si="9"/>
        <v>4303.4141029688935</v>
      </c>
      <c r="AA180" s="131">
        <f t="shared" si="9"/>
        <v>4313.5517113141859</v>
      </c>
      <c r="AB180" s="131">
        <f t="shared" si="9"/>
        <v>4323.1134479959392</v>
      </c>
      <c r="AC180" s="131">
        <f t="shared" si="9"/>
        <v>4332.1614103292432</v>
      </c>
      <c r="AD180" s="131">
        <f t="shared" si="9"/>
        <v>4340.7481545832034</v>
      </c>
      <c r="AE180" s="131">
        <f t="shared" si="9"/>
        <v>4348.9185565387243</v>
      </c>
      <c r="AF180" s="131">
        <f t="shared" si="9"/>
        <v>4356.7112394165242</v>
      </c>
      <c r="AG180" s="131">
        <f t="shared" si="9"/>
        <v>4364.159684566308</v>
      </c>
      <c r="AH180" s="131">
        <f t="shared" si="9"/>
        <v>4371.2931059206758</v>
      </c>
      <c r="AI180" s="131">
        <f t="shared" si="9"/>
        <v>4378.1371460658338</v>
      </c>
      <c r="AJ180" s="131">
        <f t="shared" si="9"/>
        <v>4384.7144358967735</v>
      </c>
      <c r="AK180" s="131">
        <f t="shared" si="9"/>
        <v>4391.0450487373491</v>
      </c>
      <c r="AL180" s="131">
        <f t="shared" si="9"/>
        <v>4397.1468719449613</v>
      </c>
      <c r="AM180" s="131">
        <f t="shared" si="9"/>
        <v>4403.035913365793</v>
      </c>
      <c r="AN180" s="131">
        <f t="shared" si="9"/>
        <v>4408.7265558861654</v>
      </c>
      <c r="AO180" s="131">
        <f t="shared" si="9"/>
        <v>4414.231770286201</v>
      </c>
      <c r="AP180" s="131">
        <f t="shared" si="9"/>
        <v>4419.5632943343689</v>
      </c>
      <c r="AQ180" s="131">
        <f t="shared" si="9"/>
        <v>4424.7317843521032</v>
      </c>
    </row>
    <row r="181" spans="7:52" ht="14.1" hidden="1" customHeight="1" x14ac:dyDescent="0.25">
      <c r="G181" s="106"/>
      <c r="H181" s="218"/>
      <c r="J181" s="210"/>
      <c r="K181" s="7" t="s">
        <v>96</v>
      </c>
      <c r="L181" s="132">
        <f t="shared" ref="L181:AQ181" si="10">(L94)*8760</f>
        <v>3939.3516212608633</v>
      </c>
      <c r="M181" s="132">
        <f t="shared" si="10"/>
        <v>3994.8071036392939</v>
      </c>
      <c r="N181" s="132">
        <f t="shared" si="10"/>
        <v>4034.1533945541328</v>
      </c>
      <c r="O181" s="132">
        <f t="shared" si="10"/>
        <v>4064.6727488223787</v>
      </c>
      <c r="P181" s="132">
        <f t="shared" si="10"/>
        <v>4089.6088769325638</v>
      </c>
      <c r="Q181" s="132">
        <f t="shared" si="10"/>
        <v>4110.6920728422429</v>
      </c>
      <c r="R181" s="132">
        <f t="shared" si="10"/>
        <v>4128.9551678474018</v>
      </c>
      <c r="S181" s="132">
        <f t="shared" si="10"/>
        <v>4145.0643593109935</v>
      </c>
      <c r="T181" s="132">
        <f t="shared" si="10"/>
        <v>4159.4745221156481</v>
      </c>
      <c r="U181" s="132">
        <f t="shared" si="10"/>
        <v>4172.5101000012146</v>
      </c>
      <c r="V181" s="132">
        <f t="shared" si="10"/>
        <v>4184.4106502258328</v>
      </c>
      <c r="W181" s="132">
        <f t="shared" si="10"/>
        <v>4195.3580952122147</v>
      </c>
      <c r="X181" s="132">
        <f t="shared" si="10"/>
        <v>4205.4938461355105</v>
      </c>
      <c r="Y181" s="132">
        <f t="shared" si="10"/>
        <v>4214.9300044940774</v>
      </c>
      <c r="Z181" s="132">
        <f t="shared" si="10"/>
        <v>4223.7569411406712</v>
      </c>
      <c r="AA181" s="132">
        <f t="shared" si="10"/>
        <v>4232.0485735884704</v>
      </c>
      <c r="AB181" s="132">
        <f t="shared" si="10"/>
        <v>4239.8661326042629</v>
      </c>
      <c r="AC181" s="132">
        <f t="shared" si="10"/>
        <v>4247.2609090633132</v>
      </c>
      <c r="AD181" s="132">
        <f t="shared" si="10"/>
        <v>4254.2762954089158</v>
      </c>
      <c r="AE181" s="132">
        <f t="shared" si="10"/>
        <v>4260.9493285139433</v>
      </c>
      <c r="AF181" s="132">
        <f t="shared" si="10"/>
        <v>4267.3118732944831</v>
      </c>
      <c r="AG181" s="132">
        <f t="shared" si="10"/>
        <v>4273.3915430037678</v>
      </c>
      <c r="AH181" s="132">
        <f t="shared" si="10"/>
        <v>4279.2124235191013</v>
      </c>
      <c r="AI181" s="132">
        <f t="shared" si="10"/>
        <v>4284.7956496771612</v>
      </c>
      <c r="AJ181" s="132">
        <f t="shared" si="10"/>
        <v>4290.1598685054832</v>
      </c>
      <c r="AK181" s="132">
        <f t="shared" si="10"/>
        <v>4295.321614982694</v>
      </c>
      <c r="AL181" s="132">
        <f t="shared" si="10"/>
        <v>4300.2956194287799</v>
      </c>
      <c r="AM181" s="132">
        <f t="shared" si="10"/>
        <v>4305.0950609306874</v>
      </c>
      <c r="AN181" s="132">
        <f t="shared" si="10"/>
        <v>4309.7317777873477</v>
      </c>
      <c r="AO181" s="132">
        <f t="shared" si="10"/>
        <v>4314.2164434352408</v>
      </c>
      <c r="AP181" s="132">
        <f t="shared" si="10"/>
        <v>4318.5587144339397</v>
      </c>
      <c r="AQ181" s="132">
        <f t="shared" si="10"/>
        <v>4322.7673556729142</v>
      </c>
    </row>
    <row r="182" spans="7:52" ht="14.1" hidden="1" customHeight="1" thickBot="1" x14ac:dyDescent="0.3">
      <c r="G182" s="106"/>
      <c r="H182" s="218"/>
      <c r="J182" s="210"/>
      <c r="K182" s="121" t="s">
        <v>97</v>
      </c>
      <c r="L182" s="133">
        <f t="shared" ref="L182:AQ182" si="11">(L95)*8760</f>
        <v>3891.9507346142295</v>
      </c>
      <c r="M182" s="133">
        <f t="shared" si="11"/>
        <v>3919.344837265066</v>
      </c>
      <c r="N182" s="133">
        <f t="shared" si="11"/>
        <v>3938.6463552309924</v>
      </c>
      <c r="O182" s="133">
        <f t="shared" si="11"/>
        <v>3953.544765342876</v>
      </c>
      <c r="P182" s="133">
        <f t="shared" si="11"/>
        <v>3965.6719530465475</v>
      </c>
      <c r="Q182" s="133">
        <f t="shared" si="11"/>
        <v>3975.8940844551512</v>
      </c>
      <c r="R182" s="133">
        <f t="shared" si="11"/>
        <v>3984.7261898656466</v>
      </c>
      <c r="S182" s="133">
        <f t="shared" si="11"/>
        <v>3992.4994296458208</v>
      </c>
      <c r="T182" s="133">
        <f t="shared" si="11"/>
        <v>3999.4393178829541</v>
      </c>
      <c r="U182" s="133">
        <f t="shared" si="11"/>
        <v>4005.7063358018845</v>
      </c>
      <c r="V182" s="133">
        <f t="shared" si="11"/>
        <v>4011.4187377244416</v>
      </c>
      <c r="W182" s="133">
        <f t="shared" si="11"/>
        <v>4016.6661655726389</v>
      </c>
      <c r="X182" s="133">
        <f t="shared" si="11"/>
        <v>4021.5181861716355</v>
      </c>
      <c r="Y182" s="133">
        <f t="shared" si="11"/>
        <v>4026.0298658738243</v>
      </c>
      <c r="Z182" s="133">
        <f t="shared" si="11"/>
        <v>4030.2455361845377</v>
      </c>
      <c r="AA182" s="133">
        <f t="shared" si="11"/>
        <v>4034.2014118570846</v>
      </c>
      <c r="AB182" s="133">
        <f t="shared" si="11"/>
        <v>4037.9274569473519</v>
      </c>
      <c r="AC182" s="133">
        <f t="shared" si="11"/>
        <v>4041.4487439370955</v>
      </c>
      <c r="AD182" s="133">
        <f t="shared" si="11"/>
        <v>4044.7864626388318</v>
      </c>
      <c r="AE182" s="133">
        <f t="shared" si="11"/>
        <v>4047.9586818476641</v>
      </c>
      <c r="AF182" s="133">
        <f t="shared" si="11"/>
        <v>4050.9809330406883</v>
      </c>
      <c r="AG182" s="133">
        <f t="shared" si="11"/>
        <v>4053.866663777364</v>
      </c>
      <c r="AH182" s="133">
        <f t="shared" si="11"/>
        <v>4056.6275942043426</v>
      </c>
      <c r="AI182" s="133">
        <f t="shared" si="11"/>
        <v>4059.2740004884736</v>
      </c>
      <c r="AJ182" s="133">
        <f t="shared" si="11"/>
        <v>4061.8149424379894</v>
      </c>
      <c r="AK182" s="133">
        <f t="shared" si="11"/>
        <v>4064.2584479963871</v>
      </c>
      <c r="AL182" s="133">
        <f t="shared" si="11"/>
        <v>4066.6116640535806</v>
      </c>
      <c r="AM182" s="133">
        <f t="shared" si="11"/>
        <v>4068.880980691305</v>
      </c>
      <c r="AN182" s="133">
        <f t="shared" si="11"/>
        <v>4071.0721342853481</v>
      </c>
      <c r="AO182" s="133">
        <f t="shared" si="11"/>
        <v>4073.1902936386546</v>
      </c>
      <c r="AP182" s="133">
        <f t="shared" si="11"/>
        <v>4075.2401323887657</v>
      </c>
      <c r="AQ182" s="133">
        <f t="shared" si="11"/>
        <v>4077.2258902322997</v>
      </c>
    </row>
    <row r="183" spans="7:52" ht="14.1" hidden="1" customHeight="1" thickTop="1" x14ac:dyDescent="0.25">
      <c r="G183" s="106"/>
      <c r="H183" s="218"/>
      <c r="J183" s="210"/>
      <c r="K183" s="119" t="s">
        <v>98</v>
      </c>
      <c r="L183" s="134">
        <f t="shared" ref="L183:AQ183" si="12">(L96)*8760</f>
        <v>3857.3992708545784</v>
      </c>
      <c r="M183" s="134">
        <f t="shared" si="12"/>
        <v>3922.5614471285453</v>
      </c>
      <c r="N183" s="134">
        <f t="shared" si="12"/>
        <v>3968.9231081026969</v>
      </c>
      <c r="O183" s="134">
        <f t="shared" si="12"/>
        <v>4004.9541535943622</v>
      </c>
      <c r="P183" s="134">
        <f t="shared" si="12"/>
        <v>4034.4378702980143</v>
      </c>
      <c r="Q183" s="134">
        <f t="shared" si="12"/>
        <v>4059.3963971101093</v>
      </c>
      <c r="R183" s="134">
        <f t="shared" si="12"/>
        <v>4081.0386337214527</v>
      </c>
      <c r="S183" s="134">
        <f t="shared" si="12"/>
        <v>4100.1453268334171</v>
      </c>
      <c r="T183" s="134">
        <f t="shared" si="12"/>
        <v>4117.2501309746685</v>
      </c>
      <c r="U183" s="134">
        <f t="shared" si="12"/>
        <v>4132.7340295694503</v>
      </c>
      <c r="V183" s="134">
        <f t="shared" si="12"/>
        <v>4146.8785539076025</v>
      </c>
      <c r="W183" s="134">
        <f t="shared" si="12"/>
        <v>4159.8976560834362</v>
      </c>
      <c r="X183" s="134">
        <f t="shared" si="12"/>
        <v>4171.9577526620578</v>
      </c>
      <c r="Y183" s="134">
        <f t="shared" si="12"/>
        <v>4183.1908459803735</v>
      </c>
      <c r="Z183" s="134">
        <f t="shared" si="12"/>
        <v>4193.7034079081986</v>
      </c>
      <c r="AA183" s="134">
        <f t="shared" si="12"/>
        <v>4203.5825693480328</v>
      </c>
      <c r="AB183" s="134">
        <f t="shared" si="12"/>
        <v>4212.9005403237134</v>
      </c>
      <c r="AC183" s="134">
        <f t="shared" si="12"/>
        <v>4221.717835049225</v>
      </c>
      <c r="AD183" s="134">
        <f t="shared" si="12"/>
        <v>4230.0856699307951</v>
      </c>
      <c r="AE183" s="134">
        <f t="shared" si="12"/>
        <v>4238.0477766918457</v>
      </c>
      <c r="AF183" s="134">
        <f t="shared" si="12"/>
        <v>4245.6417938975874</v>
      </c>
      <c r="AG183" s="134">
        <f t="shared" si="12"/>
        <v>4252.900349328429</v>
      </c>
      <c r="AH183" s="134">
        <f t="shared" si="12"/>
        <v>4259.8519121406671</v>
      </c>
      <c r="AI183" s="134">
        <f t="shared" si="12"/>
        <v>4266.521471191656</v>
      </c>
      <c r="AJ183" s="134">
        <f t="shared" si="12"/>
        <v>4272.9310804272118</v>
      </c>
      <c r="AK183" s="134">
        <f t="shared" si="12"/>
        <v>4279.1003014244088</v>
      </c>
      <c r="AL183" s="134">
        <f t="shared" si="12"/>
        <v>4285.0465655226189</v>
      </c>
      <c r="AM183" s="134">
        <f t="shared" si="12"/>
        <v>4290.7854724660192</v>
      </c>
      <c r="AN183" s="134">
        <f t="shared" si="12"/>
        <v>4296.3310384654442</v>
      </c>
      <c r="AO183" s="134">
        <f t="shared" si="12"/>
        <v>4301.6959036255894</v>
      </c>
      <c r="AP183" s="134">
        <f t="shared" si="12"/>
        <v>4306.8915064737375</v>
      </c>
      <c r="AQ183" s="134">
        <f t="shared" si="12"/>
        <v>4311.9282316604122</v>
      </c>
    </row>
    <row r="184" spans="7:52" ht="14.1" hidden="1" customHeight="1" x14ac:dyDescent="0.25">
      <c r="G184" s="106"/>
      <c r="H184" s="218"/>
      <c r="J184" s="210"/>
      <c r="K184" s="7" t="s">
        <v>99</v>
      </c>
      <c r="L184" s="135">
        <f t="shared" ref="L184:AQ184" si="13">(L97)*8760</f>
        <v>3838.9222890804358</v>
      </c>
      <c r="M184" s="135">
        <f t="shared" si="13"/>
        <v>3892.963996402344</v>
      </c>
      <c r="N184" s="135">
        <f t="shared" si="13"/>
        <v>3931.3071979511492</v>
      </c>
      <c r="O184" s="135">
        <f t="shared" si="13"/>
        <v>3961.0484956602404</v>
      </c>
      <c r="P184" s="135">
        <f t="shared" si="13"/>
        <v>3985.3489052730579</v>
      </c>
      <c r="Q184" s="135">
        <f t="shared" si="13"/>
        <v>4005.8946088517623</v>
      </c>
      <c r="R184" s="135">
        <f t="shared" si="13"/>
        <v>4023.6921068218617</v>
      </c>
      <c r="S184" s="135">
        <f t="shared" si="13"/>
        <v>4039.3906125949652</v>
      </c>
      <c r="T184" s="135">
        <f t="shared" si="13"/>
        <v>4053.4334045309533</v>
      </c>
      <c r="U184" s="135">
        <f t="shared" si="13"/>
        <v>4066.1366550419925</v>
      </c>
      <c r="V184" s="135">
        <f t="shared" si="13"/>
        <v>4077.7338141437699</v>
      </c>
      <c r="W184" s="135">
        <f t="shared" si="13"/>
        <v>4088.4021663517542</v>
      </c>
      <c r="X184" s="135">
        <f t="shared" si="13"/>
        <v>4098.2795177224743</v>
      </c>
      <c r="Y184" s="135">
        <f t="shared" si="13"/>
        <v>4107.4751118528611</v>
      </c>
      <c r="Z184" s="135">
        <f t="shared" si="13"/>
        <v>4116.0770156925746</v>
      </c>
      <c r="AA184" s="135">
        <f t="shared" si="13"/>
        <v>4124.1572623110605</v>
      </c>
      <c r="AB184" s="135">
        <f t="shared" si="13"/>
        <v>4131.775521465679</v>
      </c>
      <c r="AC184" s="135">
        <f t="shared" si="13"/>
        <v>4138.9817764286036</v>
      </c>
      <c r="AD184" s="135">
        <f t="shared" si="13"/>
        <v>4145.8183134016654</v>
      </c>
      <c r="AE184" s="135">
        <f t="shared" si="13"/>
        <v>4152.3212250443839</v>
      </c>
      <c r="AF184" s="135">
        <f t="shared" si="13"/>
        <v>4158.5215639127055</v>
      </c>
      <c r="AG184" s="135">
        <f t="shared" si="13"/>
        <v>4164.4462392910737</v>
      </c>
      <c r="AH184" s="135">
        <f t="shared" si="13"/>
        <v>4170.1187230144833</v>
      </c>
      <c r="AI184" s="135">
        <f t="shared" si="13"/>
        <v>4175.5596111107561</v>
      </c>
      <c r="AJ184" s="135">
        <f t="shared" si="13"/>
        <v>4180.7870752224662</v>
      </c>
      <c r="AK184" s="135">
        <f t="shared" si="13"/>
        <v>4185.8172287875859</v>
      </c>
      <c r="AL184" s="135">
        <f t="shared" si="13"/>
        <v>4190.6644265931873</v>
      </c>
      <c r="AM184" s="135">
        <f t="shared" si="13"/>
        <v>4195.3415117402383</v>
      </c>
      <c r="AN184" s="135">
        <f t="shared" si="13"/>
        <v>4199.8600207235731</v>
      </c>
      <c r="AO184" s="135">
        <f t="shared" si="13"/>
        <v>4204.2303548724358</v>
      </c>
      <c r="AP184" s="135">
        <f t="shared" si="13"/>
        <v>4208.4619245632866</v>
      </c>
      <c r="AQ184" s="135">
        <f t="shared" si="13"/>
        <v>4212.5632712346132</v>
      </c>
    </row>
    <row r="185" spans="7:52" ht="14.1" hidden="1" customHeight="1" thickBot="1" x14ac:dyDescent="0.3">
      <c r="G185" s="106"/>
      <c r="H185" s="218"/>
      <c r="J185" s="210"/>
      <c r="K185" s="121" t="s">
        <v>100</v>
      </c>
      <c r="L185" s="133">
        <f t="shared" ref="L185:AQ185" si="14">(L98)*8760</f>
        <v>3792.7298346450793</v>
      </c>
      <c r="M185" s="133">
        <f t="shared" si="14"/>
        <v>3819.425555506371</v>
      </c>
      <c r="N185" s="133">
        <f t="shared" si="14"/>
        <v>3838.2350030135635</v>
      </c>
      <c r="O185" s="133">
        <f t="shared" si="14"/>
        <v>3852.7535949416601</v>
      </c>
      <c r="P185" s="133">
        <f t="shared" si="14"/>
        <v>3864.5716136552537</v>
      </c>
      <c r="Q185" s="133">
        <f t="shared" si="14"/>
        <v>3874.5331433381098</v>
      </c>
      <c r="R185" s="133">
        <f t="shared" si="14"/>
        <v>3883.1400841699124</v>
      </c>
      <c r="S185" s="133">
        <f t="shared" si="14"/>
        <v>3890.7151539579008</v>
      </c>
      <c r="T185" s="133">
        <f t="shared" si="14"/>
        <v>3897.4781175617259</v>
      </c>
      <c r="U185" s="133">
        <f t="shared" si="14"/>
        <v>3903.5853649181699</v>
      </c>
      <c r="V185" s="133">
        <f t="shared" si="14"/>
        <v>3909.1521355883319</v>
      </c>
      <c r="W185" s="133">
        <f t="shared" si="14"/>
        <v>3914.2657861743996</v>
      </c>
      <c r="X185" s="133">
        <f t="shared" si="14"/>
        <v>3918.9941099736861</v>
      </c>
      <c r="Y185" s="133">
        <f t="shared" si="14"/>
        <v>3923.3907694839586</v>
      </c>
      <c r="Z185" s="133">
        <f t="shared" si="14"/>
        <v>3927.4989660287574</v>
      </c>
      <c r="AA185" s="133">
        <f t="shared" si="14"/>
        <v>3931.3539911070502</v>
      </c>
      <c r="AB185" s="133">
        <f t="shared" si="14"/>
        <v>3934.9850448748698</v>
      </c>
      <c r="AC185" s="133">
        <f t="shared" si="14"/>
        <v>3938.4165606192933</v>
      </c>
      <c r="AD185" s="133">
        <f t="shared" si="14"/>
        <v>3941.6691879424343</v>
      </c>
      <c r="AE185" s="133">
        <f t="shared" si="14"/>
        <v>3944.7605349958199</v>
      </c>
      <c r="AF185" s="133">
        <f t="shared" si="14"/>
        <v>3947.705737299033</v>
      </c>
      <c r="AG185" s="133">
        <f t="shared" si="14"/>
        <v>3950.5178995811502</v>
      </c>
      <c r="AH185" s="133">
        <f t="shared" si="14"/>
        <v>3953.2084431968874</v>
      </c>
      <c r="AI185" s="133">
        <f t="shared" si="14"/>
        <v>3955.7873823337954</v>
      </c>
      <c r="AJ185" s="133">
        <f t="shared" si="14"/>
        <v>3958.2635458305017</v>
      </c>
      <c r="AK185" s="133">
        <f t="shared" si="14"/>
        <v>3960.6447569671259</v>
      </c>
      <c r="AL185" s="133">
        <f t="shared" si="14"/>
        <v>3962.9379804316741</v>
      </c>
      <c r="AM185" s="133">
        <f t="shared" si="14"/>
        <v>3965.1494433979456</v>
      </c>
      <c r="AN185" s="133">
        <f t="shared" si="14"/>
        <v>3967.2847359992898</v>
      </c>
      <c r="AO185" s="133">
        <f t="shared" si="14"/>
        <v>3969.3488952658417</v>
      </c>
      <c r="AP185" s="133">
        <f t="shared" si="14"/>
        <v>3971.3464756860189</v>
      </c>
      <c r="AQ185" s="133">
        <f t="shared" si="14"/>
        <v>3973.2816088701484</v>
      </c>
      <c r="AR185" s="126"/>
      <c r="AS185" s="126"/>
      <c r="AT185" s="126"/>
      <c r="AU185" s="126"/>
      <c r="AV185" s="126"/>
      <c r="AW185" s="126"/>
      <c r="AX185" s="126"/>
      <c r="AY185" s="126"/>
      <c r="AZ185" s="126"/>
    </row>
    <row r="186" spans="7:52" ht="14.1" hidden="1" customHeight="1" thickTop="1" x14ac:dyDescent="0.25">
      <c r="G186" s="106"/>
      <c r="H186" s="218"/>
      <c r="J186" s="210"/>
      <c r="K186" s="119" t="s">
        <v>101</v>
      </c>
      <c r="L186" s="134">
        <f t="shared" ref="L186:AQ186" si="15">(L99)*8760</f>
        <v>3886.2327215736859</v>
      </c>
      <c r="M186" s="134">
        <f t="shared" si="15"/>
        <v>3951.8819748304636</v>
      </c>
      <c r="N186" s="134">
        <f t="shared" si="15"/>
        <v>3998.59018190293</v>
      </c>
      <c r="O186" s="134">
        <f t="shared" si="15"/>
        <v>4034.8905537727046</v>
      </c>
      <c r="P186" s="134">
        <f t="shared" si="15"/>
        <v>4064.5946566051703</v>
      </c>
      <c r="Q186" s="134">
        <f t="shared" si="15"/>
        <v>4089.7397444658704</v>
      </c>
      <c r="R186" s="134">
        <f t="shared" si="15"/>
        <v>4111.5437533799932</v>
      </c>
      <c r="S186" s="134">
        <f t="shared" si="15"/>
        <v>4130.7932660072747</v>
      </c>
      <c r="T186" s="134">
        <f t="shared" si="15"/>
        <v>4148.0259258597534</v>
      </c>
      <c r="U186" s="134">
        <f t="shared" si="15"/>
        <v>4163.6255641526386</v>
      </c>
      <c r="V186" s="134">
        <f t="shared" si="15"/>
        <v>4177.8758165777263</v>
      </c>
      <c r="W186" s="134">
        <f t="shared" si="15"/>
        <v>4190.9922344874612</v>
      </c>
      <c r="X186" s="134">
        <f t="shared" si="15"/>
        <v>4203.1424783845086</v>
      </c>
      <c r="Y186" s="134">
        <f t="shared" si="15"/>
        <v>4214.4595373024094</v>
      </c>
      <c r="Z186" s="134">
        <f t="shared" si="15"/>
        <v>4225.0506789714</v>
      </c>
      <c r="AA186" s="134">
        <f t="shared" si="15"/>
        <v>4235.0036855837252</v>
      </c>
      <c r="AB186" s="134">
        <f t="shared" si="15"/>
        <v>4244.3913069217515</v>
      </c>
      <c r="AC186" s="134">
        <f t="shared" si="15"/>
        <v>4253.2745095336641</v>
      </c>
      <c r="AD186" s="134">
        <f t="shared" si="15"/>
        <v>4261.7048926602411</v>
      </c>
      <c r="AE186" s="134">
        <f t="shared" si="15"/>
        <v>4269.726514912636</v>
      </c>
      <c r="AF186" s="134">
        <f t="shared" si="15"/>
        <v>4277.3772961983932</v>
      </c>
      <c r="AG186" s="134">
        <f t="shared" si="15"/>
        <v>4284.6901081854303</v>
      </c>
      <c r="AH186" s="134">
        <f t="shared" si="15"/>
        <v>4291.6936328324928</v>
      </c>
      <c r="AI186" s="134">
        <f t="shared" si="15"/>
        <v>4298.4130457847023</v>
      </c>
      <c r="AJ186" s="134">
        <f t="shared" si="15"/>
        <v>4304.8705658376375</v>
      </c>
      <c r="AK186" s="134">
        <f t="shared" si="15"/>
        <v>4311.0859007880717</v>
      </c>
      <c r="AL186" s="134">
        <f t="shared" si="15"/>
        <v>4317.0766122718915</v>
      </c>
      <c r="AM186" s="134">
        <f t="shared" si="15"/>
        <v>4322.8584166388964</v>
      </c>
      <c r="AN186" s="134">
        <f t="shared" si="15"/>
        <v>4328.445434868886</v>
      </c>
      <c r="AO186" s="134">
        <f t="shared" si="15"/>
        <v>4333.8504015493418</v>
      </c>
      <c r="AP186" s="134">
        <f t="shared" si="15"/>
        <v>4339.084840708736</v>
      </c>
      <c r="AQ186" s="134">
        <f t="shared" si="15"/>
        <v>4344.1592146212124</v>
      </c>
      <c r="AR186" s="127"/>
      <c r="AS186" s="127"/>
      <c r="AT186" s="127"/>
      <c r="AU186" s="127"/>
      <c r="AV186" s="127"/>
      <c r="AW186" s="127"/>
      <c r="AX186" s="127"/>
      <c r="AY186" s="127"/>
      <c r="AZ186" s="127"/>
    </row>
    <row r="187" spans="7:52" ht="14.1" hidden="1" customHeight="1" x14ac:dyDescent="0.25">
      <c r="G187" s="106"/>
      <c r="H187" s="218"/>
      <c r="J187" s="210"/>
      <c r="K187" s="7" t="s">
        <v>102</v>
      </c>
      <c r="L187" s="136">
        <f t="shared" ref="L187:AP187" si="16">(L100)*8760</f>
        <v>3867.6176272770863</v>
      </c>
      <c r="M187" s="136">
        <f t="shared" si="16"/>
        <v>3922.0632878315823</v>
      </c>
      <c r="N187" s="136">
        <f t="shared" si="16"/>
        <v>3960.6930987600858</v>
      </c>
      <c r="O187" s="136">
        <f t="shared" si="16"/>
        <v>3990.6567079753509</v>
      </c>
      <c r="P187" s="136">
        <f t="shared" si="16"/>
        <v>4015.1387593145819</v>
      </c>
      <c r="Q187" s="136">
        <f t="shared" si="16"/>
        <v>4035.8380387847178</v>
      </c>
      <c r="R187" s="136">
        <f t="shared" si="16"/>
        <v>4053.7685702430854</v>
      </c>
      <c r="S187" s="136">
        <f t="shared" si="16"/>
        <v>4069.5844198690775</v>
      </c>
      <c r="T187" s="136">
        <f t="shared" si="16"/>
        <v>4083.7321794583504</v>
      </c>
      <c r="U187" s="136">
        <f t="shared" si="16"/>
        <v>4096.5303847619489</v>
      </c>
      <c r="V187" s="136">
        <f t="shared" si="16"/>
        <v>4108.214230797581</v>
      </c>
      <c r="W187" s="136">
        <f t="shared" si="16"/>
        <v>4118.9623272544859</v>
      </c>
      <c r="X187" s="136">
        <f t="shared" si="16"/>
        <v>4128.9135102677164</v>
      </c>
      <c r="Y187" s="136">
        <f t="shared" si="16"/>
        <v>4138.1778400128451</v>
      </c>
      <c r="Z187" s="136">
        <f t="shared" si="16"/>
        <v>4146.8440417260845</v>
      </c>
      <c r="AA187" s="136">
        <f t="shared" si="16"/>
        <v>4154.9846869127023</v>
      </c>
      <c r="AB187" s="136">
        <f t="shared" si="16"/>
        <v>4162.6598913520775</v>
      </c>
      <c r="AC187" s="136">
        <f t="shared" si="16"/>
        <v>4169.9200119334537</v>
      </c>
      <c r="AD187" s="136">
        <f t="shared" si="16"/>
        <v>4176.8076509413495</v>
      </c>
      <c r="AE187" s="136">
        <f t="shared" si="16"/>
        <v>4183.3591708222129</v>
      </c>
      <c r="AF187" s="136">
        <f t="shared" si="16"/>
        <v>4189.605856244948</v>
      </c>
      <c r="AG187" s="136">
        <f t="shared" si="16"/>
        <v>4195.5748176366515</v>
      </c>
      <c r="AH187" s="136">
        <f t="shared" si="16"/>
        <v>4201.2897022805801</v>
      </c>
      <c r="AI187" s="136">
        <f t="shared" si="16"/>
        <v>4206.7712601566136</v>
      </c>
      <c r="AJ187" s="136">
        <f t="shared" si="16"/>
        <v>4212.037798737485</v>
      </c>
      <c r="AK187" s="136">
        <f t="shared" si="16"/>
        <v>4217.1055519065731</v>
      </c>
      <c r="AL187" s="136">
        <f t="shared" si="16"/>
        <v>4221.9889817507155</v>
      </c>
      <c r="AM187" s="136">
        <f t="shared" si="16"/>
        <v>4226.7010273710357</v>
      </c>
      <c r="AN187" s="136">
        <f t="shared" si="16"/>
        <v>4231.2533114958451</v>
      </c>
      <c r="AO187" s="136">
        <f t="shared" si="16"/>
        <v>4235.6563132026813</v>
      </c>
      <c r="AP187" s="136">
        <f t="shared" si="16"/>
        <v>4239.9195132090836</v>
      </c>
      <c r="AQ187" s="136">
        <f t="shared" ref="AQ187" si="17">(AQ100)*8760</f>
        <v>4244.0515167994454</v>
      </c>
    </row>
    <row r="188" spans="7:52" ht="14.1" hidden="1" customHeight="1" thickBot="1" x14ac:dyDescent="0.3">
      <c r="G188" s="106"/>
      <c r="H188" s="218"/>
      <c r="J188" s="210"/>
      <c r="K188" s="121" t="s">
        <v>103</v>
      </c>
      <c r="L188" s="133">
        <f t="shared" ref="L188:AP188" si="18">(L101)*8760</f>
        <v>3821.0798915355867</v>
      </c>
      <c r="M188" s="133">
        <f t="shared" si="18"/>
        <v>3847.9751586968118</v>
      </c>
      <c r="N188" s="133">
        <f t="shared" si="18"/>
        <v>3866.9252038553414</v>
      </c>
      <c r="O188" s="133">
        <f t="shared" si="18"/>
        <v>3881.5523199665663</v>
      </c>
      <c r="P188" s="133">
        <f t="shared" si="18"/>
        <v>3893.4586765047534</v>
      </c>
      <c r="Q188" s="133">
        <f t="shared" si="18"/>
        <v>3903.4946670497166</v>
      </c>
      <c r="R188" s="133">
        <f t="shared" si="18"/>
        <v>3912.1659434057647</v>
      </c>
      <c r="S188" s="133">
        <f t="shared" si="18"/>
        <v>3919.7976356448116</v>
      </c>
      <c r="T188" s="133">
        <f t="shared" si="18"/>
        <v>3926.6111513341471</v>
      </c>
      <c r="U188" s="133">
        <f t="shared" si="18"/>
        <v>3932.7640494006455</v>
      </c>
      <c r="V188" s="133">
        <f t="shared" si="18"/>
        <v>3938.3724308029396</v>
      </c>
      <c r="W188" s="133">
        <f t="shared" si="18"/>
        <v>3943.5243051200277</v>
      </c>
      <c r="X188" s="133">
        <f t="shared" si="18"/>
        <v>3948.2879723934216</v>
      </c>
      <c r="Y188" s="133">
        <f t="shared" si="18"/>
        <v>3952.7174962395884</v>
      </c>
      <c r="Z188" s="133">
        <f t="shared" si="18"/>
        <v>3956.8564009051447</v>
      </c>
      <c r="AA188" s="133">
        <f t="shared" si="18"/>
        <v>3960.7402416874415</v>
      </c>
      <c r="AB188" s="133">
        <f t="shared" si="18"/>
        <v>3964.3984370090707</v>
      </c>
      <c r="AC188" s="133">
        <f t="shared" si="18"/>
        <v>3967.8556027920717</v>
      </c>
      <c r="AD188" s="133">
        <f t="shared" si="18"/>
        <v>3971.1325429910771</v>
      </c>
      <c r="AE188" s="133">
        <f t="shared" si="18"/>
        <v>3974.2469973757661</v>
      </c>
      <c r="AF188" s="133">
        <f t="shared" si="18"/>
        <v>3977.2142146013402</v>
      </c>
      <c r="AG188" s="133">
        <f t="shared" si="18"/>
        <v>3980.0473973526605</v>
      </c>
      <c r="AH188" s="133">
        <f t="shared" si="18"/>
        <v>3982.7580523572651</v>
      </c>
      <c r="AI188" s="133">
        <f t="shared" si="18"/>
        <v>3985.3562686571768</v>
      </c>
      <c r="AJ188" s="133">
        <f t="shared" si="18"/>
        <v>3987.8509410851966</v>
      </c>
      <c r="AK188" s="133">
        <f t="shared" si="18"/>
        <v>3990.2499513992298</v>
      </c>
      <c r="AL188" s="133">
        <f t="shared" si="18"/>
        <v>3992.5603163472256</v>
      </c>
      <c r="AM188" s="133">
        <f t="shared" si="18"/>
        <v>3994.7883096501255</v>
      </c>
      <c r="AN188" s="133">
        <f t="shared" si="18"/>
        <v>3996.9395632266419</v>
      </c>
      <c r="AO188" s="133">
        <f t="shared" si="18"/>
        <v>3999.019151757916</v>
      </c>
      <c r="AP188" s="133">
        <f t="shared" si="18"/>
        <v>4001.0316637764467</v>
      </c>
      <c r="AQ188" s="133">
        <f t="shared" ref="AQ188:AQ194" si="19">(AQ101)*8760</f>
        <v>4002.9812617756979</v>
      </c>
    </row>
    <row r="189" spans="7:52" ht="14.1" hidden="1" customHeight="1" thickTop="1" x14ac:dyDescent="0.25">
      <c r="G189" s="106"/>
      <c r="H189" s="218"/>
      <c r="J189" s="210"/>
      <c r="K189" s="119" t="s">
        <v>104</v>
      </c>
      <c r="L189" s="134">
        <f t="shared" ref="L189:AP189" si="20">(L102)*8760</f>
        <v>3868.5541203945909</v>
      </c>
      <c r="M189" s="134">
        <f t="shared" si="20"/>
        <v>3933.9047330270982</v>
      </c>
      <c r="N189" s="134">
        <f t="shared" si="20"/>
        <v>3980.4004629208189</v>
      </c>
      <c r="O189" s="134">
        <f t="shared" si="20"/>
        <v>4016.5357031984026</v>
      </c>
      <c r="P189" s="134">
        <f t="shared" si="20"/>
        <v>4046.1046810846851</v>
      </c>
      <c r="Q189" s="134">
        <f t="shared" si="20"/>
        <v>4071.1353831090878</v>
      </c>
      <c r="R189" s="134">
        <f t="shared" si="20"/>
        <v>4092.8402048655403</v>
      </c>
      <c r="S189" s="134">
        <f t="shared" si="20"/>
        <v>4112.0021508232448</v>
      </c>
      <c r="T189" s="134">
        <f t="shared" si="20"/>
        <v>4129.1564187361237</v>
      </c>
      <c r="U189" s="134">
        <f t="shared" si="20"/>
        <v>4144.6850937584904</v>
      </c>
      <c r="V189" s="134">
        <f t="shared" si="20"/>
        <v>4158.8705213139992</v>
      </c>
      <c r="W189" s="134">
        <f t="shared" si="20"/>
        <v>4171.9272722048654</v>
      </c>
      <c r="X189" s="134">
        <f t="shared" si="20"/>
        <v>4184.0222442405829</v>
      </c>
      <c r="Y189" s="134">
        <f t="shared" si="20"/>
        <v>4195.2878214831799</v>
      </c>
      <c r="Z189" s="134">
        <f t="shared" si="20"/>
        <v>4205.8307836984395</v>
      </c>
      <c r="AA189" s="134">
        <f t="shared" si="20"/>
        <v>4215.7385137545116</v>
      </c>
      <c r="AB189" s="134">
        <f t="shared" si="20"/>
        <v>4225.0834304925957</v>
      </c>
      <c r="AC189" s="134">
        <f t="shared" si="20"/>
        <v>4233.9262231220337</v>
      </c>
      <c r="AD189" s="134">
        <f t="shared" si="20"/>
        <v>4242.318256156952</v>
      </c>
      <c r="AE189" s="134">
        <f t="shared" si="20"/>
        <v>4250.3033877844236</v>
      </c>
      <c r="AF189" s="134">
        <f t="shared" si="20"/>
        <v>4257.9193654130786</v>
      </c>
      <c r="AG189" s="134">
        <f t="shared" si="20"/>
        <v>4265.1989111765306</v>
      </c>
      <c r="AH189" s="134">
        <f t="shared" si="20"/>
        <v>4272.1705765583483</v>
      </c>
      <c r="AI189" s="134">
        <f t="shared" si="20"/>
        <v>4278.8594226788073</v>
      </c>
      <c r="AJ189" s="134">
        <f t="shared" si="20"/>
        <v>4285.2875672594537</v>
      </c>
      <c r="AK189" s="134">
        <f t="shared" si="20"/>
        <v>4291.4746284456405</v>
      </c>
      <c r="AL189" s="134">
        <f t="shared" si="20"/>
        <v>4297.4380879847904</v>
      </c>
      <c r="AM189" s="134">
        <f t="shared" si="20"/>
        <v>4303.1935907325087</v>
      </c>
      <c r="AN189" s="134">
        <f t="shared" si="20"/>
        <v>4308.7551934317917</v>
      </c>
      <c r="AO189" s="134">
        <f t="shared" si="20"/>
        <v>4314.1355727400614</v>
      </c>
      <c r="AP189" s="134">
        <f t="shared" si="20"/>
        <v>4319.3462002626002</v>
      </c>
      <c r="AQ189" s="134">
        <f t="shared" si="19"/>
        <v>4324.3974906803251</v>
      </c>
    </row>
    <row r="190" spans="7:52" ht="14.1" hidden="1" customHeight="1" x14ac:dyDescent="0.25">
      <c r="G190" s="106"/>
      <c r="H190" s="218"/>
      <c r="J190" s="210"/>
      <c r="K190" s="7" t="s">
        <v>105</v>
      </c>
      <c r="L190" s="132">
        <f t="shared" ref="L190:AP190" si="21">(L103)*8760</f>
        <v>3850.0237067775997</v>
      </c>
      <c r="M190" s="132">
        <f t="shared" si="21"/>
        <v>3904.2216922215621</v>
      </c>
      <c r="N190" s="132">
        <f t="shared" si="21"/>
        <v>3942.6757748625555</v>
      </c>
      <c r="O190" s="132">
        <f t="shared" si="21"/>
        <v>3972.5030786285192</v>
      </c>
      <c r="P190" s="132">
        <f t="shared" si="21"/>
        <v>3996.8737603065179</v>
      </c>
      <c r="Q190" s="132">
        <f t="shared" si="21"/>
        <v>4017.4788780697604</v>
      </c>
      <c r="R190" s="132">
        <f t="shared" si="21"/>
        <v>4035.3278429475108</v>
      </c>
      <c r="S190" s="132">
        <f t="shared" si="21"/>
        <v>4051.0717457504797</v>
      </c>
      <c r="T190" s="132">
        <f t="shared" si="21"/>
        <v>4065.155146713475</v>
      </c>
      <c r="U190" s="132">
        <f t="shared" si="21"/>
        <v>4077.8951325578751</v>
      </c>
      <c r="V190" s="132">
        <f t="shared" si="21"/>
        <v>4089.5258283914727</v>
      </c>
      <c r="W190" s="132">
        <f t="shared" si="21"/>
        <v>4100.2250314021258</v>
      </c>
      <c r="X190" s="132">
        <f t="shared" si="21"/>
        <v>4110.1309461547153</v>
      </c>
      <c r="Y190" s="132">
        <f t="shared" si="21"/>
        <v>4119.3531321574364</v>
      </c>
      <c r="Z190" s="132">
        <f t="shared" si="21"/>
        <v>4127.9799110324657</v>
      </c>
      <c r="AA190" s="132">
        <f t="shared" si="21"/>
        <v>4136.0835241548957</v>
      </c>
      <c r="AB190" s="132">
        <f t="shared" si="21"/>
        <v>4143.723813835436</v>
      </c>
      <c r="AC190" s="132">
        <f t="shared" si="21"/>
        <v>4150.9509078881756</v>
      </c>
      <c r="AD190" s="132">
        <f t="shared" si="21"/>
        <v>4157.8072147984303</v>
      </c>
      <c r="AE190" s="132">
        <f t="shared" si="21"/>
        <v>4164.3289315986785</v>
      </c>
      <c r="AF190" s="132">
        <f t="shared" si="21"/>
        <v>4170.5472006428308</v>
      </c>
      <c r="AG190" s="132">
        <f t="shared" si="21"/>
        <v>4176.4890090317522</v>
      </c>
      <c r="AH190" s="132">
        <f t="shared" si="21"/>
        <v>4182.1778964764289</v>
      </c>
      <c r="AI190" s="132">
        <f t="shared" si="21"/>
        <v>4187.6345185643931</v>
      </c>
      <c r="AJ190" s="132">
        <f t="shared" si="21"/>
        <v>4192.8770994870811</v>
      </c>
      <c r="AK190" s="132">
        <f t="shared" si="21"/>
        <v>4197.9217992793983</v>
      </c>
      <c r="AL190" s="132">
        <f t="shared" si="21"/>
        <v>4202.7830142396706</v>
      </c>
      <c r="AM190" s="132">
        <f t="shared" si="21"/>
        <v>4207.4736246086231</v>
      </c>
      <c r="AN190" s="132">
        <f t="shared" si="21"/>
        <v>4212.0052002423927</v>
      </c>
      <c r="AO190" s="132">
        <f t="shared" si="21"/>
        <v>4216.3881725488436</v>
      </c>
      <c r="AP190" s="132">
        <f t="shared" si="21"/>
        <v>4220.6319791174219</v>
      </c>
      <c r="AQ190" s="132">
        <f t="shared" si="19"/>
        <v>4224.7451860867932</v>
      </c>
    </row>
    <row r="191" spans="7:52" ht="14.1" hidden="1" customHeight="1" thickBot="1" x14ac:dyDescent="0.3">
      <c r="G191" s="106"/>
      <c r="H191" s="218"/>
      <c r="J191" s="210"/>
      <c r="K191" s="121" t="s">
        <v>106</v>
      </c>
      <c r="L191" s="133">
        <f t="shared" ref="L191:AP191" si="22">(L104)*8760</f>
        <v>3803.6976727351225</v>
      </c>
      <c r="M191" s="133">
        <f t="shared" si="22"/>
        <v>3830.4705924365285</v>
      </c>
      <c r="N191" s="133">
        <f t="shared" si="22"/>
        <v>3849.3344332129013</v>
      </c>
      <c r="O191" s="133">
        <f t="shared" si="22"/>
        <v>3863.8950100891757</v>
      </c>
      <c r="P191" s="133">
        <f t="shared" si="22"/>
        <v>3875.7472042176937</v>
      </c>
      <c r="Q191" s="133">
        <f t="shared" si="22"/>
        <v>3885.7375407097497</v>
      </c>
      <c r="R191" s="133">
        <f t="shared" si="22"/>
        <v>3894.3693711428705</v>
      </c>
      <c r="S191" s="133">
        <f t="shared" si="22"/>
        <v>3901.9663465615204</v>
      </c>
      <c r="T191" s="133">
        <f t="shared" si="22"/>
        <v>3908.7488673426428</v>
      </c>
      <c r="U191" s="133">
        <f t="shared" si="22"/>
        <v>3914.873775672344</v>
      </c>
      <c r="V191" s="133">
        <f t="shared" si="22"/>
        <v>3920.4566443621534</v>
      </c>
      <c r="W191" s="133">
        <f t="shared" si="22"/>
        <v>3925.5850826325864</v>
      </c>
      <c r="X191" s="133">
        <f t="shared" si="22"/>
        <v>3930.3270798260055</v>
      </c>
      <c r="Y191" s="133">
        <f t="shared" si="22"/>
        <v>3934.7364536216996</v>
      </c>
      <c r="Z191" s="133">
        <f t="shared" si="22"/>
        <v>3938.8565302730472</v>
      </c>
      <c r="AA191" s="133">
        <f t="shared" si="22"/>
        <v>3942.722703335176</v>
      </c>
      <c r="AB191" s="133">
        <f t="shared" si="22"/>
        <v>3946.3642574052997</v>
      </c>
      <c r="AC191" s="133">
        <f t="shared" si="22"/>
        <v>3949.8056964268162</v>
      </c>
      <c r="AD191" s="133">
        <f t="shared" si="22"/>
        <v>3953.0677297164784</v>
      </c>
      <c r="AE191" s="133">
        <f t="shared" si="22"/>
        <v>3956.1680163451679</v>
      </c>
      <c r="AF191" s="133">
        <f t="shared" si="22"/>
        <v>3959.121735601449</v>
      </c>
      <c r="AG191" s="133">
        <f t="shared" si="22"/>
        <v>3961.942030110732</v>
      </c>
      <c r="AH191" s="133">
        <f t="shared" si="22"/>
        <v>3964.6403542560715</v>
      </c>
      <c r="AI191" s="133">
        <f t="shared" si="22"/>
        <v>3967.2267511841042</v>
      </c>
      <c r="AJ191" s="133">
        <f t="shared" si="22"/>
        <v>3969.7100752647434</v>
      </c>
      <c r="AK191" s="133">
        <f t="shared" si="22"/>
        <v>3972.098172401516</v>
      </c>
      <c r="AL191" s="133">
        <f t="shared" si="22"/>
        <v>3974.3980274229539</v>
      </c>
      <c r="AM191" s="133">
        <f t="shared" si="22"/>
        <v>3976.6158855106323</v>
      </c>
      <c r="AN191" s="133">
        <f t="shared" si="22"/>
        <v>3978.757352963481</v>
      </c>
      <c r="AO191" s="133">
        <f t="shared" si="22"/>
        <v>3980.8274813777484</v>
      </c>
      <c r="AP191" s="133">
        <f t="shared" si="22"/>
        <v>3982.8308384125471</v>
      </c>
      <c r="AQ191" s="133">
        <f t="shared" si="19"/>
        <v>3984.7715676260209</v>
      </c>
    </row>
    <row r="192" spans="7:52" ht="14.1" hidden="1" customHeight="1" thickTop="1" x14ac:dyDescent="0.25">
      <c r="G192" s="106"/>
      <c r="H192" s="218"/>
      <c r="J192" s="210"/>
      <c r="K192" s="119" t="s">
        <v>107</v>
      </c>
      <c r="L192" s="134">
        <f t="shared" ref="L192:AP192" si="23">(L105)*8760</f>
        <v>3806.2137966330874</v>
      </c>
      <c r="M192" s="134">
        <f t="shared" si="23"/>
        <v>3870.5113082302378</v>
      </c>
      <c r="N192" s="134">
        <f t="shared" si="23"/>
        <v>3916.2577765743208</v>
      </c>
      <c r="O192" s="134">
        <f t="shared" si="23"/>
        <v>3951.810710773716</v>
      </c>
      <c r="P192" s="134">
        <f t="shared" si="23"/>
        <v>3980.9031954800253</v>
      </c>
      <c r="Q192" s="134">
        <f t="shared" si="23"/>
        <v>4005.5305369672305</v>
      </c>
      <c r="R192" s="134">
        <f t="shared" si="23"/>
        <v>4026.8855935211363</v>
      </c>
      <c r="S192" s="134">
        <f t="shared" si="23"/>
        <v>4045.7387517825268</v>
      </c>
      <c r="T192" s="134">
        <f t="shared" si="23"/>
        <v>4062.6165849907838</v>
      </c>
      <c r="U192" s="134">
        <f t="shared" si="23"/>
        <v>4077.8950211387923</v>
      </c>
      <c r="V192" s="134">
        <f t="shared" si="23"/>
        <v>4091.8518557577718</v>
      </c>
      <c r="W192" s="134">
        <f t="shared" si="23"/>
        <v>4104.698201920547</v>
      </c>
      <c r="X192" s="134">
        <f t="shared" si="23"/>
        <v>4116.5982679399258</v>
      </c>
      <c r="Y192" s="134">
        <f t="shared" si="23"/>
        <v>4127.6823045575738</v>
      </c>
      <c r="Z192" s="134">
        <f t="shared" si="23"/>
        <v>4138.0553708227053</v>
      </c>
      <c r="AA192" s="134">
        <f t="shared" si="23"/>
        <v>4147.8034414607591</v>
      </c>
      <c r="AB192" s="134">
        <f t="shared" si="23"/>
        <v>4156.9977683099996</v>
      </c>
      <c r="AC192" s="134">
        <f t="shared" si="23"/>
        <v>4165.6980625955293</v>
      </c>
      <c r="AD192" s="134">
        <f t="shared" si="23"/>
        <v>4173.9548611112614</v>
      </c>
      <c r="AE192" s="134">
        <f t="shared" si="23"/>
        <v>4181.8113152857513</v>
      </c>
      <c r="AF192" s="134">
        <f t="shared" si="23"/>
        <v>4189.3045642420511</v>
      </c>
      <c r="AG192" s="134">
        <f t="shared" si="23"/>
        <v>4196.4668028086526</v>
      </c>
      <c r="AH192" s="134">
        <f t="shared" si="23"/>
        <v>4203.3261223724885</v>
      </c>
      <c r="AI192" s="134">
        <f t="shared" si="23"/>
        <v>4209.9071802031212</v>
      </c>
      <c r="AJ192" s="134">
        <f t="shared" si="23"/>
        <v>4216.2317376031642</v>
      </c>
      <c r="AK192" s="134">
        <f t="shared" si="23"/>
        <v>4222.3190965787899</v>
      </c>
      <c r="AL192" s="134">
        <f t="shared" si="23"/>
        <v>4228.1864571655042</v>
      </c>
      <c r="AM192" s="134">
        <f t="shared" si="23"/>
        <v>4233.8492121078316</v>
      </c>
      <c r="AN192" s="134">
        <f t="shared" si="23"/>
        <v>4239.321191629535</v>
      </c>
      <c r="AO192" s="134">
        <f t="shared" si="23"/>
        <v>4244.614868108376</v>
      </c>
      <c r="AP192" s="134">
        <f t="shared" si="23"/>
        <v>4249.7415282889451</v>
      </c>
      <c r="AQ192" s="134">
        <f t="shared" si="19"/>
        <v>4254.7114190234151</v>
      </c>
    </row>
    <row r="193" spans="1:70" ht="14.1" hidden="1" customHeight="1" x14ac:dyDescent="0.25">
      <c r="G193" s="106"/>
      <c r="H193" s="218"/>
      <c r="J193" s="210"/>
      <c r="K193" s="7" t="s">
        <v>108</v>
      </c>
      <c r="L193" s="132">
        <f t="shared" ref="L193:AP193" si="24">(L106)*8760</f>
        <v>3787.9819938015125</v>
      </c>
      <c r="M193" s="132">
        <f t="shared" si="24"/>
        <v>3841.3065986865768</v>
      </c>
      <c r="N193" s="132">
        <f t="shared" si="24"/>
        <v>3879.1410079593852</v>
      </c>
      <c r="O193" s="132">
        <f t="shared" si="24"/>
        <v>3908.4876557190387</v>
      </c>
      <c r="P193" s="132">
        <f t="shared" si="24"/>
        <v>3932.465612844449</v>
      </c>
      <c r="Q193" s="132">
        <f t="shared" si="24"/>
        <v>3952.7386867296618</v>
      </c>
      <c r="R193" s="132">
        <f t="shared" si="24"/>
        <v>3970.300022117257</v>
      </c>
      <c r="S193" s="132">
        <f t="shared" si="24"/>
        <v>3985.7902177295127</v>
      </c>
      <c r="T193" s="132">
        <f t="shared" si="24"/>
        <v>3999.6466698769109</v>
      </c>
      <c r="U193" s="132">
        <f t="shared" si="24"/>
        <v>4012.1813555451881</v>
      </c>
      <c r="V193" s="132">
        <f t="shared" si="24"/>
        <v>4023.6246270023203</v>
      </c>
      <c r="W193" s="132">
        <f t="shared" si="24"/>
        <v>4034.1514163000161</v>
      </c>
      <c r="X193" s="132">
        <f t="shared" si="24"/>
        <v>4043.8977008875327</v>
      </c>
      <c r="Y193" s="132">
        <f t="shared" si="24"/>
        <v>4052.9712747619737</v>
      </c>
      <c r="Z193" s="132">
        <f t="shared" si="24"/>
        <v>4061.4590362751283</v>
      </c>
      <c r="AA193" s="132">
        <f t="shared" si="24"/>
        <v>4069.4320626589556</v>
      </c>
      <c r="AB193" s="132">
        <f t="shared" si="24"/>
        <v>4076.9492318873849</v>
      </c>
      <c r="AC193" s="132">
        <f t="shared" si="24"/>
        <v>4084.0598639832588</v>
      </c>
      <c r="AD193" s="132">
        <f t="shared" si="24"/>
        <v>4090.8056840347817</v>
      </c>
      <c r="AE193" s="132">
        <f t="shared" si="24"/>
        <v>4097.2223057725978</v>
      </c>
      <c r="AF193" s="132">
        <f t="shared" si="24"/>
        <v>4103.3403697030599</v>
      </c>
      <c r="AG193" s="132">
        <f t="shared" si="24"/>
        <v>4109.1864280398522</v>
      </c>
      <c r="AH193" s="132">
        <f t="shared" si="24"/>
        <v>4114.7836411601929</v>
      </c>
      <c r="AI193" s="132">
        <f t="shared" si="24"/>
        <v>4120.1523317944357</v>
      </c>
      <c r="AJ193" s="132">
        <f t="shared" si="24"/>
        <v>4125.3104304578874</v>
      </c>
      <c r="AK193" s="132">
        <f t="shared" si="24"/>
        <v>4130.2738367724487</v>
      </c>
      <c r="AL193" s="132">
        <f t="shared" si="24"/>
        <v>4135.0567150454044</v>
      </c>
      <c r="AM193" s="132">
        <f t="shared" si="24"/>
        <v>4139.6717379571473</v>
      </c>
      <c r="AN193" s="132">
        <f t="shared" si="24"/>
        <v>4144.130288919846</v>
      </c>
      <c r="AO193" s="132">
        <f t="shared" si="24"/>
        <v>4148.4426312430742</v>
      </c>
      <c r="AP193" s="132">
        <f t="shared" si="24"/>
        <v>4152.6180504330005</v>
      </c>
      <c r="AQ193" s="132">
        <f t="shared" si="19"/>
        <v>4156.6649745881241</v>
      </c>
    </row>
    <row r="194" spans="1:70" ht="14.1" hidden="1" customHeight="1" thickBot="1" x14ac:dyDescent="0.3">
      <c r="G194" s="106"/>
      <c r="H194" s="218"/>
      <c r="J194" s="210"/>
      <c r="K194" s="121" t="s">
        <v>109</v>
      </c>
      <c r="L194" s="133">
        <f t="shared" ref="L194:AP194" si="25">(L107)*8760</f>
        <v>3742.4024867225771</v>
      </c>
      <c r="M194" s="133">
        <f t="shared" si="25"/>
        <v>3768.743970691075</v>
      </c>
      <c r="N194" s="133">
        <f t="shared" si="25"/>
        <v>3787.3038276262537</v>
      </c>
      <c r="O194" s="133">
        <f t="shared" si="25"/>
        <v>3801.6297661729682</v>
      </c>
      <c r="P194" s="133">
        <f t="shared" si="25"/>
        <v>3813.2909665616389</v>
      </c>
      <c r="Q194" s="133">
        <f t="shared" si="25"/>
        <v>3823.1203124634076</v>
      </c>
      <c r="R194" s="133">
        <f t="shared" si="25"/>
        <v>3831.6130441306573</v>
      </c>
      <c r="S194" s="133">
        <f t="shared" si="25"/>
        <v>3839.0875970905618</v>
      </c>
      <c r="T194" s="133">
        <f t="shared" si="25"/>
        <v>3845.7608200492273</v>
      </c>
      <c r="U194" s="133">
        <f t="shared" si="25"/>
        <v>3851.7870277387406</v>
      </c>
      <c r="V194" s="133">
        <f t="shared" si="25"/>
        <v>3857.2799305573722</v>
      </c>
      <c r="W194" s="133">
        <f t="shared" si="25"/>
        <v>3862.3257259353386</v>
      </c>
      <c r="X194" s="133">
        <f t="shared" si="25"/>
        <v>3866.9913075918121</v>
      </c>
      <c r="Y194" s="133">
        <f t="shared" si="25"/>
        <v>3871.3296259540152</v>
      </c>
      <c r="Z194" s="133">
        <f t="shared" si="25"/>
        <v>3875.3833090887215</v>
      </c>
      <c r="AA194" s="133">
        <f t="shared" si="25"/>
        <v>3879.1871801969651</v>
      </c>
      <c r="AB194" s="133">
        <f t="shared" si="25"/>
        <v>3882.7700519654691</v>
      </c>
      <c r="AC194" s="133">
        <f t="shared" si="25"/>
        <v>3886.1560334656142</v>
      </c>
      <c r="AD194" s="133">
        <f t="shared" si="25"/>
        <v>3889.3655002911482</v>
      </c>
      <c r="AE194" s="133">
        <f t="shared" si="25"/>
        <v>3892.4158269435334</v>
      </c>
      <c r="AF194" s="133">
        <f t="shared" si="25"/>
        <v>3895.3219481026945</v>
      </c>
      <c r="AG194" s="133">
        <f t="shared" si="25"/>
        <v>3898.096794605477</v>
      </c>
      <c r="AH194" s="133">
        <f t="shared" si="25"/>
        <v>3900.7516362517749</v>
      </c>
      <c r="AI194" s="133">
        <f t="shared" si="25"/>
        <v>3903.296354346618</v>
      </c>
      <c r="AJ194" s="133">
        <f t="shared" si="25"/>
        <v>3905.7396605750118</v>
      </c>
      <c r="AK194" s="133">
        <f t="shared" si="25"/>
        <v>3908.0892744066405</v>
      </c>
      <c r="AL194" s="133">
        <f t="shared" si="25"/>
        <v>3910.3520681120981</v>
      </c>
      <c r="AM194" s="133">
        <f t="shared" si="25"/>
        <v>3912.5341862341616</v>
      </c>
      <c r="AN194" s="133">
        <f t="shared" si="25"/>
        <v>3914.641144728319</v>
      </c>
      <c r="AO194" s="133">
        <f t="shared" si="25"/>
        <v>3916.6779137862072</v>
      </c>
      <c r="AP194" s="133">
        <f t="shared" si="25"/>
        <v>3918.6489874607964</v>
      </c>
      <c r="AQ194" s="133">
        <f t="shared" si="19"/>
        <v>3920.5584425383181</v>
      </c>
    </row>
    <row r="195" spans="1:70" ht="14.1" hidden="1" customHeight="1" thickTop="1" x14ac:dyDescent="0.25">
      <c r="G195" s="106"/>
      <c r="H195" s="218"/>
      <c r="J195" s="210"/>
      <c r="K195" s="119" t="s">
        <v>110</v>
      </c>
      <c r="L195" s="134">
        <f t="shared" ref="L195:AP195" si="26">(L108)*8760</f>
        <v>3267.8163276769478</v>
      </c>
      <c r="M195" s="134">
        <f t="shared" si="26"/>
        <v>3323.0188122068571</v>
      </c>
      <c r="N195" s="134">
        <f t="shared" si="26"/>
        <v>3362.2943401135108</v>
      </c>
      <c r="O195" s="134">
        <f t="shared" si="26"/>
        <v>3392.8182321177856</v>
      </c>
      <c r="P195" s="134">
        <f t="shared" si="26"/>
        <v>3417.7955196837297</v>
      </c>
      <c r="Q195" s="134">
        <f t="shared" si="26"/>
        <v>3438.9392685425969</v>
      </c>
      <c r="R195" s="134">
        <f t="shared" si="26"/>
        <v>3457.2736045031907</v>
      </c>
      <c r="S195" s="134">
        <f t="shared" si="26"/>
        <v>3473.4599412899852</v>
      </c>
      <c r="T195" s="134">
        <f t="shared" si="26"/>
        <v>3487.9503671779212</v>
      </c>
      <c r="U195" s="134">
        <f t="shared" si="26"/>
        <v>3501.0676343030618</v>
      </c>
      <c r="V195" s="134">
        <f t="shared" si="26"/>
        <v>3513.0502433963638</v>
      </c>
      <c r="W195" s="134">
        <f t="shared" si="26"/>
        <v>3524.0794451135243</v>
      </c>
      <c r="X195" s="134">
        <f t="shared" si="26"/>
        <v>3534.2962201336145</v>
      </c>
      <c r="Y195" s="134">
        <f t="shared" si="26"/>
        <v>3543.8123949390761</v>
      </c>
      <c r="Z195" s="134">
        <f t="shared" si="26"/>
        <v>3552.7181677412391</v>
      </c>
      <c r="AA195" s="134">
        <f t="shared" si="26"/>
        <v>3561.0873519480106</v>
      </c>
      <c r="AB195" s="134">
        <f t="shared" si="26"/>
        <v>3568.9811206655022</v>
      </c>
      <c r="AC195" s="134">
        <f t="shared" si="26"/>
        <v>3576.4507388322481</v>
      </c>
      <c r="AD195" s="134">
        <f t="shared" si="26"/>
        <v>3583.5395946994404</v>
      </c>
      <c r="AE195" s="134">
        <f t="shared" si="26"/>
        <v>3590.284735829387</v>
      </c>
      <c r="AF195" s="134">
        <f t="shared" si="26"/>
        <v>3596.7180479329809</v>
      </c>
      <c r="AG195" s="134">
        <f t="shared" si="26"/>
        <v>3602.8671718080932</v>
      </c>
      <c r="AH195" s="134">
        <f t="shared" si="26"/>
        <v>3608.7562252520397</v>
      </c>
      <c r="AI195" s="134">
        <f t="shared" si="26"/>
        <v>3614.4063777083602</v>
      </c>
      <c r="AJ195" s="134">
        <f t="shared" si="26"/>
        <v>3619.8363122946598</v>
      </c>
      <c r="AK195" s="134">
        <f t="shared" si="26"/>
        <v>3625.0626007050942</v>
      </c>
      <c r="AL195" s="134">
        <f t="shared" si="26"/>
        <v>3630.1000099916123</v>
      </c>
      <c r="AM195" s="134">
        <f t="shared" si="26"/>
        <v>3634.9617555605391</v>
      </c>
      <c r="AN195" s="134">
        <f t="shared" si="26"/>
        <v>3639.6597113195025</v>
      </c>
      <c r="AO195" s="134">
        <f t="shared" si="26"/>
        <v>3644.2045854004846</v>
      </c>
      <c r="AP195" s="134">
        <f t="shared" si="26"/>
        <v>3648.6060680127689</v>
      </c>
      <c r="AQ195" s="134">
        <f t="shared" ref="AQ195" si="27">(AQ108)*8760</f>
        <v>3652.8729565683293</v>
      </c>
    </row>
    <row r="196" spans="1:70" s="126" customFormat="1" ht="14.1" hidden="1" customHeight="1" thickBot="1" x14ac:dyDescent="0.3">
      <c r="A196" s="3"/>
      <c r="B196" s="3"/>
      <c r="C196" s="3"/>
      <c r="D196" s="3"/>
      <c r="E196" s="3"/>
      <c r="F196" s="3"/>
      <c r="G196" s="106"/>
      <c r="H196" s="218"/>
      <c r="I196" s="3"/>
      <c r="J196" s="210"/>
      <c r="K196" s="7" t="s">
        <v>111</v>
      </c>
      <c r="L196" s="132">
        <f t="shared" ref="L196:AP196" si="28">(L109)*8760</f>
        <v>3252.1634542023394</v>
      </c>
      <c r="M196" s="132">
        <f t="shared" si="28"/>
        <v>3297.9451742582328</v>
      </c>
      <c r="N196" s="132">
        <f t="shared" si="28"/>
        <v>3330.4278215753807</v>
      </c>
      <c r="O196" s="132">
        <f t="shared" si="28"/>
        <v>3355.6233202613485</v>
      </c>
      <c r="P196" s="132">
        <f t="shared" si="28"/>
        <v>3376.2095416312741</v>
      </c>
      <c r="Q196" s="132">
        <f t="shared" si="28"/>
        <v>3393.6149437957297</v>
      </c>
      <c r="R196" s="132">
        <f t="shared" si="28"/>
        <v>3408.6921889484215</v>
      </c>
      <c r="S196" s="132">
        <f t="shared" si="28"/>
        <v>3421.9912616871666</v>
      </c>
      <c r="T196" s="132">
        <f t="shared" si="28"/>
        <v>3433.8876876343893</v>
      </c>
      <c r="U196" s="132">
        <f t="shared" si="28"/>
        <v>3444.6493139322415</v>
      </c>
      <c r="V196" s="132">
        <f t="shared" si="28"/>
        <v>3454.4739090043145</v>
      </c>
      <c r="W196" s="132">
        <f t="shared" si="28"/>
        <v>3463.5116603716847</v>
      </c>
      <c r="X196" s="132">
        <f t="shared" si="28"/>
        <v>3471.8793111687701</v>
      </c>
      <c r="Y196" s="132">
        <f t="shared" si="28"/>
        <v>3479.6694076902818</v>
      </c>
      <c r="Z196" s="132">
        <f t="shared" si="28"/>
        <v>3486.9565563214619</v>
      </c>
      <c r="AA196" s="132">
        <f t="shared" si="28"/>
        <v>3493.8017802605682</v>
      </c>
      <c r="AB196" s="132">
        <f t="shared" si="28"/>
        <v>3500.2556290602079</v>
      </c>
      <c r="AC196" s="132">
        <f t="shared" si="28"/>
        <v>3506.3604463154957</v>
      </c>
      <c r="AD196" s="132">
        <f t="shared" si="28"/>
        <v>3512.1520550074297</v>
      </c>
      <c r="AE196" s="132">
        <f t="shared" si="28"/>
        <v>3517.6610312246639</v>
      </c>
      <c r="AF196" s="132">
        <f t="shared" si="28"/>
        <v>3522.9136813052824</v>
      </c>
      <c r="AG196" s="132">
        <f t="shared" si="28"/>
        <v>3527.9328015928559</v>
      </c>
      <c r="AH196" s="132">
        <f t="shared" si="28"/>
        <v>3532.7382763773553</v>
      </c>
      <c r="AI196" s="132">
        <f t="shared" si="28"/>
        <v>3537.347553693397</v>
      </c>
      <c r="AJ196" s="132">
        <f t="shared" si="28"/>
        <v>3541.7760277447251</v>
      </c>
      <c r="AK196" s="132">
        <f t="shared" si="28"/>
        <v>3546.0373491161008</v>
      </c>
      <c r="AL196" s="132">
        <f t="shared" si="28"/>
        <v>3550.1436785418105</v>
      </c>
      <c r="AM196" s="132">
        <f t="shared" si="28"/>
        <v>3554.1058961232125</v>
      </c>
      <c r="AN196" s="132">
        <f t="shared" si="28"/>
        <v>3557.9337750633222</v>
      </c>
      <c r="AO196" s="132">
        <f t="shared" si="28"/>
        <v>3561.6361269035797</v>
      </c>
      <c r="AP196" s="132">
        <f t="shared" si="28"/>
        <v>3565.2209236945018</v>
      </c>
      <c r="AQ196" s="132">
        <f t="shared" ref="AQ196:AQ202" si="29">(AQ109)*8760</f>
        <v>3568.6954013611748</v>
      </c>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row>
    <row r="197" spans="1:70" s="127" customFormat="1" ht="14.1" hidden="1" customHeight="1" thickTop="1" thickBot="1" x14ac:dyDescent="0.3">
      <c r="A197" s="3"/>
      <c r="B197" s="3"/>
      <c r="C197" s="3"/>
      <c r="D197" s="3"/>
      <c r="E197" s="3"/>
      <c r="F197" s="3"/>
      <c r="G197" s="106"/>
      <c r="H197" s="218"/>
      <c r="I197" s="3"/>
      <c r="J197" s="210"/>
      <c r="K197" s="121" t="s">
        <v>112</v>
      </c>
      <c r="L197" s="133">
        <f t="shared" ref="L197:AP197" si="30">(L110)*8760</f>
        <v>3213.0312705158194</v>
      </c>
      <c r="M197" s="133">
        <f t="shared" si="30"/>
        <v>3235.6466925616442</v>
      </c>
      <c r="N197" s="133">
        <f t="shared" si="30"/>
        <v>3251.5812161519307</v>
      </c>
      <c r="O197" s="133">
        <f t="shared" si="30"/>
        <v>3263.880718595452</v>
      </c>
      <c r="P197" s="133">
        <f t="shared" si="30"/>
        <v>3273.8924160634501</v>
      </c>
      <c r="Q197" s="133">
        <f t="shared" si="30"/>
        <v>3282.3313789657955</v>
      </c>
      <c r="R197" s="133">
        <f t="shared" si="30"/>
        <v>3289.622794711639</v>
      </c>
      <c r="S197" s="133">
        <f t="shared" si="30"/>
        <v>3296.0400554094144</v>
      </c>
      <c r="T197" s="133">
        <f t="shared" si="30"/>
        <v>3301.7693360299209</v>
      </c>
      <c r="U197" s="133">
        <f t="shared" si="30"/>
        <v>3306.943123140667</v>
      </c>
      <c r="V197" s="133">
        <f t="shared" si="30"/>
        <v>3311.6590425493309</v>
      </c>
      <c r="W197" s="133">
        <f t="shared" si="30"/>
        <v>3315.9910988665097</v>
      </c>
      <c r="X197" s="133">
        <f t="shared" si="30"/>
        <v>3319.9967235449294</v>
      </c>
      <c r="Y197" s="133">
        <f t="shared" si="30"/>
        <v>3323.7213770552517</v>
      </c>
      <c r="Z197" s="133">
        <f t="shared" si="30"/>
        <v>3327.2016576287028</v>
      </c>
      <c r="AA197" s="133">
        <f t="shared" si="30"/>
        <v>3330.4674626465116</v>
      </c>
      <c r="AB197" s="133">
        <f t="shared" si="30"/>
        <v>3333.5435291763124</v>
      </c>
      <c r="AC197" s="133">
        <f t="shared" si="30"/>
        <v>3336.4505560073262</v>
      </c>
      <c r="AD197" s="133">
        <f t="shared" si="30"/>
        <v>3339.206036559915</v>
      </c>
      <c r="AE197" s="133">
        <f t="shared" si="30"/>
        <v>3341.8248876733837</v>
      </c>
      <c r="AF197" s="133">
        <f t="shared" si="30"/>
        <v>3344.3199314837216</v>
      </c>
      <c r="AG197" s="133">
        <f t="shared" si="30"/>
        <v>3346.7022697319339</v>
      </c>
      <c r="AH197" s="133">
        <f t="shared" si="30"/>
        <v>3348.9815780794684</v>
      </c>
      <c r="AI197" s="133">
        <f t="shared" si="30"/>
        <v>3351.1663400986222</v>
      </c>
      <c r="AJ197" s="133">
        <f t="shared" si="30"/>
        <v>3353.2640351870391</v>
      </c>
      <c r="AK197" s="133">
        <f t="shared" si="30"/>
        <v>3355.2812908781202</v>
      </c>
      <c r="AL197" s="133">
        <f t="shared" si="30"/>
        <v>3357.2240073443895</v>
      </c>
      <c r="AM197" s="133">
        <f t="shared" si="30"/>
        <v>3359.0974599692804</v>
      </c>
      <c r="AN197" s="133">
        <f t="shared" si="30"/>
        <v>3360.9063844640195</v>
      </c>
      <c r="AO197" s="133">
        <f t="shared" si="30"/>
        <v>3362.6550479755028</v>
      </c>
      <c r="AP197" s="133">
        <f t="shared" si="30"/>
        <v>3364.3473088628375</v>
      </c>
      <c r="AQ197" s="133">
        <f t="shared" si="29"/>
        <v>3365.9866672417093</v>
      </c>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row>
    <row r="198" spans="1:70" ht="14.1" hidden="1" customHeight="1" thickTop="1" x14ac:dyDescent="0.25">
      <c r="G198" s="106"/>
      <c r="H198" s="218"/>
      <c r="J198" s="210"/>
      <c r="K198" s="119" t="s">
        <v>113</v>
      </c>
      <c r="L198" s="134">
        <f t="shared" ref="L198:AP198" si="31">(L111)*8760</f>
        <v>2524.4852449764239</v>
      </c>
      <c r="M198" s="134">
        <f t="shared" si="31"/>
        <v>2567.1308051021556</v>
      </c>
      <c r="N198" s="134">
        <f t="shared" si="31"/>
        <v>2597.4723178271047</v>
      </c>
      <c r="O198" s="134">
        <f t="shared" si="31"/>
        <v>2621.0529316857869</v>
      </c>
      <c r="P198" s="134">
        <f t="shared" si="31"/>
        <v>2640.3486287498208</v>
      </c>
      <c r="Q198" s="134">
        <f t="shared" si="31"/>
        <v>2656.6828032153862</v>
      </c>
      <c r="R198" s="134">
        <f t="shared" si="31"/>
        <v>2670.8466227106701</v>
      </c>
      <c r="S198" s="134">
        <f t="shared" si="31"/>
        <v>2683.3510489975451</v>
      </c>
      <c r="T198" s="134">
        <f t="shared" si="31"/>
        <v>2694.5453337061731</v>
      </c>
      <c r="U198" s="134">
        <f t="shared" si="31"/>
        <v>2704.6788124550758</v>
      </c>
      <c r="V198" s="134">
        <f t="shared" si="31"/>
        <v>2713.93573414806</v>
      </c>
      <c r="W198" s="134">
        <f t="shared" si="31"/>
        <v>2722.4561203041067</v>
      </c>
      <c r="X198" s="134">
        <f t="shared" si="31"/>
        <v>2730.3488826882749</v>
      </c>
      <c r="Y198" s="134">
        <f t="shared" si="31"/>
        <v>2737.7004105821584</v>
      </c>
      <c r="Z198" s="134">
        <f t="shared" si="31"/>
        <v>2744.5803847850402</v>
      </c>
      <c r="AA198" s="134">
        <f t="shared" si="31"/>
        <v>2751.0458283485423</v>
      </c>
      <c r="AB198" s="134">
        <f t="shared" si="31"/>
        <v>2757.1439993154308</v>
      </c>
      <c r="AC198" s="134">
        <f t="shared" si="31"/>
        <v>2762.9145013745115</v>
      </c>
      <c r="AD198" s="134">
        <f t="shared" si="31"/>
        <v>2768.390853239493</v>
      </c>
      <c r="AE198" s="134">
        <f t="shared" si="31"/>
        <v>2773.601675253452</v>
      </c>
      <c r="AF198" s="134">
        <f t="shared" si="31"/>
        <v>2778.5716000758166</v>
      </c>
      <c r="AG198" s="134">
        <f t="shared" si="31"/>
        <v>2783.3219810445321</v>
      </c>
      <c r="AH198" s="134">
        <f t="shared" si="31"/>
        <v>2787.8714498748955</v>
      </c>
      <c r="AI198" s="134">
        <f t="shared" si="31"/>
        <v>2792.2363605912788</v>
      </c>
      <c r="AJ198" s="134">
        <f t="shared" si="31"/>
        <v>2796.4311464573639</v>
      </c>
      <c r="AK198" s="134">
        <f t="shared" si="31"/>
        <v>2800.4686095994593</v>
      </c>
      <c r="AL198" s="134">
        <f t="shared" si="31"/>
        <v>2804.3601580041282</v>
      </c>
      <c r="AM198" s="134">
        <f t="shared" si="31"/>
        <v>2808.1160009655687</v>
      </c>
      <c r="AN198" s="134">
        <f t="shared" si="31"/>
        <v>2811.7453114303607</v>
      </c>
      <c r="AO198" s="134">
        <f t="shared" si="31"/>
        <v>2815.2563617487463</v>
      </c>
      <c r="AP198" s="134">
        <f t="shared" si="31"/>
        <v>2818.6566378954262</v>
      </c>
      <c r="AQ198" s="134">
        <f t="shared" si="29"/>
        <v>2821.9529361326436</v>
      </c>
    </row>
    <row r="199" spans="1:70" ht="14.1" hidden="1" customHeight="1" x14ac:dyDescent="0.25">
      <c r="G199" s="106"/>
      <c r="H199" s="218"/>
      <c r="J199" s="210"/>
      <c r="K199" s="7" t="s">
        <v>114</v>
      </c>
      <c r="L199" s="132">
        <f t="shared" ref="L199:AP199" si="32">(L112)*8760</f>
        <v>2512.3929349547579</v>
      </c>
      <c r="M199" s="132">
        <f t="shared" si="32"/>
        <v>2547.7606745036037</v>
      </c>
      <c r="N199" s="132">
        <f t="shared" si="32"/>
        <v>2572.8544850630874</v>
      </c>
      <c r="O199" s="132">
        <f t="shared" si="32"/>
        <v>2592.3187567033988</v>
      </c>
      <c r="P199" s="132">
        <f t="shared" si="32"/>
        <v>2608.2222246119331</v>
      </c>
      <c r="Q199" s="132">
        <f t="shared" si="32"/>
        <v>2621.6684151382792</v>
      </c>
      <c r="R199" s="132">
        <f t="shared" si="32"/>
        <v>2633.3160351714164</v>
      </c>
      <c r="S199" s="132">
        <f t="shared" si="32"/>
        <v>2643.589964160778</v>
      </c>
      <c r="T199" s="132">
        <f t="shared" si="32"/>
        <v>2652.7803068117278</v>
      </c>
      <c r="U199" s="132">
        <f t="shared" si="32"/>
        <v>2661.0939830030056</v>
      </c>
      <c r="V199" s="132">
        <f t="shared" si="32"/>
        <v>2668.6837747202617</v>
      </c>
      <c r="W199" s="132">
        <f t="shared" si="32"/>
        <v>2675.6657062876675</v>
      </c>
      <c r="X199" s="132">
        <f t="shared" si="32"/>
        <v>2682.1299652466078</v>
      </c>
      <c r="Y199" s="132">
        <f t="shared" si="32"/>
        <v>2688.1480463605726</v>
      </c>
      <c r="Z199" s="132">
        <f t="shared" si="32"/>
        <v>2693.7775852797454</v>
      </c>
      <c r="AA199" s="132">
        <f t="shared" si="32"/>
        <v>2699.0657242386196</v>
      </c>
      <c r="AB199" s="132">
        <f t="shared" si="32"/>
        <v>2704.0515142691079</v>
      </c>
      <c r="AC199" s="132">
        <f t="shared" si="32"/>
        <v>2708.7676670570486</v>
      </c>
      <c r="AD199" s="132">
        <f t="shared" si="32"/>
        <v>2713.2418569200568</v>
      </c>
      <c r="AE199" s="132">
        <f t="shared" si="32"/>
        <v>2717.4977047954544</v>
      </c>
      <c r="AF199" s="132">
        <f t="shared" si="32"/>
        <v>2721.5555331113351</v>
      </c>
      <c r="AG199" s="132">
        <f t="shared" si="32"/>
        <v>2725.432952720701</v>
      </c>
      <c r="AH199" s="132">
        <f t="shared" si="32"/>
        <v>2729.1453248285911</v>
      </c>
      <c r="AI199" s="132">
        <f t="shared" si="32"/>
        <v>2732.7061285603672</v>
      </c>
      <c r="AJ199" s="132">
        <f t="shared" si="32"/>
        <v>2736.1272563959965</v>
      </c>
      <c r="AK199" s="132">
        <f t="shared" si="32"/>
        <v>2739.4192538179532</v>
      </c>
      <c r="AL199" s="132">
        <f t="shared" si="32"/>
        <v>2742.5915153549372</v>
      </c>
      <c r="AM199" s="132">
        <f t="shared" si="32"/>
        <v>2745.652446208645</v>
      </c>
      <c r="AN199" s="132">
        <f t="shared" si="32"/>
        <v>2748.6095964689021</v>
      </c>
      <c r="AO199" s="132">
        <f t="shared" si="32"/>
        <v>2751.4697733133839</v>
      </c>
      <c r="AP199" s="132">
        <f t="shared" si="32"/>
        <v>2754.2391353880744</v>
      </c>
      <c r="AQ199" s="132">
        <f t="shared" si="29"/>
        <v>2756.9232726601808</v>
      </c>
    </row>
    <row r="200" spans="1:70" ht="14.1" hidden="1" customHeight="1" thickBot="1" x14ac:dyDescent="0.3">
      <c r="G200" s="106"/>
      <c r="H200" s="218"/>
      <c r="J200" s="210"/>
      <c r="K200" s="121" t="s">
        <v>115</v>
      </c>
      <c r="L200" s="133">
        <f t="shared" ref="L200:AP200" si="33">(L113)*8760</f>
        <v>2482.1621599005935</v>
      </c>
      <c r="M200" s="133">
        <f t="shared" si="33"/>
        <v>2499.6332456467703</v>
      </c>
      <c r="N200" s="133">
        <f t="shared" si="33"/>
        <v>2511.9431387545033</v>
      </c>
      <c r="O200" s="133">
        <f t="shared" si="33"/>
        <v>2521.444869979799</v>
      </c>
      <c r="P200" s="133">
        <f t="shared" si="33"/>
        <v>2529.1792038592971</v>
      </c>
      <c r="Q200" s="133">
        <f t="shared" si="33"/>
        <v>2535.6985535392164</v>
      </c>
      <c r="R200" s="133">
        <f t="shared" si="33"/>
        <v>2541.3313889313008</v>
      </c>
      <c r="S200" s="133">
        <f t="shared" si="33"/>
        <v>2546.2889135655619</v>
      </c>
      <c r="T200" s="133">
        <f t="shared" si="33"/>
        <v>2550.7149531407672</v>
      </c>
      <c r="U200" s="133">
        <f t="shared" si="33"/>
        <v>2554.7118574683159</v>
      </c>
      <c r="V200" s="133">
        <f t="shared" si="33"/>
        <v>2558.3550453864491</v>
      </c>
      <c r="W200" s="133">
        <f t="shared" si="33"/>
        <v>2561.7016876565485</v>
      </c>
      <c r="X200" s="133">
        <f t="shared" si="33"/>
        <v>2564.7961517829249</v>
      </c>
      <c r="Y200" s="133">
        <f t="shared" si="33"/>
        <v>2567.6735573304218</v>
      </c>
      <c r="Z200" s="133">
        <f t="shared" si="33"/>
        <v>2570.3621775204992</v>
      </c>
      <c r="AA200" s="133">
        <f t="shared" si="33"/>
        <v>2572.8851089688183</v>
      </c>
      <c r="AB200" s="133">
        <f t="shared" si="33"/>
        <v>2575.2614617954077</v>
      </c>
      <c r="AC200" s="133">
        <f t="shared" si="33"/>
        <v>2577.5072264301843</v>
      </c>
      <c r="AD200" s="133">
        <f t="shared" si="33"/>
        <v>2579.6359170603509</v>
      </c>
      <c r="AE200" s="133">
        <f t="shared" si="33"/>
        <v>2581.6590573876533</v>
      </c>
      <c r="AF200" s="133">
        <f t="shared" si="33"/>
        <v>2583.5865528932673</v>
      </c>
      <c r="AG200" s="133">
        <f t="shared" si="33"/>
        <v>2585.4269800021034</v>
      </c>
      <c r="AH200" s="133">
        <f t="shared" si="33"/>
        <v>2587.1878134502285</v>
      </c>
      <c r="AI200" s="133">
        <f t="shared" si="33"/>
        <v>2588.8756070494051</v>
      </c>
      <c r="AJ200" s="133">
        <f t="shared" si="33"/>
        <v>2590.4961388566294</v>
      </c>
      <c r="AK200" s="133">
        <f t="shared" si="33"/>
        <v>2592.0545288384496</v>
      </c>
      <c r="AL200" s="133">
        <f t="shared" si="33"/>
        <v>2593.5553350535151</v>
      </c>
      <c r="AM200" s="133">
        <f t="shared" si="33"/>
        <v>2595.0026328923327</v>
      </c>
      <c r="AN200" s="133">
        <f t="shared" si="33"/>
        <v>2596.4000808325886</v>
      </c>
      <c r="AO200" s="133">
        <f t="shared" si="33"/>
        <v>2597.7509753720947</v>
      </c>
      <c r="AP200" s="133">
        <f t="shared" si="33"/>
        <v>2599.0582972079474</v>
      </c>
      <c r="AQ200" s="133">
        <f t="shared" si="29"/>
        <v>2600.3247502835493</v>
      </c>
    </row>
    <row r="201" spans="1:70" ht="14.1" customHeight="1" thickTop="1" x14ac:dyDescent="0.25">
      <c r="G201" s="106"/>
      <c r="H201" s="218"/>
      <c r="J201" s="210"/>
      <c r="K201" s="119" t="s">
        <v>116</v>
      </c>
      <c r="L201" s="134">
        <f t="shared" ref="L201:AP201" si="34">(L114)*8760</f>
        <v>2850.7279288836362</v>
      </c>
      <c r="M201" s="134">
        <f t="shared" si="34"/>
        <v>2871.1558381757441</v>
      </c>
      <c r="N201" s="134">
        <f t="shared" si="34"/>
        <v>2885.6668778447056</v>
      </c>
      <c r="O201" s="134">
        <f t="shared" si="34"/>
        <v>2896.9319560332647</v>
      </c>
      <c r="P201" s="134">
        <f t="shared" si="34"/>
        <v>2906.1421642734094</v>
      </c>
      <c r="Q201" s="134">
        <f t="shared" si="34"/>
        <v>2913.9333997428512</v>
      </c>
      <c r="R201" s="134">
        <f t="shared" si="34"/>
        <v>2920.6854838307736</v>
      </c>
      <c r="S201" s="134">
        <f t="shared" si="34"/>
        <v>2926.6435397386767</v>
      </c>
      <c r="T201" s="134">
        <f t="shared" si="34"/>
        <v>2931.9750113285813</v>
      </c>
      <c r="U201" s="134">
        <f t="shared" si="34"/>
        <v>2936.7993761279749</v>
      </c>
      <c r="V201" s="134">
        <f t="shared" si="34"/>
        <v>2941.2048822967868</v>
      </c>
      <c r="W201" s="134">
        <f t="shared" si="34"/>
        <v>2945.2585670890444</v>
      </c>
      <c r="X201" s="134">
        <f t="shared" si="34"/>
        <v>2949.0125541231077</v>
      </c>
      <c r="Y201" s="134">
        <f t="shared" si="34"/>
        <v>2952.5081740733153</v>
      </c>
      <c r="Z201" s="134">
        <f t="shared" si="34"/>
        <v>2955.7787535242674</v>
      </c>
      <c r="AA201" s="134">
        <f t="shared" si="34"/>
        <v>2958.8515573536738</v>
      </c>
      <c r="AB201" s="134">
        <f t="shared" si="34"/>
        <v>2961.7491754015487</v>
      </c>
      <c r="AC201" s="134">
        <f t="shared" si="34"/>
        <v>2964.4905339423353</v>
      </c>
      <c r="AD201" s="134">
        <f t="shared" si="34"/>
        <v>2967.0916475614526</v>
      </c>
      <c r="AE201" s="134">
        <f t="shared" si="34"/>
        <v>2969.5661875036321</v>
      </c>
      <c r="AF201" s="134">
        <f t="shared" si="34"/>
        <v>2971.9259177612798</v>
      </c>
      <c r="AG201" s="134">
        <f t="shared" si="34"/>
        <v>2974.1810342024214</v>
      </c>
      <c r="AH201" s="134">
        <f t="shared" si="34"/>
        <v>2976.3404315122693</v>
      </c>
      <c r="AI201" s="134">
        <f t="shared" si="34"/>
        <v>2978.4119156378656</v>
      </c>
      <c r="AJ201" s="134">
        <f t="shared" si="34"/>
        <v>2980.4023745654968</v>
      </c>
      <c r="AK201" s="134">
        <f t="shared" si="34"/>
        <v>2982.3179168692895</v>
      </c>
      <c r="AL201" s="134">
        <f t="shared" si="34"/>
        <v>2984.1639850654201</v>
      </c>
      <c r="AM201" s="134">
        <f t="shared" si="34"/>
        <v>2985.9454490777402</v>
      </c>
      <c r="AN201" s="134">
        <f t="shared" si="34"/>
        <v>2987.6666838610186</v>
      </c>
      <c r="AO201" s="134">
        <f t="shared" si="34"/>
        <v>2989.3316342989751</v>
      </c>
      <c r="AP201" s="134">
        <f t="shared" si="34"/>
        <v>2990.9438698014064</v>
      </c>
      <c r="AQ201" s="134">
        <f t="shared" si="29"/>
        <v>2992.5066305022956</v>
      </c>
    </row>
    <row r="202" spans="1:70" ht="14.1" customHeight="1" x14ac:dyDescent="0.25">
      <c r="G202" s="106"/>
      <c r="H202" s="218"/>
      <c r="J202" s="210"/>
      <c r="K202" s="7" t="s">
        <v>117</v>
      </c>
      <c r="L202" s="132">
        <f t="shared" ref="L202:AP202" si="35">(L115)*8760</f>
        <v>2844.919497608746</v>
      </c>
      <c r="M202" s="132">
        <f t="shared" si="35"/>
        <v>2861.9080700278787</v>
      </c>
      <c r="N202" s="132">
        <f t="shared" si="35"/>
        <v>2873.961653983195</v>
      </c>
      <c r="O202" s="132">
        <f t="shared" si="35"/>
        <v>2883.3111400562429</v>
      </c>
      <c r="P202" s="132">
        <f t="shared" si="35"/>
        <v>2890.9502264023286</v>
      </c>
      <c r="Q202" s="132">
        <f t="shared" si="35"/>
        <v>2897.4089818792741</v>
      </c>
      <c r="R202" s="132">
        <f t="shared" si="35"/>
        <v>2903.0038103576453</v>
      </c>
      <c r="S202" s="132">
        <f t="shared" si="35"/>
        <v>2907.9387988214612</v>
      </c>
      <c r="T202" s="132">
        <f t="shared" si="35"/>
        <v>2912.3532964306928</v>
      </c>
      <c r="U202" s="132">
        <f t="shared" si="35"/>
        <v>2916.3466952694762</v>
      </c>
      <c r="V202" s="132">
        <f t="shared" si="35"/>
        <v>2919.9923827767784</v>
      </c>
      <c r="W202" s="132">
        <f t="shared" si="35"/>
        <v>2923.3460901827743</v>
      </c>
      <c r="X202" s="132">
        <f t="shared" si="35"/>
        <v>2926.4511382537239</v>
      </c>
      <c r="Y202" s="132">
        <f t="shared" si="35"/>
        <v>2929.3418688498255</v>
      </c>
      <c r="Z202" s="132">
        <f t="shared" si="35"/>
        <v>2932.0459667320943</v>
      </c>
      <c r="AA202" s="132">
        <f t="shared" si="35"/>
        <v>2934.5860762446405</v>
      </c>
      <c r="AB202" s="132">
        <f t="shared" si="35"/>
        <v>2936.9809551959102</v>
      </c>
      <c r="AC202" s="132">
        <f t="shared" si="35"/>
        <v>2939.2463163470511</v>
      </c>
      <c r="AD202" s="132">
        <f t="shared" si="35"/>
        <v>2941.3954528051413</v>
      </c>
      <c r="AE202" s="132">
        <f t="shared" si="35"/>
        <v>2943.4397106728561</v>
      </c>
      <c r="AF202" s="132">
        <f t="shared" si="35"/>
        <v>2945.3888516439251</v>
      </c>
      <c r="AG202" s="132">
        <f t="shared" si="35"/>
        <v>2947.2513349316141</v>
      </c>
      <c r="AH202" s="132">
        <f t="shared" si="35"/>
        <v>2949.0345391512265</v>
      </c>
      <c r="AI202" s="132">
        <f t="shared" si="35"/>
        <v>2950.7449388781893</v>
      </c>
      <c r="AJ202" s="132">
        <f t="shared" si="35"/>
        <v>2952.3882465572237</v>
      </c>
      <c r="AK202" s="132">
        <f t="shared" si="35"/>
        <v>2953.9695276150433</v>
      </c>
      <c r="AL202" s="132">
        <f t="shared" si="35"/>
        <v>2955.4932946281729</v>
      </c>
      <c r="AM202" s="132">
        <f t="shared" si="35"/>
        <v>2956.9635849588949</v>
      </c>
      <c r="AN202" s="132">
        <f t="shared" si="35"/>
        <v>2958.3840252242749</v>
      </c>
      <c r="AO202" s="132">
        <f t="shared" si="35"/>
        <v>2959.7578851902731</v>
      </c>
      <c r="AP202" s="132">
        <f t="shared" si="35"/>
        <v>2961.0881231065437</v>
      </c>
      <c r="AQ202" s="132">
        <f t="shared" si="29"/>
        <v>2962.3774240630582</v>
      </c>
    </row>
    <row r="203" spans="1:70" ht="14.1" customHeight="1" thickBot="1" x14ac:dyDescent="0.3">
      <c r="G203" s="106"/>
      <c r="H203" s="218"/>
      <c r="J203" s="210"/>
      <c r="K203" s="121" t="s">
        <v>118</v>
      </c>
      <c r="L203" s="133">
        <f t="shared" ref="L203:AP203" si="36">(L116)*8760</f>
        <v>2830.3984194215213</v>
      </c>
      <c r="M203" s="133">
        <f t="shared" si="36"/>
        <v>2838.8493489757243</v>
      </c>
      <c r="N203" s="133">
        <f t="shared" si="36"/>
        <v>2844.827582400259</v>
      </c>
      <c r="O203" s="133">
        <f t="shared" si="36"/>
        <v>2849.4549363917454</v>
      </c>
      <c r="P203" s="133">
        <f t="shared" si="36"/>
        <v>2853.2296300063158</v>
      </c>
      <c r="Q203" s="133">
        <f t="shared" si="36"/>
        <v>2856.4168714073408</v>
      </c>
      <c r="R203" s="133">
        <f t="shared" si="36"/>
        <v>2859.1747082467718</v>
      </c>
      <c r="S203" s="133">
        <f t="shared" si="36"/>
        <v>2861.6049486327629</v>
      </c>
      <c r="T203" s="133">
        <f t="shared" si="36"/>
        <v>2863.7770280811715</v>
      </c>
      <c r="U203" s="133">
        <f t="shared" si="36"/>
        <v>2865.7404237777878</v>
      </c>
      <c r="V203" s="133">
        <f t="shared" si="36"/>
        <v>2867.5316364067749</v>
      </c>
      <c r="W203" s="133">
        <f t="shared" si="36"/>
        <v>2869.1783636624127</v>
      </c>
      <c r="X203" s="133">
        <f t="shared" si="36"/>
        <v>2870.7021204240937</v>
      </c>
      <c r="Y203" s="133">
        <f t="shared" si="36"/>
        <v>2872.1199514521486</v>
      </c>
      <c r="Z203" s="133">
        <f t="shared" si="36"/>
        <v>2873.4455893984959</v>
      </c>
      <c r="AA203" s="133">
        <f t="shared" si="36"/>
        <v>2874.6902606209505</v>
      </c>
      <c r="AB203" s="133">
        <f t="shared" si="36"/>
        <v>2875.8632599840139</v>
      </c>
      <c r="AC203" s="133">
        <f t="shared" si="36"/>
        <v>2876.9723698155976</v>
      </c>
      <c r="AD203" s="133">
        <f t="shared" si="36"/>
        <v>2878.0241711182834</v>
      </c>
      <c r="AE203" s="133">
        <f t="shared" si="36"/>
        <v>2879.0242786607205</v>
      </c>
      <c r="AF203" s="133">
        <f t="shared" si="36"/>
        <v>2879.9775212492968</v>
      </c>
      <c r="AG203" s="133">
        <f t="shared" si="36"/>
        <v>2880.8880818361022</v>
      </c>
      <c r="AH203" s="133">
        <f t="shared" si="36"/>
        <v>2881.7596077427793</v>
      </c>
      <c r="AI203" s="133">
        <f t="shared" si="36"/>
        <v>2882.5952983358898</v>
      </c>
      <c r="AJ203" s="133">
        <f t="shared" si="36"/>
        <v>2883.3979754712282</v>
      </c>
      <c r="AK203" s="133">
        <f t="shared" si="36"/>
        <v>2884.1701406168668</v>
      </c>
      <c r="AL203" s="133">
        <f t="shared" si="36"/>
        <v>2884.914021567472</v>
      </c>
      <c r="AM203" s="133">
        <f t="shared" si="36"/>
        <v>2885.6316109456293</v>
      </c>
      <c r="AN203" s="133">
        <f t="shared" si="36"/>
        <v>2886.3246981638977</v>
      </c>
      <c r="AO203" s="133">
        <f t="shared" si="36"/>
        <v>2886.9948961364853</v>
      </c>
      <c r="AP203" s="133">
        <f t="shared" si="36"/>
        <v>2887.6436637424667</v>
      </c>
      <c r="AQ203" s="133">
        <f t="shared" ref="AQ203" si="37">(AQ116)*8760</f>
        <v>2888.2723248263237</v>
      </c>
    </row>
    <row r="204" spans="1:70" ht="14.1" hidden="1" customHeight="1" thickTop="1" x14ac:dyDescent="0.25">
      <c r="G204" s="106"/>
      <c r="H204" s="218"/>
      <c r="J204" s="210"/>
      <c r="K204" s="119" t="s">
        <v>119</v>
      </c>
      <c r="L204" s="134">
        <f t="shared" ref="L204:AP204" si="38">(L117)*8760</f>
        <v>2781.045822308417</v>
      </c>
      <c r="M204" s="134">
        <f t="shared" si="38"/>
        <v>2800.9743995744911</v>
      </c>
      <c r="N204" s="134">
        <f t="shared" si="38"/>
        <v>2815.1307369225178</v>
      </c>
      <c r="O204" s="134">
        <f t="shared" si="38"/>
        <v>2826.1204558349559</v>
      </c>
      <c r="P204" s="134">
        <f t="shared" si="38"/>
        <v>2835.1055332565229</v>
      </c>
      <c r="Q204" s="134">
        <f t="shared" si="38"/>
        <v>2842.7063227367735</v>
      </c>
      <c r="R204" s="134">
        <f t="shared" si="38"/>
        <v>2849.2933614556669</v>
      </c>
      <c r="S204" s="134">
        <f t="shared" si="38"/>
        <v>2855.1057809166305</v>
      </c>
      <c r="T204" s="134">
        <f t="shared" si="38"/>
        <v>2860.3069320477621</v>
      </c>
      <c r="U204" s="134">
        <f t="shared" si="38"/>
        <v>2865.0133719134215</v>
      </c>
      <c r="V204" s="134">
        <f t="shared" si="38"/>
        <v>2869.3111915691634</v>
      </c>
      <c r="W204" s="134">
        <f t="shared" si="38"/>
        <v>2873.2657896359383</v>
      </c>
      <c r="X204" s="134">
        <f t="shared" si="38"/>
        <v>2876.9280156422515</v>
      </c>
      <c r="Y204" s="134">
        <f t="shared" si="38"/>
        <v>2880.3381899911979</v>
      </c>
      <c r="Z204" s="134">
        <f t="shared" si="38"/>
        <v>2883.5288246450496</v>
      </c>
      <c r="AA204" s="134">
        <f t="shared" si="38"/>
        <v>2886.5265180292413</v>
      </c>
      <c r="AB204" s="134">
        <f t="shared" si="38"/>
        <v>2889.3533078063492</v>
      </c>
      <c r="AC204" s="134">
        <f t="shared" si="38"/>
        <v>2892.0276576241827</v>
      </c>
      <c r="AD204" s="134">
        <f t="shared" si="38"/>
        <v>2894.5651906137405</v>
      </c>
      <c r="AE204" s="134">
        <f t="shared" si="38"/>
        <v>2896.9792438450595</v>
      </c>
      <c r="AF204" s="134">
        <f t="shared" si="38"/>
        <v>2899.2812937560016</v>
      </c>
      <c r="AG204" s="134">
        <f t="shared" si="38"/>
        <v>2901.4812869906814</v>
      </c>
      <c r="AH204" s="134">
        <f t="shared" si="38"/>
        <v>2903.5879008160173</v>
      </c>
      <c r="AI204" s="134">
        <f t="shared" si="38"/>
        <v>2905.6087503734575</v>
      </c>
      <c r="AJ204" s="134">
        <f t="shared" si="38"/>
        <v>2907.5505552819786</v>
      </c>
      <c r="AK204" s="134">
        <f t="shared" si="38"/>
        <v>2909.419274800051</v>
      </c>
      <c r="AL204" s="134">
        <f t="shared" si="38"/>
        <v>2911.2202184090588</v>
      </c>
      <c r="AM204" s="134">
        <f t="shared" si="38"/>
        <v>2912.9581369942948</v>
      </c>
      <c r="AN204" s="134">
        <f t="shared" si="38"/>
        <v>2914.6372985707985</v>
      </c>
      <c r="AO204" s="134">
        <f t="shared" si="38"/>
        <v>2916.2615515950574</v>
      </c>
      <c r="AP204" s="134">
        <f t="shared" si="38"/>
        <v>2917.834378227577</v>
      </c>
      <c r="AQ204" s="134">
        <f t="shared" ref="AQ204:AQ210" si="39">(AQ117)*8760</f>
        <v>2919.3589394017376</v>
      </c>
    </row>
    <row r="205" spans="1:70" ht="14.1" hidden="1" customHeight="1" x14ac:dyDescent="0.25">
      <c r="G205" s="106"/>
      <c r="H205" s="218"/>
      <c r="J205" s="210"/>
      <c r="K205" s="7" t="s">
        <v>120</v>
      </c>
      <c r="L205" s="132">
        <f t="shared" ref="L205:AP205" si="40">(L118)*8760</f>
        <v>2775.3793701129866</v>
      </c>
      <c r="M205" s="132">
        <f t="shared" si="40"/>
        <v>2791.9526803452663</v>
      </c>
      <c r="N205" s="132">
        <f t="shared" si="40"/>
        <v>2803.7116310901397</v>
      </c>
      <c r="O205" s="132">
        <f t="shared" si="40"/>
        <v>2812.8325818903663</v>
      </c>
      <c r="P205" s="132">
        <f t="shared" si="40"/>
        <v>2820.2849413224199</v>
      </c>
      <c r="Q205" s="132">
        <f t="shared" si="40"/>
        <v>2826.5858214430646</v>
      </c>
      <c r="R205" s="132">
        <f t="shared" si="40"/>
        <v>2832.0438920672923</v>
      </c>
      <c r="S205" s="132">
        <f t="shared" si="40"/>
        <v>2836.8582515546987</v>
      </c>
      <c r="T205" s="132">
        <f t="shared" si="40"/>
        <v>2841.1648428675189</v>
      </c>
      <c r="U205" s="132">
        <f t="shared" si="40"/>
        <v>2845.0606285876811</v>
      </c>
      <c r="V205" s="132">
        <f t="shared" si="40"/>
        <v>2848.6172022995734</v>
      </c>
      <c r="W205" s="132">
        <f t="shared" si="40"/>
        <v>2851.8889329604299</v>
      </c>
      <c r="X205" s="132">
        <f t="shared" si="40"/>
        <v>2854.9180824202181</v>
      </c>
      <c r="Y205" s="132">
        <f t="shared" si="40"/>
        <v>2857.7381530997995</v>
      </c>
      <c r="Z205" s="132">
        <f t="shared" si="40"/>
        <v>2860.3761530444458</v>
      </c>
      <c r="AA205" s="132">
        <f t="shared" si="40"/>
        <v>2862.8541730885545</v>
      </c>
      <c r="AB205" s="132">
        <f t="shared" si="40"/>
        <v>2865.1905125318531</v>
      </c>
      <c r="AC205" s="132">
        <f t="shared" si="40"/>
        <v>2867.4005000587458</v>
      </c>
      <c r="AD205" s="132">
        <f t="shared" si="40"/>
        <v>2869.497103844672</v>
      </c>
      <c r="AE205" s="132">
        <f t="shared" si="40"/>
        <v>2871.4913926524978</v>
      </c>
      <c r="AF205" s="132">
        <f t="shared" si="40"/>
        <v>2873.3928895648337</v>
      </c>
      <c r="AG205" s="132">
        <f t="shared" si="40"/>
        <v>2875.2098470211617</v>
      </c>
      <c r="AH205" s="132">
        <f t="shared" si="40"/>
        <v>2876.9494632767255</v>
      </c>
      <c r="AI205" s="132">
        <f t="shared" si="40"/>
        <v>2878.6180546448991</v>
      </c>
      <c r="AJ205" s="132">
        <f t="shared" si="40"/>
        <v>2880.2211939375825</v>
      </c>
      <c r="AK205" s="132">
        <f t="shared" si="40"/>
        <v>2881.7638227641319</v>
      </c>
      <c r="AL205" s="132">
        <f t="shared" si="40"/>
        <v>2883.2503433973707</v>
      </c>
      <c r="AM205" s="132">
        <f t="shared" si="40"/>
        <v>2884.6846945118377</v>
      </c>
      <c r="AN205" s="132">
        <f t="shared" si="40"/>
        <v>2886.0704140769521</v>
      </c>
      <c r="AO205" s="132">
        <f t="shared" si="40"/>
        <v>2887.4106919337632</v>
      </c>
      <c r="AP205" s="132">
        <f t="shared" si="40"/>
        <v>2888.7084140215989</v>
      </c>
      <c r="AQ205" s="132">
        <f t="shared" si="39"/>
        <v>2889.9661997971134</v>
      </c>
    </row>
    <row r="206" spans="1:70" ht="14.1" hidden="1" customHeight="1" thickBot="1" x14ac:dyDescent="0.3">
      <c r="G206" s="106"/>
      <c r="H206" s="218"/>
      <c r="J206" s="210"/>
      <c r="K206" s="121" t="s">
        <v>121</v>
      </c>
      <c r="L206" s="133">
        <f t="shared" ref="L206:AP206" si="41">(L119)*8760</f>
        <v>2761.2132396244106</v>
      </c>
      <c r="M206" s="133">
        <f t="shared" si="41"/>
        <v>2769.4575978787398</v>
      </c>
      <c r="N206" s="133">
        <f t="shared" si="41"/>
        <v>2775.2897016448119</v>
      </c>
      <c r="O206" s="133">
        <f t="shared" si="41"/>
        <v>2779.8039463596356</v>
      </c>
      <c r="P206" s="133">
        <f t="shared" si="41"/>
        <v>2783.4863728026962</v>
      </c>
      <c r="Q206" s="133">
        <f t="shared" si="41"/>
        <v>2786.5957064901377</v>
      </c>
      <c r="R206" s="133">
        <f t="shared" si="41"/>
        <v>2789.2861318173668</v>
      </c>
      <c r="S206" s="133">
        <f t="shared" si="41"/>
        <v>2791.6569683339585</v>
      </c>
      <c r="T206" s="133">
        <f t="shared" si="41"/>
        <v>2793.7759543004959</v>
      </c>
      <c r="U206" s="133">
        <f t="shared" si="41"/>
        <v>2795.6913575013032</v>
      </c>
      <c r="V206" s="133">
        <f t="shared" si="41"/>
        <v>2797.4387864117361</v>
      </c>
      <c r="W206" s="133">
        <f t="shared" si="41"/>
        <v>2799.0452616941971</v>
      </c>
      <c r="X206" s="133">
        <f t="shared" si="41"/>
        <v>2800.5317723265703</v>
      </c>
      <c r="Y206" s="133">
        <f t="shared" si="41"/>
        <v>2801.9149464335624</v>
      </c>
      <c r="Z206" s="133">
        <f t="shared" si="41"/>
        <v>2803.2081809913852</v>
      </c>
      <c r="AA206" s="133">
        <f t="shared" si="41"/>
        <v>2804.4224279450432</v>
      </c>
      <c r="AB206" s="133">
        <f t="shared" si="41"/>
        <v>2805.5667549589143</v>
      </c>
      <c r="AC206" s="133">
        <f t="shared" si="41"/>
        <v>2806.6487541326528</v>
      </c>
      <c r="AD206" s="133">
        <f t="shared" si="41"/>
        <v>2807.6748456053238</v>
      </c>
      <c r="AE206" s="133">
        <f t="shared" si="41"/>
        <v>2808.6505069003119</v>
      </c>
      <c r="AF206" s="133">
        <f t="shared" si="41"/>
        <v>2809.5804487905025</v>
      </c>
      <c r="AG206" s="133">
        <f t="shared" si="41"/>
        <v>2810.4687519815016</v>
      </c>
      <c r="AH206" s="133">
        <f t="shared" si="41"/>
        <v>2811.3189746412081</v>
      </c>
      <c r="AI206" s="133">
        <f t="shared" si="41"/>
        <v>2812.1342379320909</v>
      </c>
      <c r="AJ206" s="133">
        <f t="shared" si="41"/>
        <v>2812.9172947335755</v>
      </c>
      <c r="AK206" s="133">
        <f t="shared" si="41"/>
        <v>2813.6705853688036</v>
      </c>
      <c r="AL206" s="133">
        <f t="shared" si="41"/>
        <v>2814.3962831770777</v>
      </c>
      <c r="AM206" s="133">
        <f t="shared" si="41"/>
        <v>2815.0963320740752</v>
      </c>
      <c r="AN206" s="133">
        <f t="shared" si="41"/>
        <v>2815.7724777326389</v>
      </c>
      <c r="AO206" s="133">
        <f t="shared" si="41"/>
        <v>2816.4262936415162</v>
      </c>
      <c r="AP206" s="133">
        <f t="shared" si="41"/>
        <v>2817.0592030194975</v>
      </c>
      <c r="AQ206" s="133">
        <f t="shared" si="39"/>
        <v>2817.6724973515152</v>
      </c>
    </row>
    <row r="207" spans="1:70" ht="14.1" hidden="1" customHeight="1" thickTop="1" x14ac:dyDescent="0.25">
      <c r="G207" s="106"/>
      <c r="H207" s="218"/>
      <c r="J207" s="210"/>
      <c r="K207" s="119" t="s">
        <v>122</v>
      </c>
      <c r="L207" s="134">
        <f t="shared" ref="L207:AP207" si="42">(L120)*8760</f>
        <v>2731.762055539607</v>
      </c>
      <c r="M207" s="134">
        <f t="shared" si="42"/>
        <v>2751.3374723700863</v>
      </c>
      <c r="N207" s="134">
        <f t="shared" si="42"/>
        <v>2765.2429409181223</v>
      </c>
      <c r="O207" s="134">
        <f t="shared" si="42"/>
        <v>2776.0379076479853</v>
      </c>
      <c r="P207" s="134">
        <f t="shared" si="42"/>
        <v>2784.8637577542413</v>
      </c>
      <c r="Q207" s="134">
        <f t="shared" si="42"/>
        <v>2792.3298513107502</v>
      </c>
      <c r="R207" s="134">
        <f t="shared" si="42"/>
        <v>2798.8001590943554</v>
      </c>
      <c r="S207" s="134">
        <f t="shared" si="42"/>
        <v>2804.5095748856993</v>
      </c>
      <c r="T207" s="134">
        <f t="shared" si="42"/>
        <v>2809.6185548209373</v>
      </c>
      <c r="U207" s="134">
        <f t="shared" si="42"/>
        <v>2814.2415904209097</v>
      </c>
      <c r="V207" s="134">
        <f t="shared" si="42"/>
        <v>2818.4632470951465</v>
      </c>
      <c r="W207" s="134">
        <f t="shared" si="42"/>
        <v>2822.3477645155604</v>
      </c>
      <c r="X207" s="134">
        <f t="shared" si="42"/>
        <v>2825.9450910905521</v>
      </c>
      <c r="Y207" s="134">
        <f t="shared" si="42"/>
        <v>2829.2948326929722</v>
      </c>
      <c r="Z207" s="134">
        <f t="shared" si="42"/>
        <v>2832.4289251306318</v>
      </c>
      <c r="AA207" s="134">
        <f t="shared" si="42"/>
        <v>2835.3734954701017</v>
      </c>
      <c r="AB207" s="134">
        <f t="shared" si="42"/>
        <v>2838.1501908377759</v>
      </c>
      <c r="AC207" s="134">
        <f t="shared" si="42"/>
        <v>2840.7771476814901</v>
      </c>
      <c r="AD207" s="134">
        <f t="shared" si="42"/>
        <v>2843.2697122699442</v>
      </c>
      <c r="AE207" s="134">
        <f t="shared" si="42"/>
        <v>2845.640985322862</v>
      </c>
      <c r="AF207" s="134">
        <f t="shared" si="42"/>
        <v>2847.9022399006276</v>
      </c>
      <c r="AG207" s="134">
        <f t="shared" si="42"/>
        <v>2850.0632463798206</v>
      </c>
      <c r="AH207" s="134">
        <f t="shared" si="42"/>
        <v>2852.1325282548496</v>
      </c>
      <c r="AI207" s="134">
        <f t="shared" si="42"/>
        <v>2854.1175657169038</v>
      </c>
      <c r="AJ207" s="134">
        <f t="shared" si="42"/>
        <v>2856.0249593045264</v>
      </c>
      <c r="AK207" s="134">
        <f t="shared" si="42"/>
        <v>2857.860562670342</v>
      </c>
      <c r="AL207" s="134">
        <f t="shared" si="42"/>
        <v>2859.6295912047844</v>
      </c>
      <c r="AM207" s="134">
        <f t="shared" si="42"/>
        <v>2861.3367116012487</v>
      </c>
      <c r="AN207" s="134">
        <f t="shared" si="42"/>
        <v>2862.9861162399702</v>
      </c>
      <c r="AO207" s="134">
        <f t="shared" si="42"/>
        <v>2864.5815853777576</v>
      </c>
      <c r="AP207" s="134">
        <f t="shared" si="42"/>
        <v>2866.1265394666821</v>
      </c>
      <c r="AQ207" s="134">
        <f t="shared" si="39"/>
        <v>2867.6240834242517</v>
      </c>
    </row>
    <row r="208" spans="1:70" ht="14.1" hidden="1" customHeight="1" x14ac:dyDescent="0.25">
      <c r="G208" s="106"/>
      <c r="H208" s="218"/>
      <c r="J208" s="210"/>
      <c r="K208" s="7" t="s">
        <v>123</v>
      </c>
      <c r="L208" s="132">
        <f t="shared" ref="L208:AP208" si="43">(L121)*8760</f>
        <v>2726.1960202830724</v>
      </c>
      <c r="M208" s="132">
        <f t="shared" si="43"/>
        <v>2742.4756297968947</v>
      </c>
      <c r="N208" s="132">
        <f t="shared" si="43"/>
        <v>2754.0261965657446</v>
      </c>
      <c r="O208" s="132">
        <f t="shared" si="43"/>
        <v>2762.9855121968048</v>
      </c>
      <c r="P208" s="132">
        <f t="shared" si="43"/>
        <v>2770.3058060795674</v>
      </c>
      <c r="Q208" s="132">
        <f t="shared" si="43"/>
        <v>2776.4950263692908</v>
      </c>
      <c r="R208" s="132">
        <f t="shared" si="43"/>
        <v>2781.8563728484164</v>
      </c>
      <c r="S208" s="132">
        <f t="shared" si="43"/>
        <v>2786.5854155933894</v>
      </c>
      <c r="T208" s="132">
        <f t="shared" si="43"/>
        <v>2790.8156884794762</v>
      </c>
      <c r="U208" s="132">
        <f t="shared" si="43"/>
        <v>2794.6424357849264</v>
      </c>
      <c r="V208" s="132">
        <f t="shared" si="43"/>
        <v>2798.1359823622392</v>
      </c>
      <c r="W208" s="132">
        <f t="shared" si="43"/>
        <v>2801.3497336796686</v>
      </c>
      <c r="X208" s="132">
        <f t="shared" si="43"/>
        <v>2804.3252026519631</v>
      </c>
      <c r="Y208" s="132">
        <f t="shared" si="43"/>
        <v>2807.095297993299</v>
      </c>
      <c r="Z208" s="132">
        <f t="shared" si="43"/>
        <v>2809.6865491310887</v>
      </c>
      <c r="AA208" s="132">
        <f t="shared" si="43"/>
        <v>2812.120655421269</v>
      </c>
      <c r="AB208" s="132">
        <f t="shared" si="43"/>
        <v>2814.4155918760612</v>
      </c>
      <c r="AC208" s="132">
        <f t="shared" si="43"/>
        <v>2816.5864155355475</v>
      </c>
      <c r="AD208" s="132">
        <f t="shared" si="43"/>
        <v>2818.645864762148</v>
      </c>
      <c r="AE208" s="132">
        <f t="shared" si="43"/>
        <v>2820.604812165785</v>
      </c>
      <c r="AF208" s="132">
        <f t="shared" si="43"/>
        <v>2822.4726120675973</v>
      </c>
      <c r="AG208" s="132">
        <f t="shared" si="43"/>
        <v>2824.2573706630551</v>
      </c>
      <c r="AH208" s="132">
        <f t="shared" si="43"/>
        <v>2825.9661586449106</v>
      </c>
      <c r="AI208" s="132">
        <f t="shared" si="43"/>
        <v>2827.6051803932087</v>
      </c>
      <c r="AJ208" s="132">
        <f t="shared" si="43"/>
        <v>2829.1799099623404</v>
      </c>
      <c r="AK208" s="132">
        <f t="shared" si="43"/>
        <v>2830.6952013898845</v>
      </c>
      <c r="AL208" s="132">
        <f t="shared" si="43"/>
        <v>2832.1553789346349</v>
      </c>
      <c r="AM208" s="132">
        <f t="shared" si="43"/>
        <v>2833.5643114726713</v>
      </c>
      <c r="AN208" s="132">
        <f t="shared" si="43"/>
        <v>2834.9254742759713</v>
      </c>
      <c r="AO208" s="132">
        <f t="shared" si="43"/>
        <v>2836.2420006574303</v>
      </c>
      <c r="AP208" s="132">
        <f t="shared" si="43"/>
        <v>2837.5167254137609</v>
      </c>
      <c r="AQ208" s="132">
        <f t="shared" si="39"/>
        <v>2838.7522215814206</v>
      </c>
    </row>
    <row r="209" spans="7:43" ht="14.1" hidden="1" customHeight="1" thickBot="1" x14ac:dyDescent="0.3">
      <c r="G209" s="106"/>
      <c r="H209" s="218"/>
      <c r="J209" s="210"/>
      <c r="K209" s="121" t="s">
        <v>124</v>
      </c>
      <c r="L209" s="137">
        <f t="shared" ref="L209:AP209" si="44">(L122)*8760</f>
        <v>2712.2809321417362</v>
      </c>
      <c r="M209" s="137">
        <f t="shared" si="44"/>
        <v>2720.3791895925101</v>
      </c>
      <c r="N209" s="137">
        <f t="shared" si="44"/>
        <v>2726.1079408573491</v>
      </c>
      <c r="O209" s="137">
        <f t="shared" si="44"/>
        <v>2730.5421872557558</v>
      </c>
      <c r="P209" s="137">
        <f t="shared" si="44"/>
        <v>2734.159356289354</v>
      </c>
      <c r="Q209" s="137">
        <f t="shared" si="44"/>
        <v>2737.2135885199873</v>
      </c>
      <c r="R209" s="137">
        <f t="shared" si="44"/>
        <v>2739.8563359940599</v>
      </c>
      <c r="S209" s="137">
        <f t="shared" si="44"/>
        <v>2742.18515818892</v>
      </c>
      <c r="T209" s="137">
        <f t="shared" si="44"/>
        <v>2744.2665929546379</v>
      </c>
      <c r="U209" s="137">
        <f t="shared" si="44"/>
        <v>2746.1480527073145</v>
      </c>
      <c r="V209" s="137">
        <f t="shared" si="44"/>
        <v>2747.8645148935834</v>
      </c>
      <c r="W209" s="137">
        <f t="shared" si="44"/>
        <v>2749.4425213343929</v>
      </c>
      <c r="X209" s="137">
        <f t="shared" si="44"/>
        <v>2750.9026890555069</v>
      </c>
      <c r="Y209" s="137">
        <f t="shared" si="44"/>
        <v>2752.2613515095286</v>
      </c>
      <c r="Z209" s="137">
        <f t="shared" si="44"/>
        <v>2753.5316682607431</v>
      </c>
      <c r="AA209" s="137">
        <f t="shared" si="44"/>
        <v>2754.7243971713747</v>
      </c>
      <c r="AB209" s="137">
        <f t="shared" si="44"/>
        <v>2755.8484452149364</v>
      </c>
      <c r="AC209" s="137">
        <f t="shared" si="44"/>
        <v>2756.9112699491557</v>
      </c>
      <c r="AD209" s="137">
        <f t="shared" si="44"/>
        <v>2757.9191777398391</v>
      </c>
      <c r="AE209" s="137">
        <f t="shared" si="44"/>
        <v>2758.8775490415014</v>
      </c>
      <c r="AF209" s="137">
        <f t="shared" si="44"/>
        <v>2759.7910111459742</v>
      </c>
      <c r="AG209" s="137">
        <f t="shared" si="44"/>
        <v>2760.663572443425</v>
      </c>
      <c r="AH209" s="137">
        <f t="shared" si="44"/>
        <v>2761.4987280463697</v>
      </c>
      <c r="AI209" s="137">
        <f t="shared" si="44"/>
        <v>2762.2995438061976</v>
      </c>
      <c r="AJ209" s="137">
        <f t="shared" si="44"/>
        <v>2763.0687238177129</v>
      </c>
      <c r="AK209" s="137">
        <f t="shared" si="44"/>
        <v>2763.8086651583421</v>
      </c>
      <c r="AL209" s="137">
        <f t="shared" si="44"/>
        <v>2764.5215026529745</v>
      </c>
      <c r="AM209" s="137">
        <f t="shared" si="44"/>
        <v>2765.2091457685606</v>
      </c>
      <c r="AN209" s="137">
        <f t="shared" si="44"/>
        <v>2765.873309242339</v>
      </c>
      <c r="AO209" s="137">
        <f t="shared" si="44"/>
        <v>2766.5155386787806</v>
      </c>
      <c r="AP209" s="137">
        <f t="shared" si="44"/>
        <v>2767.137232075379</v>
      </c>
      <c r="AQ209" s="137">
        <f t="shared" si="39"/>
        <v>2767.7396580302639</v>
      </c>
    </row>
    <row r="210" spans="7:43" ht="14.1" hidden="1" customHeight="1" thickTop="1" x14ac:dyDescent="0.25">
      <c r="G210" s="106"/>
      <c r="H210" s="218"/>
      <c r="J210" s="211"/>
      <c r="K210" s="119" t="s">
        <v>125</v>
      </c>
      <c r="L210" s="134">
        <f t="shared" ref="L210:AP210" si="45">(L123)*8760</f>
        <v>2694.7955118376317</v>
      </c>
      <c r="M210" s="134">
        <f t="shared" si="45"/>
        <v>2714.1060316942762</v>
      </c>
      <c r="N210" s="134">
        <f t="shared" si="45"/>
        <v>2727.8233297134284</v>
      </c>
      <c r="O210" s="134">
        <f t="shared" si="45"/>
        <v>2738.4722176116552</v>
      </c>
      <c r="P210" s="134">
        <f t="shared" si="45"/>
        <v>2747.1786352171935</v>
      </c>
      <c r="Q210" s="134">
        <f t="shared" si="45"/>
        <v>2754.5436966676371</v>
      </c>
      <c r="R210" s="134">
        <f t="shared" si="45"/>
        <v>2760.9264474420356</v>
      </c>
      <c r="S210" s="134">
        <f t="shared" si="45"/>
        <v>2766.5586027091936</v>
      </c>
      <c r="T210" s="134">
        <f t="shared" si="45"/>
        <v>2771.5984472928862</v>
      </c>
      <c r="U210" s="134">
        <f t="shared" si="45"/>
        <v>2776.1589234004623</v>
      </c>
      <c r="V210" s="134">
        <f t="shared" si="45"/>
        <v>2780.3234520918181</v>
      </c>
      <c r="W210" s="134">
        <f t="shared" si="45"/>
        <v>2784.1554037396418</v>
      </c>
      <c r="X210" s="134">
        <f t="shared" si="45"/>
        <v>2787.7040508442606</v>
      </c>
      <c r="Y210" s="134">
        <f t="shared" si="45"/>
        <v>2791.0084633269339</v>
      </c>
      <c r="Z210" s="134">
        <f t="shared" si="45"/>
        <v>2794.1001448361499</v>
      </c>
      <c r="AA210" s="134">
        <f t="shared" si="45"/>
        <v>2797.0048688837669</v>
      </c>
      <c r="AB210" s="134">
        <f t="shared" si="45"/>
        <v>2799.7439896645737</v>
      </c>
      <c r="AC210" s="134">
        <f t="shared" si="45"/>
        <v>2802.3353982017411</v>
      </c>
      <c r="AD210" s="134">
        <f t="shared" si="45"/>
        <v>2804.794233096351</v>
      </c>
      <c r="AE210" s="134">
        <f t="shared" si="45"/>
        <v>2807.1334177875601</v>
      </c>
      <c r="AF210" s="134">
        <f t="shared" si="45"/>
        <v>2809.364072787298</v>
      </c>
      <c r="AG210" s="134">
        <f t="shared" si="45"/>
        <v>2811.4958362581951</v>
      </c>
      <c r="AH210" s="134">
        <f t="shared" si="45"/>
        <v>2813.537116353672</v>
      </c>
      <c r="AI210" s="134">
        <f t="shared" si="45"/>
        <v>2815.4952920420433</v>
      </c>
      <c r="AJ210" s="134">
        <f t="shared" si="45"/>
        <v>2817.3768745425441</v>
      </c>
      <c r="AK210" s="134">
        <f t="shared" si="45"/>
        <v>2819.187638295442</v>
      </c>
      <c r="AL210" s="134">
        <f t="shared" si="45"/>
        <v>2820.9327281158598</v>
      </c>
      <c r="AM210" s="134">
        <f t="shared" si="45"/>
        <v>2822.6167475469192</v>
      </c>
      <c r="AN210" s="134">
        <f t="shared" si="45"/>
        <v>2824.2438322370435</v>
      </c>
      <c r="AO210" s="134">
        <f t="shared" si="45"/>
        <v>2825.8177112881381</v>
      </c>
      <c r="AP210" s="134">
        <f t="shared" si="45"/>
        <v>2827.3417588662878</v>
      </c>
      <c r="AQ210" s="134">
        <f t="shared" si="39"/>
        <v>2828.8190378728746</v>
      </c>
    </row>
    <row r="211" spans="7:43" ht="14.1" hidden="1" customHeight="1" x14ac:dyDescent="0.25">
      <c r="G211" s="106"/>
      <c r="H211" s="218"/>
      <c r="J211" s="211"/>
      <c r="K211" s="7" t="s">
        <v>126</v>
      </c>
      <c r="L211" s="132">
        <f t="shared" ref="L211:AP211" si="46">(L124)*8760</f>
        <v>2689.304796862064</v>
      </c>
      <c r="M211" s="132">
        <f t="shared" si="46"/>
        <v>2705.36410867634</v>
      </c>
      <c r="N211" s="132">
        <f t="shared" si="46"/>
        <v>2716.7583717399025</v>
      </c>
      <c r="O211" s="132">
        <f t="shared" si="46"/>
        <v>2725.5964487981728</v>
      </c>
      <c r="P211" s="132">
        <f t="shared" si="46"/>
        <v>2732.817683554179</v>
      </c>
      <c r="Q211" s="132">
        <f t="shared" si="46"/>
        <v>2738.9231505456032</v>
      </c>
      <c r="R211" s="132">
        <f t="shared" si="46"/>
        <v>2744.2119466177419</v>
      </c>
      <c r="S211" s="132">
        <f t="shared" si="46"/>
        <v>2748.8769953684546</v>
      </c>
      <c r="T211" s="132">
        <f t="shared" si="46"/>
        <v>2753.0500236760117</v>
      </c>
      <c r="U211" s="132">
        <f t="shared" si="46"/>
        <v>2756.8249869612473</v>
      </c>
      <c r="V211" s="132">
        <f t="shared" si="46"/>
        <v>2760.2712584320179</v>
      </c>
      <c r="W211" s="132">
        <f t="shared" si="46"/>
        <v>2763.4415208671408</v>
      </c>
      <c r="X211" s="132">
        <f t="shared" si="46"/>
        <v>2766.3767254234413</v>
      </c>
      <c r="Y211" s="132">
        <f t="shared" si="46"/>
        <v>2769.1093354902878</v>
      </c>
      <c r="Z211" s="132">
        <f t="shared" si="46"/>
        <v>2771.6655214955799</v>
      </c>
      <c r="AA211" s="132">
        <f t="shared" si="46"/>
        <v>2774.0666891568744</v>
      </c>
      <c r="AB211" s="132">
        <f t="shared" si="46"/>
        <v>2776.3305702462935</v>
      </c>
      <c r="AC211" s="132">
        <f t="shared" si="46"/>
        <v>2778.4720180501795</v>
      </c>
      <c r="AD211" s="132">
        <f t="shared" si="46"/>
        <v>2780.5035985538498</v>
      </c>
      <c r="AE211" s="132">
        <f t="shared" si="46"/>
        <v>2782.4360372377173</v>
      </c>
      <c r="AF211" s="132">
        <f t="shared" si="46"/>
        <v>2784.2785618390853</v>
      </c>
      <c r="AG211" s="132">
        <f t="shared" si="46"/>
        <v>2786.0391688593782</v>
      </c>
      <c r="AH211" s="132">
        <f t="shared" si="46"/>
        <v>2787.7248333098551</v>
      </c>
      <c r="AI211" s="132">
        <f t="shared" si="46"/>
        <v>2789.3416756121196</v>
      </c>
      <c r="AJ211" s="132">
        <f t="shared" si="46"/>
        <v>2790.8950957449783</v>
      </c>
      <c r="AK211" s="132">
        <f t="shared" si="46"/>
        <v>2792.3898820605687</v>
      </c>
      <c r="AL211" s="132">
        <f t="shared" si="46"/>
        <v>2793.8303003012793</v>
      </c>
      <c r="AM211" s="132">
        <f t="shared" si="46"/>
        <v>2795.2201669890769</v>
      </c>
      <c r="AN211" s="132">
        <f t="shared" si="46"/>
        <v>2796.5629103681258</v>
      </c>
      <c r="AO211" s="132">
        <f t="shared" si="46"/>
        <v>2797.8616213509431</v>
      </c>
      <c r="AP211" s="132">
        <f t="shared" si="46"/>
        <v>2799.1190963734189</v>
      </c>
      <c r="AQ211" s="132">
        <f t="shared" ref="AQ211" si="47">(AQ124)*8760</f>
        <v>2800.3378736533618</v>
      </c>
    </row>
    <row r="212" spans="7:43" ht="14.1" hidden="1" customHeight="1" thickBot="1" x14ac:dyDescent="0.3">
      <c r="G212" s="106"/>
      <c r="H212" s="218"/>
      <c r="J212" s="211"/>
      <c r="K212" s="121" t="s">
        <v>127</v>
      </c>
      <c r="L212" s="133">
        <f t="shared" ref="L212:AP212" si="48">(L125)*8760</f>
        <v>2675.5780094231445</v>
      </c>
      <c r="M212" s="133">
        <f t="shared" si="48"/>
        <v>2683.5666802474557</v>
      </c>
      <c r="N212" s="133">
        <f t="shared" si="48"/>
        <v>2689.2179093380782</v>
      </c>
      <c r="O212" s="133">
        <f t="shared" si="48"/>
        <v>2693.5921509630316</v>
      </c>
      <c r="P212" s="133">
        <f t="shared" si="48"/>
        <v>2697.1603720156413</v>
      </c>
      <c r="Q212" s="133">
        <f t="shared" si="48"/>
        <v>2700.1732739960794</v>
      </c>
      <c r="R212" s="133">
        <f t="shared" si="48"/>
        <v>2702.7802594828322</v>
      </c>
      <c r="S212" s="133">
        <f t="shared" si="48"/>
        <v>2705.0775677662714</v>
      </c>
      <c r="T212" s="133">
        <f t="shared" si="48"/>
        <v>2707.1308362980108</v>
      </c>
      <c r="U212" s="133">
        <f t="shared" si="48"/>
        <v>2708.9868359034426</v>
      </c>
      <c r="V212" s="133">
        <f t="shared" si="48"/>
        <v>2710.6800707100456</v>
      </c>
      <c r="W212" s="133">
        <f t="shared" si="48"/>
        <v>2712.2367233715472</v>
      </c>
      <c r="X212" s="133">
        <f t="shared" si="48"/>
        <v>2713.6771319215545</v>
      </c>
      <c r="Y212" s="133">
        <f t="shared" si="48"/>
        <v>2715.0174087863638</v>
      </c>
      <c r="Z212" s="133">
        <f t="shared" si="48"/>
        <v>2716.270535453396</v>
      </c>
      <c r="AA212" s="133">
        <f t="shared" si="48"/>
        <v>2717.447124208149</v>
      </c>
      <c r="AB212" s="133">
        <f t="shared" si="48"/>
        <v>2718.5559614938634</v>
      </c>
      <c r="AC212" s="133">
        <f t="shared" si="48"/>
        <v>2719.604403951666</v>
      </c>
      <c r="AD212" s="133">
        <f t="shared" si="48"/>
        <v>2720.5986726088408</v>
      </c>
      <c r="AE212" s="133">
        <f t="shared" si="48"/>
        <v>2721.5440751109199</v>
      </c>
      <c r="AF212" s="133">
        <f t="shared" si="48"/>
        <v>2722.4451761326486</v>
      </c>
      <c r="AG212" s="133">
        <f t="shared" si="48"/>
        <v>2723.3059298221601</v>
      </c>
      <c r="AH212" s="133">
        <f t="shared" si="48"/>
        <v>2724.1297839956737</v>
      </c>
      <c r="AI212" s="133">
        <f t="shared" si="48"/>
        <v>2724.9197630170952</v>
      </c>
      <c r="AJ212" s="133">
        <f t="shared" si="48"/>
        <v>2725.6785343890842</v>
      </c>
      <c r="AK212" s="133">
        <f t="shared" si="48"/>
        <v>2726.4084627515144</v>
      </c>
      <c r="AL212" s="133">
        <f t="shared" si="48"/>
        <v>2727.111654040561</v>
      </c>
      <c r="AM212" s="133">
        <f t="shared" si="48"/>
        <v>2727.7899918840308</v>
      </c>
      <c r="AN212" s="133">
        <f t="shared" si="48"/>
        <v>2728.4451678151254</v>
      </c>
      <c r="AO212" s="133">
        <f t="shared" si="48"/>
        <v>2729.078706523002</v>
      </c>
      <c r="AP212" s="133">
        <f t="shared" si="48"/>
        <v>2729.6919870872784</v>
      </c>
      <c r="AQ212" s="133">
        <f t="shared" ref="AQ212:AQ218" si="49">(AQ125)*8760</f>
        <v>2730.2862609392587</v>
      </c>
    </row>
    <row r="213" spans="7:43" ht="14.1" hidden="1" customHeight="1" thickTop="1" x14ac:dyDescent="0.25">
      <c r="G213" s="106"/>
      <c r="H213" s="218"/>
      <c r="J213" s="211"/>
      <c r="K213" s="119" t="s">
        <v>128</v>
      </c>
      <c r="L213" s="134">
        <f t="shared" ref="L213:AP213" si="50">(L126)*8760</f>
        <v>2539.0248808627043</v>
      </c>
      <c r="M213" s="134">
        <f t="shared" si="50"/>
        <v>2557.21917061977</v>
      </c>
      <c r="N213" s="134">
        <f t="shared" si="50"/>
        <v>2570.1435505275745</v>
      </c>
      <c r="O213" s="134">
        <f t="shared" si="50"/>
        <v>2580.1768874573509</v>
      </c>
      <c r="P213" s="134">
        <f t="shared" si="50"/>
        <v>2588.3800371310595</v>
      </c>
      <c r="Q213" s="134">
        <f t="shared" si="50"/>
        <v>2595.3193667349619</v>
      </c>
      <c r="R213" s="134">
        <f t="shared" si="50"/>
        <v>2601.3331673938078</v>
      </c>
      <c r="S213" s="134">
        <f t="shared" si="50"/>
        <v>2606.6397601550684</v>
      </c>
      <c r="T213" s="134">
        <f t="shared" si="50"/>
        <v>2611.3882803071415</v>
      </c>
      <c r="U213" s="134">
        <f t="shared" si="50"/>
        <v>2615.6851415178908</v>
      </c>
      <c r="V213" s="134">
        <f t="shared" si="50"/>
        <v>2619.6089427554875</v>
      </c>
      <c r="W213" s="134">
        <f t="shared" si="50"/>
        <v>2623.2193913158135</v>
      </c>
      <c r="X213" s="134">
        <f t="shared" si="50"/>
        <v>2626.5629115393144</v>
      </c>
      <c r="Y213" s="134">
        <f t="shared" si="50"/>
        <v>2629.6763149397907</v>
      </c>
      <c r="Z213" s="134">
        <f t="shared" si="50"/>
        <v>2632.5892841209838</v>
      </c>
      <c r="AA213" s="134">
        <f t="shared" si="50"/>
        <v>2635.326102776256</v>
      </c>
      <c r="AB213" s="134">
        <f t="shared" si="50"/>
        <v>2637.9068907372007</v>
      </c>
      <c r="AC213" s="134">
        <f t="shared" si="50"/>
        <v>2640.3485048498278</v>
      </c>
      <c r="AD213" s="134">
        <f t="shared" si="50"/>
        <v>2642.6652086397526</v>
      </c>
      <c r="AE213" s="134">
        <f t="shared" si="50"/>
        <v>2644.8691785164369</v>
      </c>
      <c r="AF213" s="134">
        <f t="shared" si="50"/>
        <v>2646.9708921789675</v>
      </c>
      <c r="AG213" s="134">
        <f t="shared" si="50"/>
        <v>2648.979430663222</v>
      </c>
      <c r="AH213" s="134">
        <f t="shared" si="50"/>
        <v>2650.9027160956271</v>
      </c>
      <c r="AI213" s="134">
        <f t="shared" si="50"/>
        <v>2652.7477009087729</v>
      </c>
      <c r="AJ213" s="134">
        <f t="shared" si="50"/>
        <v>2654.5205199457582</v>
      </c>
      <c r="AK213" s="134">
        <f t="shared" si="50"/>
        <v>2656.2266138596651</v>
      </c>
      <c r="AL213" s="134">
        <f t="shared" si="50"/>
        <v>2657.8708300734443</v>
      </c>
      <c r="AM213" s="134">
        <f t="shared" si="50"/>
        <v>2659.4575060258621</v>
      </c>
      <c r="AN213" s="134">
        <f t="shared" si="50"/>
        <v>2660.9905383072905</v>
      </c>
      <c r="AO213" s="134">
        <f t="shared" si="50"/>
        <v>2662.4734404616997</v>
      </c>
      <c r="AP213" s="134">
        <f t="shared" si="50"/>
        <v>2663.9093916140382</v>
      </c>
      <c r="AQ213" s="134">
        <f t="shared" si="49"/>
        <v>2665.3012776169739</v>
      </c>
    </row>
    <row r="214" spans="7:43" ht="14.1" hidden="1" customHeight="1" x14ac:dyDescent="0.25">
      <c r="G214" s="106"/>
      <c r="H214" s="218"/>
      <c r="J214" s="211"/>
      <c r="K214" s="7" t="s">
        <v>129</v>
      </c>
      <c r="L214" s="132">
        <f t="shared" ref="L214:AP214" si="51">(L127)*8760</f>
        <v>2533.851552543189</v>
      </c>
      <c r="M214" s="132">
        <f t="shared" si="51"/>
        <v>2548.9825678973648</v>
      </c>
      <c r="N214" s="132">
        <f t="shared" si="51"/>
        <v>2559.7181941407648</v>
      </c>
      <c r="O214" s="132">
        <f t="shared" si="51"/>
        <v>2568.0453927914073</v>
      </c>
      <c r="P214" s="132">
        <f t="shared" si="51"/>
        <v>2574.8492094949411</v>
      </c>
      <c r="Q214" s="132">
        <f t="shared" si="51"/>
        <v>2580.6017545516679</v>
      </c>
      <c r="R214" s="132">
        <f t="shared" si="51"/>
        <v>2585.5848357383406</v>
      </c>
      <c r="S214" s="132">
        <f t="shared" si="51"/>
        <v>2589.9802248491164</v>
      </c>
      <c r="T214" s="132">
        <f t="shared" si="51"/>
        <v>2593.9120343889822</v>
      </c>
      <c r="U214" s="132">
        <f t="shared" si="51"/>
        <v>2597.4687887562263</v>
      </c>
      <c r="V214" s="132">
        <f t="shared" si="51"/>
        <v>2600.7158510925174</v>
      </c>
      <c r="W214" s="132">
        <f t="shared" si="51"/>
        <v>2603.702858888204</v>
      </c>
      <c r="X214" s="132">
        <f t="shared" si="51"/>
        <v>2606.4683961492437</v>
      </c>
      <c r="Y214" s="132">
        <f t="shared" si="51"/>
        <v>2609.0430497431585</v>
      </c>
      <c r="Z214" s="132">
        <f t="shared" si="51"/>
        <v>2611.4514773359165</v>
      </c>
      <c r="AA214" s="132">
        <f t="shared" si="51"/>
        <v>2613.7138473036457</v>
      </c>
      <c r="AB214" s="132">
        <f t="shared" si="51"/>
        <v>2615.8468664466927</v>
      </c>
      <c r="AC214" s="132">
        <f t="shared" si="51"/>
        <v>2617.8645294683402</v>
      </c>
      <c r="AD214" s="132">
        <f t="shared" si="51"/>
        <v>2619.7786759865585</v>
      </c>
      <c r="AE214" s="132">
        <f t="shared" si="51"/>
        <v>2621.59941150342</v>
      </c>
      <c r="AF214" s="132">
        <f t="shared" si="51"/>
        <v>2623.3354303538017</v>
      </c>
      <c r="AG214" s="132">
        <f t="shared" si="51"/>
        <v>2624.9942668073695</v>
      </c>
      <c r="AH214" s="132">
        <f t="shared" si="51"/>
        <v>2626.5824926900927</v>
      </c>
      <c r="AI214" s="132">
        <f t="shared" si="51"/>
        <v>2628.1058746372005</v>
      </c>
      <c r="AJ214" s="132">
        <f t="shared" si="51"/>
        <v>2629.5695004857798</v>
      </c>
      <c r="AK214" s="132">
        <f t="shared" si="51"/>
        <v>2630.9778818008685</v>
      </c>
      <c r="AL214" s="132">
        <f t="shared" si="51"/>
        <v>2632.3350377468196</v>
      </c>
      <c r="AM214" s="132">
        <f t="shared" si="51"/>
        <v>2633.6445642344133</v>
      </c>
      <c r="AN214" s="132">
        <f t="shared" si="51"/>
        <v>2634.9096913407348</v>
      </c>
      <c r="AO214" s="132">
        <f t="shared" si="51"/>
        <v>2636.1333313104237</v>
      </c>
      <c r="AP214" s="132">
        <f t="shared" si="51"/>
        <v>2637.3181189334928</v>
      </c>
      <c r="AQ214" s="132">
        <f t="shared" si="49"/>
        <v>2638.466445707978</v>
      </c>
    </row>
    <row r="215" spans="7:43" ht="14.1" hidden="1" customHeight="1" thickBot="1" x14ac:dyDescent="0.3">
      <c r="G215" s="106"/>
      <c r="H215" s="218"/>
      <c r="J215" s="211"/>
      <c r="K215" s="121" t="s">
        <v>130</v>
      </c>
      <c r="L215" s="133">
        <f t="shared" ref="L215:AP215" si="52">(L128)*8760</f>
        <v>2520.9182317444011</v>
      </c>
      <c r="M215" s="133">
        <f t="shared" si="52"/>
        <v>2528.4451234505987</v>
      </c>
      <c r="N215" s="133">
        <f t="shared" si="52"/>
        <v>2533.7696874872813</v>
      </c>
      <c r="O215" s="133">
        <f t="shared" si="52"/>
        <v>2537.8910793598275</v>
      </c>
      <c r="P215" s="133">
        <f t="shared" si="52"/>
        <v>2541.2530420739545</v>
      </c>
      <c r="Q215" s="133">
        <f t="shared" si="52"/>
        <v>2544.0917855178741</v>
      </c>
      <c r="R215" s="133">
        <f t="shared" si="52"/>
        <v>2546.5480761662129</v>
      </c>
      <c r="S215" s="133">
        <f t="shared" si="52"/>
        <v>2548.712590269432</v>
      </c>
      <c r="T215" s="133">
        <f t="shared" si="52"/>
        <v>2550.6471711555432</v>
      </c>
      <c r="U215" s="133">
        <f t="shared" si="52"/>
        <v>2552.3958860974985</v>
      </c>
      <c r="V215" s="133">
        <f t="shared" si="52"/>
        <v>2553.9912447375964</v>
      </c>
      <c r="W215" s="133">
        <f t="shared" si="52"/>
        <v>2555.4579162609275</v>
      </c>
      <c r="X215" s="133">
        <f t="shared" si="52"/>
        <v>2556.8150630763398</v>
      </c>
      <c r="Y215" s="133">
        <f t="shared" si="52"/>
        <v>2558.0778662434245</v>
      </c>
      <c r="Z215" s="133">
        <f t="shared" si="52"/>
        <v>2559.2585568644722</v>
      </c>
      <c r="AA215" s="133">
        <f t="shared" si="52"/>
        <v>2560.3671337897854</v>
      </c>
      <c r="AB215" s="133">
        <f t="shared" si="52"/>
        <v>2561.4118755688519</v>
      </c>
      <c r="AC215" s="133">
        <f t="shared" si="52"/>
        <v>2562.399713597682</v>
      </c>
      <c r="AD215" s="133">
        <f t="shared" si="52"/>
        <v>2563.3365093017492</v>
      </c>
      <c r="AE215" s="133">
        <f t="shared" si="52"/>
        <v>2564.2272635221211</v>
      </c>
      <c r="AF215" s="133">
        <f t="shared" si="52"/>
        <v>2565.0762770759475</v>
      </c>
      <c r="AG215" s="133">
        <f t="shared" si="52"/>
        <v>2565.8872755447974</v>
      </c>
      <c r="AH215" s="133">
        <f t="shared" si="52"/>
        <v>2566.6635074464634</v>
      </c>
      <c r="AI215" s="133">
        <f t="shared" si="52"/>
        <v>2567.4078223237661</v>
      </c>
      <c r="AJ215" s="133">
        <f t="shared" si="52"/>
        <v>2568.1227334863761</v>
      </c>
      <c r="AK215" s="133">
        <f t="shared" si="52"/>
        <v>2568.8104688879366</v>
      </c>
      <c r="AL215" s="133">
        <f t="shared" si="52"/>
        <v>2569.4730127325633</v>
      </c>
      <c r="AM215" s="133">
        <f t="shared" si="52"/>
        <v>2570.1121397663728</v>
      </c>
      <c r="AN215" s="133">
        <f t="shared" si="52"/>
        <v>2570.7294437447572</v>
      </c>
      <c r="AO215" s="133">
        <f t="shared" si="52"/>
        <v>2571.3263612233636</v>
      </c>
      <c r="AP215" s="133">
        <f t="shared" si="52"/>
        <v>2571.9041915651496</v>
      </c>
      <c r="AQ215" s="133">
        <f t="shared" si="49"/>
        <v>2572.4641138633706</v>
      </c>
    </row>
    <row r="216" spans="7:43" ht="14.1" hidden="1" customHeight="1" thickTop="1" x14ac:dyDescent="0.25">
      <c r="G216" s="106"/>
      <c r="H216" s="218"/>
      <c r="J216" s="211"/>
      <c r="K216" s="119" t="s">
        <v>131</v>
      </c>
      <c r="L216" s="134">
        <f t="shared" ref="L216:AP216" si="53">(L129)*8760</f>
        <v>2024.7447537822241</v>
      </c>
      <c r="M216" s="134">
        <f t="shared" si="53"/>
        <v>2039.2537855810365</v>
      </c>
      <c r="N216" s="134">
        <f t="shared" si="53"/>
        <v>2049.5603290936488</v>
      </c>
      <c r="O216" s="134">
        <f t="shared" si="53"/>
        <v>2057.5614111092732</v>
      </c>
      <c r="P216" s="134">
        <f t="shared" si="53"/>
        <v>2064.1030107570432</v>
      </c>
      <c r="Q216" s="134">
        <f t="shared" si="53"/>
        <v>2069.6367774074488</v>
      </c>
      <c r="R216" s="134">
        <f t="shared" si="53"/>
        <v>2074.4324812329869</v>
      </c>
      <c r="S216" s="134">
        <f t="shared" si="53"/>
        <v>2078.6642222981518</v>
      </c>
      <c r="T216" s="134">
        <f t="shared" si="53"/>
        <v>2082.4509285012318</v>
      </c>
      <c r="U216" s="134">
        <f t="shared" si="53"/>
        <v>2085.8774593949502</v>
      </c>
      <c r="V216" s="134">
        <f t="shared" si="53"/>
        <v>2089.0064937067405</v>
      </c>
      <c r="W216" s="134">
        <f t="shared" si="53"/>
        <v>2091.8856450047128</v>
      </c>
      <c r="X216" s="134">
        <f t="shared" si="53"/>
        <v>2094.551934367501</v>
      </c>
      <c r="Y216" s="134">
        <f t="shared" si="53"/>
        <v>2097.0347171275425</v>
      </c>
      <c r="Z216" s="134">
        <f t="shared" si="53"/>
        <v>2099.3576636697389</v>
      </c>
      <c r="AA216" s="134">
        <f t="shared" si="53"/>
        <v>2101.5401390192646</v>
      </c>
      <c r="AB216" s="134">
        <f t="shared" si="53"/>
        <v>2103.5981877307722</v>
      </c>
      <c r="AC216" s="134">
        <f t="shared" si="53"/>
        <v>2105.5452522918813</v>
      </c>
      <c r="AD216" s="134">
        <f t="shared" si="53"/>
        <v>2107.3927071475127</v>
      </c>
      <c r="AE216" s="134">
        <f t="shared" si="53"/>
        <v>2109.1502623723336</v>
      </c>
      <c r="AF216" s="134">
        <f t="shared" si="53"/>
        <v>2110.8262734048503</v>
      </c>
      <c r="AG216" s="134">
        <f t="shared" si="53"/>
        <v>2112.4279819148442</v>
      </c>
      <c r="AH216" s="134">
        <f t="shared" si="53"/>
        <v>2113.9617054000446</v>
      </c>
      <c r="AI216" s="134">
        <f t="shared" si="53"/>
        <v>2115.4329880760756</v>
      </c>
      <c r="AJ216" s="134">
        <f t="shared" si="53"/>
        <v>2116.8467221720257</v>
      </c>
      <c r="AK216" s="134">
        <f t="shared" si="53"/>
        <v>2118.2072463353293</v>
      </c>
      <c r="AL216" s="134">
        <f t="shared" si="53"/>
        <v>2119.5184261422014</v>
      </c>
      <c r="AM216" s="134">
        <f t="shared" si="53"/>
        <v>2120.7837204820971</v>
      </c>
      <c r="AN216" s="134">
        <f t="shared" si="53"/>
        <v>2122.0062366900306</v>
      </c>
      <c r="AO216" s="134">
        <f t="shared" si="53"/>
        <v>2123.1887766407585</v>
      </c>
      <c r="AP216" s="134">
        <f t="shared" si="53"/>
        <v>2124.3338755266727</v>
      </c>
      <c r="AQ216" s="134">
        <f t="shared" si="49"/>
        <v>2125.4438346702591</v>
      </c>
    </row>
    <row r="217" spans="7:43" ht="14.1" hidden="1" customHeight="1" x14ac:dyDescent="0.25">
      <c r="G217" s="106"/>
      <c r="H217" s="218"/>
      <c r="J217" s="211"/>
      <c r="K217" s="7" t="s">
        <v>132</v>
      </c>
      <c r="L217" s="132">
        <f t="shared" ref="L217:AP217" si="54">(L130)*8760</f>
        <v>2020.6192844126717</v>
      </c>
      <c r="M217" s="132">
        <f t="shared" si="54"/>
        <v>2032.6855088079822</v>
      </c>
      <c r="N217" s="132">
        <f t="shared" si="54"/>
        <v>2041.2466312604349</v>
      </c>
      <c r="O217" s="132">
        <f t="shared" si="54"/>
        <v>2047.8871537337166</v>
      </c>
      <c r="P217" s="132">
        <f t="shared" si="54"/>
        <v>2053.3128556557458</v>
      </c>
      <c r="Q217" s="132">
        <f t="shared" si="54"/>
        <v>2057.9002212669666</v>
      </c>
      <c r="R217" s="132">
        <f t="shared" si="54"/>
        <v>2061.873978108199</v>
      </c>
      <c r="S217" s="132">
        <f t="shared" si="54"/>
        <v>2065.379080051056</v>
      </c>
      <c r="T217" s="132">
        <f t="shared" si="54"/>
        <v>2068.5145005814802</v>
      </c>
      <c r="U217" s="132">
        <f t="shared" si="54"/>
        <v>2071.35083345866</v>
      </c>
      <c r="V217" s="132">
        <f t="shared" si="54"/>
        <v>2073.9402025035097</v>
      </c>
      <c r="W217" s="132">
        <f t="shared" si="54"/>
        <v>2076.3221911202454</v>
      </c>
      <c r="X217" s="132">
        <f t="shared" si="54"/>
        <v>2078.52756811473</v>
      </c>
      <c r="Y217" s="132">
        <f t="shared" si="54"/>
        <v>2080.5807249767904</v>
      </c>
      <c r="Z217" s="132">
        <f t="shared" si="54"/>
        <v>2082.5013249559624</v>
      </c>
      <c r="AA217" s="132">
        <f t="shared" si="54"/>
        <v>2084.3054513187244</v>
      </c>
      <c r="AB217" s="132">
        <f t="shared" si="54"/>
        <v>2086.0064268988199</v>
      </c>
      <c r="AC217" s="132">
        <f t="shared" si="54"/>
        <v>2087.6154117688666</v>
      </c>
      <c r="AD217" s="132">
        <f t="shared" si="54"/>
        <v>2089.1418474292432</v>
      </c>
      <c r="AE217" s="132">
        <f t="shared" si="54"/>
        <v>2090.5937925100402</v>
      </c>
      <c r="AF217" s="132">
        <f t="shared" si="54"/>
        <v>2091.9781803064229</v>
      </c>
      <c r="AG217" s="132">
        <f t="shared" si="54"/>
        <v>2093.3010190198429</v>
      </c>
      <c r="AH217" s="132">
        <f t="shared" si="54"/>
        <v>2094.5675493512717</v>
      </c>
      <c r="AI217" s="132">
        <f t="shared" si="54"/>
        <v>2095.7823699025244</v>
      </c>
      <c r="AJ217" s="132">
        <f t="shared" si="54"/>
        <v>2096.9495379680075</v>
      </c>
      <c r="AK217" s="132">
        <f t="shared" si="54"/>
        <v>2098.0726512941292</v>
      </c>
      <c r="AL217" s="132">
        <f t="shared" si="54"/>
        <v>2099.154914962493</v>
      </c>
      <c r="AM217" s="132">
        <f t="shared" si="54"/>
        <v>2100.1991965312473</v>
      </c>
      <c r="AN217" s="132">
        <f t="shared" si="54"/>
        <v>2101.2080718245534</v>
      </c>
      <c r="AO217" s="132">
        <f t="shared" si="54"/>
        <v>2102.183863211168</v>
      </c>
      <c r="AP217" s="132">
        <f t="shared" si="54"/>
        <v>2103.128671803725</v>
      </c>
      <c r="AQ217" s="132">
        <f t="shared" si="49"/>
        <v>2104.0444047017331</v>
      </c>
    </row>
    <row r="218" spans="7:43" ht="14.1" hidden="1" customHeight="1" thickBot="1" x14ac:dyDescent="0.3">
      <c r="G218" s="106"/>
      <c r="H218" s="218"/>
      <c r="J218" s="211"/>
      <c r="K218" s="121" t="s">
        <v>133</v>
      </c>
      <c r="L218" s="133">
        <f t="shared" ref="L218:AP218" si="55">(L131)*8760</f>
        <v>2010.3056109887896</v>
      </c>
      <c r="M218" s="133">
        <f t="shared" si="55"/>
        <v>2016.3079288901538</v>
      </c>
      <c r="N218" s="133">
        <f t="shared" si="55"/>
        <v>2020.5540011443913</v>
      </c>
      <c r="O218" s="133">
        <f t="shared" si="55"/>
        <v>2023.8406040584139</v>
      </c>
      <c r="P218" s="133">
        <f t="shared" si="55"/>
        <v>2026.5216003807211</v>
      </c>
      <c r="Q218" s="133">
        <f t="shared" si="55"/>
        <v>2028.7853556273647</v>
      </c>
      <c r="R218" s="133">
        <f t="shared" si="55"/>
        <v>2030.7441239881923</v>
      </c>
      <c r="S218" s="133">
        <f t="shared" si="55"/>
        <v>2032.4702152163693</v>
      </c>
      <c r="T218" s="133">
        <f t="shared" si="55"/>
        <v>2034.0129462582918</v>
      </c>
      <c r="U218" s="133">
        <f t="shared" si="55"/>
        <v>2035.4074585497117</v>
      </c>
      <c r="V218" s="133">
        <f t="shared" si="55"/>
        <v>2036.6796768967181</v>
      </c>
      <c r="W218" s="133">
        <f t="shared" si="55"/>
        <v>2037.8492737347681</v>
      </c>
      <c r="X218" s="133">
        <f t="shared" si="55"/>
        <v>2038.9315301219858</v>
      </c>
      <c r="Y218" s="133">
        <f t="shared" si="55"/>
        <v>2039.9385521905306</v>
      </c>
      <c r="Z218" s="133">
        <f t="shared" si="55"/>
        <v>2040.8800936298544</v>
      </c>
      <c r="AA218" s="133">
        <f t="shared" si="55"/>
        <v>2041.7641280206203</v>
      </c>
      <c r="AB218" s="133">
        <f t="shared" si="55"/>
        <v>2042.5972570900376</v>
      </c>
      <c r="AC218" s="133">
        <f t="shared" si="55"/>
        <v>2043.3850082781162</v>
      </c>
      <c r="AD218" s="133">
        <f t="shared" si="55"/>
        <v>2044.1320557771269</v>
      </c>
      <c r="AE218" s="133">
        <f t="shared" si="55"/>
        <v>2044.8423875065253</v>
      </c>
      <c r="AF218" s="133">
        <f t="shared" si="55"/>
        <v>2045.5194331518658</v>
      </c>
      <c r="AG218" s="133">
        <f t="shared" si="55"/>
        <v>2046.166163677236</v>
      </c>
      <c r="AH218" s="133">
        <f t="shared" si="55"/>
        <v>2046.7851696123341</v>
      </c>
      <c r="AI218" s="133">
        <f t="shared" si="55"/>
        <v>2047.3787233243675</v>
      </c>
      <c r="AJ218" s="133">
        <f t="shared" si="55"/>
        <v>2047.9488290515014</v>
      </c>
      <c r="AK218" s="133">
        <f t="shared" si="55"/>
        <v>2048.4972634748092</v>
      </c>
      <c r="AL218" s="133">
        <f t="shared" si="55"/>
        <v>2049.0256088973651</v>
      </c>
      <c r="AM218" s="133">
        <f t="shared" si="55"/>
        <v>2049.5352805900129</v>
      </c>
      <c r="AN218" s="133">
        <f t="shared" si="55"/>
        <v>2050.0275494925918</v>
      </c>
      <c r="AO218" s="133">
        <f t="shared" si="55"/>
        <v>2050.5035611860412</v>
      </c>
      <c r="AP218" s="133">
        <f t="shared" si="55"/>
        <v>2050.9643518470252</v>
      </c>
      <c r="AQ218" s="133">
        <f t="shared" si="49"/>
        <v>2051.4108617431639</v>
      </c>
    </row>
    <row r="219" spans="7:43" ht="14.1" customHeight="1" thickTop="1" x14ac:dyDescent="0.25">
      <c r="G219" s="106"/>
      <c r="H219" s="218"/>
      <c r="J219" s="211"/>
      <c r="K219" s="119" t="s">
        <v>134</v>
      </c>
      <c r="L219" s="134">
        <f t="shared" ref="L219:AP219" si="56">(L132)*8760</f>
        <v>1278.5290251545446</v>
      </c>
      <c r="M219" s="134">
        <f t="shared" si="56"/>
        <v>1287.6907815917548</v>
      </c>
      <c r="N219" s="134">
        <f t="shared" si="56"/>
        <v>1294.1988686013779</v>
      </c>
      <c r="O219" s="134">
        <f t="shared" si="56"/>
        <v>1299.2511674506572</v>
      </c>
      <c r="P219" s="134">
        <f t="shared" si="56"/>
        <v>1303.3818733112316</v>
      </c>
      <c r="Q219" s="134">
        <f t="shared" si="56"/>
        <v>1306.8761810592866</v>
      </c>
      <c r="R219" s="134">
        <f t="shared" si="56"/>
        <v>1309.9044375965821</v>
      </c>
      <c r="S219" s="134">
        <f t="shared" si="56"/>
        <v>1312.5765787485195</v>
      </c>
      <c r="T219" s="134">
        <f t="shared" si="56"/>
        <v>1314.9677017685087</v>
      </c>
      <c r="U219" s="134">
        <f t="shared" si="56"/>
        <v>1317.1313913866807</v>
      </c>
      <c r="V219" s="134">
        <f t="shared" si="56"/>
        <v>1319.1072262077639</v>
      </c>
      <c r="W219" s="134">
        <f t="shared" si="56"/>
        <v>1320.9252719122376</v>
      </c>
      <c r="X219" s="134">
        <f t="shared" si="56"/>
        <v>1322.6089055324348</v>
      </c>
      <c r="Y219" s="134">
        <f t="shared" si="56"/>
        <v>1324.1766635502966</v>
      </c>
      <c r="Z219" s="134">
        <f t="shared" si="56"/>
        <v>1325.6434926765519</v>
      </c>
      <c r="AA219" s="134">
        <f t="shared" si="56"/>
        <v>1327.0216209941286</v>
      </c>
      <c r="AB219" s="134">
        <f t="shared" si="56"/>
        <v>1328.3211798683672</v>
      </c>
      <c r="AC219" s="134">
        <f t="shared" si="56"/>
        <v>1329.5506575843003</v>
      </c>
      <c r="AD219" s="134">
        <f t="shared" si="56"/>
        <v>1330.717236557366</v>
      </c>
      <c r="AE219" s="134">
        <f t="shared" si="56"/>
        <v>1331.8270482331575</v>
      </c>
      <c r="AF219" s="134">
        <f t="shared" si="56"/>
        <v>1332.885368669622</v>
      </c>
      <c r="AG219" s="134">
        <f t="shared" si="56"/>
        <v>1333.8967706332714</v>
      </c>
      <c r="AH219" s="134">
        <f t="shared" si="56"/>
        <v>1334.8652433203729</v>
      </c>
      <c r="AI219" s="134">
        <f t="shared" si="56"/>
        <v>1335.7942876366992</v>
      </c>
      <c r="AJ219" s="134">
        <f t="shared" si="56"/>
        <v>1336.6869927898531</v>
      </c>
      <c r="AK219" s="134">
        <f t="shared" si="56"/>
        <v>1337.5460984272227</v>
      </c>
      <c r="AL219" s="134">
        <f t="shared" si="56"/>
        <v>1338.3740454744498</v>
      </c>
      <c r="AM219" s="134">
        <f t="shared" si="56"/>
        <v>1339.1730180540296</v>
      </c>
      <c r="AN219" s="134">
        <f t="shared" si="56"/>
        <v>1339.9449782987199</v>
      </c>
      <c r="AO219" s="134">
        <f t="shared" si="56"/>
        <v>1340.6916954578016</v>
      </c>
      <c r="AP219" s="134">
        <f t="shared" si="56"/>
        <v>1341.4147703834581</v>
      </c>
      <c r="AQ219" s="134">
        <f t="shared" ref="AQ219" si="57">(AQ132)*8760</f>
        <v>1342.1156562502617</v>
      </c>
    </row>
    <row r="220" spans="7:43" ht="14.1" customHeight="1" x14ac:dyDescent="0.25">
      <c r="G220" s="106"/>
      <c r="H220" s="218"/>
      <c r="J220" s="211"/>
      <c r="K220" s="7" t="s">
        <v>135</v>
      </c>
      <c r="L220" s="132">
        <f t="shared" ref="L220:AP220" si="58">(L133)*8760</f>
        <v>1275.9239894721425</v>
      </c>
      <c r="M220" s="132">
        <f t="shared" si="58"/>
        <v>1283.5432304083715</v>
      </c>
      <c r="N220" s="132">
        <f t="shared" si="58"/>
        <v>1288.949167884153</v>
      </c>
      <c r="O220" s="132">
        <f t="shared" si="58"/>
        <v>1293.1423387559</v>
      </c>
      <c r="P220" s="132">
        <f t="shared" si="58"/>
        <v>1296.5684088203823</v>
      </c>
      <c r="Q220" s="132">
        <f t="shared" si="58"/>
        <v>1299.4651097857684</v>
      </c>
      <c r="R220" s="132">
        <f t="shared" si="58"/>
        <v>1301.9743462961637</v>
      </c>
      <c r="S220" s="132">
        <f t="shared" si="58"/>
        <v>1304.1876497566111</v>
      </c>
      <c r="T220" s="132">
        <f t="shared" si="58"/>
        <v>1306.1675171679101</v>
      </c>
      <c r="U220" s="132">
        <f t="shared" si="58"/>
        <v>1307.9585250970333</v>
      </c>
      <c r="V220" s="132">
        <f t="shared" si="58"/>
        <v>1309.5935872323928</v>
      </c>
      <c r="W220" s="132">
        <f t="shared" si="58"/>
        <v>1311.0976985918098</v>
      </c>
      <c r="X220" s="132">
        <f t="shared" si="58"/>
        <v>1312.4902881977787</v>
      </c>
      <c r="Y220" s="132">
        <f t="shared" si="58"/>
        <v>1313.7867581041389</v>
      </c>
      <c r="Z220" s="132">
        <f t="shared" si="58"/>
        <v>1314.999524708174</v>
      </c>
      <c r="AA220" s="132">
        <f t="shared" si="58"/>
        <v>1316.1387438198813</v>
      </c>
      <c r="AB220" s="132">
        <f t="shared" si="58"/>
        <v>1317.2128281686212</v>
      </c>
      <c r="AC220" s="132">
        <f t="shared" si="58"/>
        <v>1318.2288248040227</v>
      </c>
      <c r="AD220" s="132">
        <f t="shared" si="58"/>
        <v>1319.1926955799206</v>
      </c>
      <c r="AE220" s="132">
        <f t="shared" si="58"/>
        <v>1320.1095291340073</v>
      </c>
      <c r="AF220" s="132">
        <f t="shared" si="58"/>
        <v>1320.9837035090434</v>
      </c>
      <c r="AG220" s="132">
        <f t="shared" si="58"/>
        <v>1321.8190125955575</v>
      </c>
      <c r="AH220" s="132">
        <f t="shared" si="58"/>
        <v>1322.6187656444026</v>
      </c>
      <c r="AI220" s="132">
        <f t="shared" si="58"/>
        <v>1323.385866451667</v>
      </c>
      <c r="AJ220" s="132">
        <f t="shared" si="58"/>
        <v>1324.1228770038199</v>
      </c>
      <c r="AK220" s="132">
        <f t="shared" si="58"/>
        <v>1324.83206910485</v>
      </c>
      <c r="AL220" s="132">
        <f t="shared" si="58"/>
        <v>1325.515466609789</v>
      </c>
      <c r="AM220" s="132">
        <f t="shared" si="58"/>
        <v>1326.1748802438249</v>
      </c>
      <c r="AN220" s="132">
        <f t="shared" si="58"/>
        <v>1326.8119365161494</v>
      </c>
      <c r="AO220" s="132">
        <f t="shared" si="58"/>
        <v>1327.4281018910451</v>
      </c>
      <c r="AP220" s="132">
        <f t="shared" si="58"/>
        <v>1328.0247031201848</v>
      </c>
      <c r="AQ220" s="132">
        <f>(AQ133)*8760</f>
        <v>1328.6029444452729</v>
      </c>
    </row>
    <row r="221" spans="7:43" ht="14.1" customHeight="1" thickBot="1" x14ac:dyDescent="0.3">
      <c r="G221" s="106"/>
      <c r="H221" s="218"/>
      <c r="J221" s="211"/>
      <c r="K221" s="121" t="s">
        <v>136</v>
      </c>
      <c r="L221" s="133">
        <f t="shared" ref="L221:AP221" si="59">(L134)*8760</f>
        <v>1269.411400266137</v>
      </c>
      <c r="M221" s="133">
        <f t="shared" si="59"/>
        <v>1273.2015756157773</v>
      </c>
      <c r="N221" s="133">
        <f t="shared" si="59"/>
        <v>1275.8827662250162</v>
      </c>
      <c r="O221" s="133">
        <f t="shared" si="59"/>
        <v>1277.9580980474032</v>
      </c>
      <c r="P221" s="133">
        <f t="shared" si="59"/>
        <v>1279.6510184058827</v>
      </c>
      <c r="Q221" s="133">
        <f t="shared" si="59"/>
        <v>1281.0804710730756</v>
      </c>
      <c r="R221" s="133">
        <f t="shared" si="59"/>
        <v>1282.3173391761757</v>
      </c>
      <c r="S221" s="133">
        <f t="shared" si="59"/>
        <v>1283.4072828498988</v>
      </c>
      <c r="T221" s="133">
        <f t="shared" si="59"/>
        <v>1284.3814433762666</v>
      </c>
      <c r="U221" s="133">
        <f t="shared" si="59"/>
        <v>1285.2620108834474</v>
      </c>
      <c r="V221" s="133">
        <f t="shared" si="59"/>
        <v>1286.0653556408263</v>
      </c>
      <c r="W221" s="133">
        <f t="shared" si="59"/>
        <v>1286.8038998461552</v>
      </c>
      <c r="X221" s="133">
        <f t="shared" si="59"/>
        <v>1287.4872927534004</v>
      </c>
      <c r="Y221" s="133">
        <f t="shared" si="59"/>
        <v>1288.1231788033338</v>
      </c>
      <c r="Z221" s="133">
        <f t="shared" si="59"/>
        <v>1288.7177169821891</v>
      </c>
      <c r="AA221" s="133">
        <f t="shared" si="59"/>
        <v>1289.2759422230338</v>
      </c>
      <c r="AB221" s="133">
        <f t="shared" si="59"/>
        <v>1289.8020231993942</v>
      </c>
      <c r="AC221" s="133">
        <f t="shared" si="59"/>
        <v>1290.2994502240483</v>
      </c>
      <c r="AD221" s="133">
        <f t="shared" si="59"/>
        <v>1290.7711748248262</v>
      </c>
      <c r="AE221" s="133">
        <f t="shared" si="59"/>
        <v>1291.2197151812477</v>
      </c>
      <c r="AF221" s="133">
        <f t="shared" si="59"/>
        <v>1291.6472369749483</v>
      </c>
      <c r="AG221" s="133">
        <f t="shared" si="59"/>
        <v>1292.055616226997</v>
      </c>
      <c r="AH221" s="133">
        <f t="shared" si="59"/>
        <v>1292.4464887324264</v>
      </c>
      <c r="AI221" s="133">
        <f t="shared" si="59"/>
        <v>1292.821289381943</v>
      </c>
      <c r="AJ221" s="133">
        <f t="shared" si="59"/>
        <v>1293.1812837556467</v>
      </c>
      <c r="AK221" s="133">
        <f t="shared" si="59"/>
        <v>1293.5275937422675</v>
      </c>
      <c r="AL221" s="133">
        <f t="shared" si="59"/>
        <v>1293.8612184901688</v>
      </c>
      <c r="AM221" s="133">
        <f t="shared" si="59"/>
        <v>1294.1830516748864</v>
      </c>
      <c r="AN221" s="133">
        <f t="shared" si="59"/>
        <v>1294.4938958338614</v>
      </c>
      <c r="AO221" s="133">
        <f t="shared" si="59"/>
        <v>1294.7944743464127</v>
      </c>
      <c r="AP221" s="133">
        <f t="shared" si="59"/>
        <v>1295.085441508317</v>
      </c>
      <c r="AQ221" s="133">
        <f>(AQ134)*8760</f>
        <v>1295.3673910533973</v>
      </c>
    </row>
    <row r="222" spans="7:43" ht="14.1" customHeight="1" thickTop="1" x14ac:dyDescent="0.25">
      <c r="G222" s="106"/>
      <c r="H222" s="218"/>
      <c r="J222" s="129"/>
      <c r="K222" s="7"/>
      <c r="L222" s="138"/>
      <c r="M222" s="138"/>
      <c r="N222" s="138"/>
      <c r="O222" s="138"/>
      <c r="P222" s="138"/>
      <c r="Q222" s="138"/>
      <c r="R222" s="138"/>
      <c r="S222" s="138"/>
      <c r="T222" s="138"/>
      <c r="U222" s="138"/>
      <c r="V222" s="138"/>
      <c r="W222" s="138"/>
      <c r="X222" s="138"/>
      <c r="Y222" s="138"/>
      <c r="Z222" s="138"/>
      <c r="AA222" s="138"/>
      <c r="AB222" s="138"/>
      <c r="AC222" s="138"/>
      <c r="AD222" s="138"/>
      <c r="AE222" s="138"/>
      <c r="AF222" s="138"/>
      <c r="AG222" s="138"/>
      <c r="AH222" s="138"/>
      <c r="AI222" s="138"/>
      <c r="AJ222" s="138"/>
      <c r="AK222" s="138"/>
      <c r="AL222" s="138"/>
      <c r="AM222" s="138"/>
      <c r="AN222" s="138"/>
      <c r="AO222" s="138"/>
      <c r="AP222" s="138"/>
      <c r="AQ222" s="138"/>
    </row>
    <row r="223" spans="7:43" ht="14.1" customHeight="1" thickBot="1" x14ac:dyDescent="0.3">
      <c r="G223" s="106"/>
      <c r="H223" s="218"/>
      <c r="J223" s="18"/>
      <c r="L223" s="107">
        <v>2019</v>
      </c>
      <c r="M223" s="107">
        <v>2020</v>
      </c>
      <c r="N223" s="107">
        <v>2021</v>
      </c>
      <c r="O223" s="107">
        <v>2022</v>
      </c>
      <c r="P223" s="107">
        <v>2023</v>
      </c>
      <c r="Q223" s="107">
        <v>2024</v>
      </c>
      <c r="R223" s="107">
        <v>2025</v>
      </c>
      <c r="S223" s="107">
        <v>2026</v>
      </c>
      <c r="T223" s="107">
        <v>2027</v>
      </c>
      <c r="U223" s="107">
        <v>2028</v>
      </c>
      <c r="V223" s="107">
        <v>2029</v>
      </c>
      <c r="W223" s="107">
        <v>2030</v>
      </c>
      <c r="X223" s="107">
        <v>2031</v>
      </c>
      <c r="Y223" s="107">
        <v>2032</v>
      </c>
      <c r="Z223" s="107">
        <v>2033</v>
      </c>
      <c r="AA223" s="107">
        <v>2034</v>
      </c>
      <c r="AB223" s="107">
        <v>2035</v>
      </c>
      <c r="AC223" s="107">
        <v>2036</v>
      </c>
      <c r="AD223" s="107">
        <v>2037</v>
      </c>
      <c r="AE223" s="107">
        <v>2038</v>
      </c>
      <c r="AF223" s="107">
        <v>2039</v>
      </c>
      <c r="AG223" s="107">
        <v>2040</v>
      </c>
      <c r="AH223" s="107">
        <v>2041</v>
      </c>
      <c r="AI223" s="107">
        <v>2042</v>
      </c>
      <c r="AJ223" s="107">
        <v>2043</v>
      </c>
      <c r="AK223" s="107">
        <v>2044</v>
      </c>
      <c r="AL223" s="107">
        <v>2045</v>
      </c>
      <c r="AM223" s="107">
        <v>2046</v>
      </c>
      <c r="AN223" s="107">
        <v>2047</v>
      </c>
      <c r="AO223" s="107">
        <v>2048</v>
      </c>
      <c r="AP223" s="107">
        <v>2049</v>
      </c>
      <c r="AQ223" s="107">
        <v>2050</v>
      </c>
    </row>
    <row r="224" spans="7:43" ht="14.1" hidden="1" customHeight="1" x14ac:dyDescent="0.25">
      <c r="G224" s="106"/>
      <c r="H224" s="218"/>
      <c r="J224" s="209" t="s">
        <v>138</v>
      </c>
      <c r="K224" s="119" t="s">
        <v>95</v>
      </c>
      <c r="L224" s="139">
        <f t="shared" ref="L224:AQ224" si="60" xml:space="preserve"> $N$43*(L312 + L489)</f>
        <v>3533.9742943022479</v>
      </c>
      <c r="M224" s="139">
        <f t="shared" si="60"/>
        <v>3252.2064707393338</v>
      </c>
      <c r="N224" s="139">
        <f t="shared" si="60"/>
        <v>3042.5367297151333</v>
      </c>
      <c r="O224" s="139">
        <f t="shared" si="60"/>
        <v>2872.3727086613185</v>
      </c>
      <c r="P224" s="139">
        <f t="shared" si="60"/>
        <v>2727.196900162176</v>
      </c>
      <c r="Q224" s="139">
        <f t="shared" si="60"/>
        <v>2599.2652236504118</v>
      </c>
      <c r="R224" s="139">
        <f t="shared" si="60"/>
        <v>2483.9551531479315</v>
      </c>
      <c r="S224" s="139">
        <f t="shared" si="60"/>
        <v>2378.2850646191755</v>
      </c>
      <c r="T224" s="139">
        <f t="shared" si="60"/>
        <v>2280.219126104073</v>
      </c>
      <c r="U224" s="139">
        <f t="shared" si="60"/>
        <v>2188.3052615261854</v>
      </c>
      <c r="V224" s="139">
        <f t="shared" si="60"/>
        <v>2101.4713116148873</v>
      </c>
      <c r="W224" s="139">
        <f t="shared" si="60"/>
        <v>2018.9030668005651</v>
      </c>
      <c r="X224" s="139">
        <f t="shared" si="60"/>
        <v>1973.5396351031236</v>
      </c>
      <c r="Y224" s="139">
        <f t="shared" si="60"/>
        <v>1931.3072905610729</v>
      </c>
      <c r="Z224" s="139">
        <f t="shared" si="60"/>
        <v>1891.8015705906869</v>
      </c>
      <c r="AA224" s="139">
        <f t="shared" si="60"/>
        <v>1854.691650955476</v>
      </c>
      <c r="AB224" s="139">
        <f t="shared" si="60"/>
        <v>1819.7034880519736</v>
      </c>
      <c r="AC224" s="139">
        <f t="shared" si="60"/>
        <v>1786.6075251226812</v>
      </c>
      <c r="AD224" s="139">
        <f t="shared" si="60"/>
        <v>1755.2095555269152</v>
      </c>
      <c r="AE224" s="139">
        <f t="shared" si="60"/>
        <v>1725.3438175302533</v>
      </c>
      <c r="AF224" s="139">
        <f t="shared" si="60"/>
        <v>1696.8676969390704</v>
      </c>
      <c r="AG224" s="139">
        <f t="shared" si="60"/>
        <v>1669.6576082453721</v>
      </c>
      <c r="AH224" s="139">
        <f t="shared" si="60"/>
        <v>1643.6057530178161</v>
      </c>
      <c r="AI224" s="139">
        <f t="shared" si="60"/>
        <v>1618.6175404631442</v>
      </c>
      <c r="AJ224" s="139">
        <f t="shared" si="60"/>
        <v>1594.6095141935373</v>
      </c>
      <c r="AK224" s="139">
        <f t="shared" si="60"/>
        <v>1571.5076704791036</v>
      </c>
      <c r="AL224" s="139">
        <f t="shared" si="60"/>
        <v>1549.2460824960958</v>
      </c>
      <c r="AM224" s="139">
        <f t="shared" si="60"/>
        <v>1527.7657660986961</v>
      </c>
      <c r="AN224" s="139">
        <f t="shared" si="60"/>
        <v>1507.0137379540449</v>
      </c>
      <c r="AO224" s="139">
        <f t="shared" si="60"/>
        <v>1486.9422281721211</v>
      </c>
      <c r="AP224" s="139">
        <f t="shared" si="60"/>
        <v>1467.5080179836591</v>
      </c>
      <c r="AQ224" s="139">
        <f t="shared" si="60"/>
        <v>1448.6718793662005</v>
      </c>
    </row>
    <row r="225" spans="7:43" ht="14.1" hidden="1" customHeight="1" x14ac:dyDescent="0.25">
      <c r="G225" s="106"/>
      <c r="H225" s="218"/>
      <c r="J225" s="210"/>
      <c r="K225" s="7" t="s">
        <v>96</v>
      </c>
      <c r="L225" s="140">
        <f t="shared" ref="L225:AQ225" si="61" xml:space="preserve"> $N$43*(L313 + L490)</f>
        <v>3667.5651560975625</v>
      </c>
      <c r="M225" s="140">
        <f t="shared" si="61"/>
        <v>3414.083431837194</v>
      </c>
      <c r="N225" s="140">
        <f t="shared" si="61"/>
        <v>3224.6536308597733</v>
      </c>
      <c r="O225" s="140">
        <f t="shared" si="61"/>
        <v>3070.3207042468443</v>
      </c>
      <c r="P225" s="140">
        <f t="shared" si="61"/>
        <v>2938.1873010771264</v>
      </c>
      <c r="Q225" s="140">
        <f t="shared" si="61"/>
        <v>2821.3735815972423</v>
      </c>
      <c r="R225" s="140">
        <f t="shared" si="61"/>
        <v>2715.772894577412</v>
      </c>
      <c r="S225" s="140">
        <f t="shared" si="61"/>
        <v>2618.7363657721839</v>
      </c>
      <c r="T225" s="140">
        <f t="shared" si="61"/>
        <v>2528.4553624421883</v>
      </c>
      <c r="U225" s="140">
        <f t="shared" si="61"/>
        <v>2443.6398604678739</v>
      </c>
      <c r="V225" s="140">
        <f t="shared" si="61"/>
        <v>2363.3373537501916</v>
      </c>
      <c r="W225" s="140">
        <f t="shared" si="61"/>
        <v>2286.8244986570348</v>
      </c>
      <c r="X225" s="140">
        <f t="shared" si="61"/>
        <v>2246.523634270307</v>
      </c>
      <c r="Y225" s="140">
        <f t="shared" si="61"/>
        <v>2209.0044271372462</v>
      </c>
      <c r="Z225" s="140">
        <f t="shared" si="61"/>
        <v>2173.9075527727714</v>
      </c>
      <c r="AA225" s="140">
        <f t="shared" si="61"/>
        <v>2140.9391069859557</v>
      </c>
      <c r="AB225" s="140">
        <f t="shared" si="61"/>
        <v>2109.8556294898231</v>
      </c>
      <c r="AC225" s="140">
        <f t="shared" si="61"/>
        <v>2080.4531821031801</v>
      </c>
      <c r="AD225" s="140">
        <f t="shared" si="61"/>
        <v>2052.5592316821203</v>
      </c>
      <c r="AE225" s="140">
        <f t="shared" si="61"/>
        <v>2026.0265155322322</v>
      </c>
      <c r="AF225" s="140">
        <f t="shared" si="61"/>
        <v>2000.7283352300994</v>
      </c>
      <c r="AG225" s="140">
        <f t="shared" si="61"/>
        <v>1976.5548974331216</v>
      </c>
      <c r="AH225" s="140">
        <f t="shared" si="61"/>
        <v>1953.4104340346967</v>
      </c>
      <c r="AI225" s="140">
        <f t="shared" si="61"/>
        <v>1931.2109105914692</v>
      </c>
      <c r="AJ225" s="140">
        <f t="shared" si="61"/>
        <v>1909.8821844638342</v>
      </c>
      <c r="AK225" s="140">
        <f t="shared" si="61"/>
        <v>1889.3585107517481</v>
      </c>
      <c r="AL225" s="140">
        <f t="shared" si="61"/>
        <v>1869.5813200771058</v>
      </c>
      <c r="AM225" s="140">
        <f t="shared" si="61"/>
        <v>1850.4982109355985</v>
      </c>
      <c r="AN225" s="140">
        <f t="shared" si="61"/>
        <v>1832.0621129440456</v>
      </c>
      <c r="AO225" s="140">
        <f t="shared" si="61"/>
        <v>1814.2305873409282</v>
      </c>
      <c r="AP225" s="140">
        <f t="shared" si="61"/>
        <v>1796.9652385795703</v>
      </c>
      <c r="AQ225" s="140">
        <f t="shared" si="61"/>
        <v>1780.2312164920254</v>
      </c>
    </row>
    <row r="226" spans="7:43" ht="14.1" hidden="1" customHeight="1" thickBot="1" x14ac:dyDescent="0.3">
      <c r="G226" s="106"/>
      <c r="H226" s="218"/>
      <c r="J226" s="210"/>
      <c r="K226" s="121" t="s">
        <v>97</v>
      </c>
      <c r="L226" s="141">
        <f t="shared" ref="L226:AQ226" si="62" xml:space="preserve"> $N$43*(L314 + L491)</f>
        <v>3884.8118932708076</v>
      </c>
      <c r="M226" s="141">
        <f t="shared" si="62"/>
        <v>3711.3097834807686</v>
      </c>
      <c r="N226" s="141">
        <f t="shared" si="62"/>
        <v>3580.6232509361748</v>
      </c>
      <c r="O226" s="141">
        <f t="shared" si="62"/>
        <v>3473.3972619382225</v>
      </c>
      <c r="P226" s="141">
        <f t="shared" si="62"/>
        <v>3381.010568344353</v>
      </c>
      <c r="Q226" s="141">
        <f t="shared" si="62"/>
        <v>3298.8643338464549</v>
      </c>
      <c r="R226" s="141">
        <f t="shared" si="62"/>
        <v>3224.2134629979619</v>
      </c>
      <c r="S226" s="141">
        <f t="shared" si="62"/>
        <v>3155.2873129507334</v>
      </c>
      <c r="T226" s="141">
        <f t="shared" si="62"/>
        <v>3090.876901198219</v>
      </c>
      <c r="U226" s="141">
        <f t="shared" si="62"/>
        <v>3030.1199097254525</v>
      </c>
      <c r="V226" s="141">
        <f t="shared" si="62"/>
        <v>2972.3796348025526</v>
      </c>
      <c r="W226" s="141">
        <f t="shared" si="62"/>
        <v>2917.1725565979946</v>
      </c>
      <c r="X226" s="141">
        <f t="shared" si="62"/>
        <v>2890.2334003046617</v>
      </c>
      <c r="Y226" s="141">
        <f t="shared" si="62"/>
        <v>2865.1536458045998</v>
      </c>
      <c r="Z226" s="141">
        <f t="shared" si="62"/>
        <v>2841.6931022579593</v>
      </c>
      <c r="AA226" s="141">
        <f t="shared" si="62"/>
        <v>2819.6553090911261</v>
      </c>
      <c r="AB226" s="141">
        <f t="shared" si="62"/>
        <v>2798.8775250125204</v>
      </c>
      <c r="AC226" s="141">
        <f t="shared" si="62"/>
        <v>2779.2234273248264</v>
      </c>
      <c r="AD226" s="141">
        <f t="shared" si="62"/>
        <v>2760.5776860617962</v>
      </c>
      <c r="AE226" s="141">
        <f t="shared" si="62"/>
        <v>2742.8418633164192</v>
      </c>
      <c r="AF226" s="141">
        <f t="shared" si="62"/>
        <v>2725.9312673908266</v>
      </c>
      <c r="AG226" s="141">
        <f t="shared" si="62"/>
        <v>2709.7725068066643</v>
      </c>
      <c r="AH226" s="141">
        <f t="shared" si="62"/>
        <v>2694.3015652697168</v>
      </c>
      <c r="AI226" s="141">
        <f t="shared" si="62"/>
        <v>2679.4622698656326</v>
      </c>
      <c r="AJ226" s="141">
        <f t="shared" si="62"/>
        <v>2665.2050598669489</v>
      </c>
      <c r="AK226" s="141">
        <f t="shared" si="62"/>
        <v>2651.4859880242784</v>
      </c>
      <c r="AL226" s="141">
        <f t="shared" si="62"/>
        <v>2638.2659035736165</v>
      </c>
      <c r="AM226" s="141">
        <f t="shared" si="62"/>
        <v>2625.5097786728534</v>
      </c>
      <c r="AN226" s="141">
        <f t="shared" si="62"/>
        <v>2613.1861490735537</v>
      </c>
      <c r="AO226" s="141">
        <f t="shared" si="62"/>
        <v>2601.2666465397783</v>
      </c>
      <c r="AP226" s="141">
        <f t="shared" si="62"/>
        <v>2589.7256055269136</v>
      </c>
      <c r="AQ226" s="141">
        <f t="shared" si="62"/>
        <v>2578.5397304025851</v>
      </c>
    </row>
    <row r="227" spans="7:43" ht="14.1" hidden="1" customHeight="1" thickTop="1" x14ac:dyDescent="0.25">
      <c r="G227" s="106"/>
      <c r="H227" s="218"/>
      <c r="J227" s="210"/>
      <c r="K227" s="119" t="s">
        <v>98</v>
      </c>
      <c r="L227" s="142">
        <f t="shared" ref="L227:AQ227" si="63" xml:space="preserve"> $N$43*(L315 + L492)</f>
        <v>3575.8448738010529</v>
      </c>
      <c r="M227" s="142">
        <f t="shared" si="63"/>
        <v>3290.7386609137698</v>
      </c>
      <c r="N227" s="142">
        <f t="shared" si="63"/>
        <v>3078.5847497092141</v>
      </c>
      <c r="O227" s="142">
        <f t="shared" si="63"/>
        <v>2906.4046228272218</v>
      </c>
      <c r="P227" s="142">
        <f t="shared" si="63"/>
        <v>2759.5087692103584</v>
      </c>
      <c r="Q227" s="142">
        <f t="shared" si="63"/>
        <v>2630.0613563106876</v>
      </c>
      <c r="R227" s="142">
        <f t="shared" si="63"/>
        <v>2513.3850903942307</v>
      </c>
      <c r="S227" s="142">
        <f t="shared" si="63"/>
        <v>2406.4630210999312</v>
      </c>
      <c r="T227" s="142">
        <f t="shared" si="63"/>
        <v>2307.2351959006669</v>
      </c>
      <c r="U227" s="142">
        <f t="shared" si="63"/>
        <v>2214.2323345012528</v>
      </c>
      <c r="V227" s="142">
        <f t="shared" si="63"/>
        <v>2126.3695746722315</v>
      </c>
      <c r="W227" s="142">
        <f t="shared" si="63"/>
        <v>2042.8230600770144</v>
      </c>
      <c r="X227" s="142">
        <f t="shared" si="63"/>
        <v>1996.9221617725609</v>
      </c>
      <c r="Y227" s="142">
        <f t="shared" si="63"/>
        <v>1954.1894477902401</v>
      </c>
      <c r="Z227" s="142">
        <f t="shared" si="63"/>
        <v>1914.2156634676758</v>
      </c>
      <c r="AA227" s="142">
        <f t="shared" si="63"/>
        <v>1876.6660649579508</v>
      </c>
      <c r="AB227" s="142">
        <f t="shared" si="63"/>
        <v>1841.2633617849481</v>
      </c>
      <c r="AC227" s="142">
        <f t="shared" si="63"/>
        <v>1807.7752773993238</v>
      </c>
      <c r="AD227" s="142">
        <f t="shared" si="63"/>
        <v>1776.0053041972553</v>
      </c>
      <c r="AE227" s="142">
        <f t="shared" si="63"/>
        <v>1745.7857164968491</v>
      </c>
      <c r="AF227" s="142">
        <f t="shared" si="63"/>
        <v>1716.9722104094128</v>
      </c>
      <c r="AG227" s="142">
        <f t="shared" si="63"/>
        <v>1689.4397361840322</v>
      </c>
      <c r="AH227" s="142">
        <f t="shared" si="63"/>
        <v>1663.0792181919635</v>
      </c>
      <c r="AI227" s="142">
        <f t="shared" si="63"/>
        <v>1637.7949449268358</v>
      </c>
      <c r="AJ227" s="142">
        <f t="shared" si="63"/>
        <v>1613.5024712083182</v>
      </c>
      <c r="AK227" s="142">
        <f t="shared" si="63"/>
        <v>1590.1269165092365</v>
      </c>
      <c r="AL227" s="142">
        <f t="shared" si="63"/>
        <v>1567.6015729038645</v>
      </c>
      <c r="AM227" s="142">
        <f t="shared" si="63"/>
        <v>1545.8667574013562</v>
      </c>
      <c r="AN227" s="142">
        <f t="shared" si="63"/>
        <v>1524.8688589215435</v>
      </c>
      <c r="AO227" s="142">
        <f t="shared" si="63"/>
        <v>1504.5595415960447</v>
      </c>
      <c r="AP227" s="142">
        <f t="shared" si="63"/>
        <v>1484.8950745989794</v>
      </c>
      <c r="AQ227" s="142">
        <f t="shared" si="63"/>
        <v>1465.835765133701</v>
      </c>
    </row>
    <row r="228" spans="7:43" ht="14.1" hidden="1" customHeight="1" x14ac:dyDescent="0.25">
      <c r="G228" s="106"/>
      <c r="H228" s="218"/>
      <c r="J228" s="210"/>
      <c r="K228" s="7" t="s">
        <v>99</v>
      </c>
      <c r="L228" s="143">
        <f t="shared" ref="L228:AQ228" si="64" xml:space="preserve"> $N$43*(L316 + L493)</f>
        <v>3711.0185220948815</v>
      </c>
      <c r="M228" s="143">
        <f t="shared" si="64"/>
        <v>3454.5335426313691</v>
      </c>
      <c r="N228" s="143">
        <f t="shared" si="64"/>
        <v>3262.8593745814283</v>
      </c>
      <c r="O228" s="143">
        <f t="shared" si="64"/>
        <v>3106.6979091804692</v>
      </c>
      <c r="P228" s="143">
        <f t="shared" si="64"/>
        <v>2972.9989875035048</v>
      </c>
      <c r="Q228" s="143">
        <f t="shared" si="64"/>
        <v>2854.8012573544088</v>
      </c>
      <c r="R228" s="143">
        <f t="shared" si="64"/>
        <v>2747.9494118391362</v>
      </c>
      <c r="S228" s="143">
        <f t="shared" si="64"/>
        <v>2649.7631928111527</v>
      </c>
      <c r="T228" s="143">
        <f t="shared" si="64"/>
        <v>2558.4125388237499</v>
      </c>
      <c r="U228" s="143">
        <f t="shared" si="64"/>
        <v>2472.5921415326038</v>
      </c>
      <c r="V228" s="143">
        <f t="shared" si="64"/>
        <v>2391.3382095323732</v>
      </c>
      <c r="W228" s="143">
        <f t="shared" si="64"/>
        <v>2313.9188290049415</v>
      </c>
      <c r="X228" s="143">
        <f t="shared" si="64"/>
        <v>2273.1404793832771</v>
      </c>
      <c r="Y228" s="143">
        <f t="shared" si="64"/>
        <v>2235.1767441313987</v>
      </c>
      <c r="Z228" s="143">
        <f t="shared" si="64"/>
        <v>2199.6640414824319</v>
      </c>
      <c r="AA228" s="143">
        <f t="shared" si="64"/>
        <v>2166.3049850642669</v>
      </c>
      <c r="AB228" s="143">
        <f t="shared" si="64"/>
        <v>2134.8532300688612</v>
      </c>
      <c r="AC228" s="143">
        <f t="shared" si="64"/>
        <v>2105.1024220524455</v>
      </c>
      <c r="AD228" s="143">
        <f t="shared" si="64"/>
        <v>2076.8779836958843</v>
      </c>
      <c r="AE228" s="143">
        <f t="shared" si="64"/>
        <v>2050.030907534192</v>
      </c>
      <c r="AF228" s="143">
        <f t="shared" si="64"/>
        <v>2024.4329940191653</v>
      </c>
      <c r="AG228" s="143">
        <f t="shared" si="64"/>
        <v>1999.9731489750636</v>
      </c>
      <c r="AH228" s="143">
        <f t="shared" si="64"/>
        <v>1976.5544696333468</v>
      </c>
      <c r="AI228" s="143">
        <f t="shared" si="64"/>
        <v>1954.0919259093371</v>
      </c>
      <c r="AJ228" s="143">
        <f t="shared" si="64"/>
        <v>1932.5104967203426</v>
      </c>
      <c r="AK228" s="143">
        <f t="shared" si="64"/>
        <v>1911.7436582197765</v>
      </c>
      <c r="AL228" s="143">
        <f t="shared" si="64"/>
        <v>1891.7321470986778</v>
      </c>
      <c r="AM228" s="143">
        <f t="shared" si="64"/>
        <v>1872.4229409989432</v>
      </c>
      <c r="AN228" s="143">
        <f t="shared" si="64"/>
        <v>1853.7684118467994</v>
      </c>
      <c r="AO228" s="143">
        <f t="shared" si="64"/>
        <v>1835.7256180656557</v>
      </c>
      <c r="AP228" s="143">
        <f t="shared" si="64"/>
        <v>1818.2557091978324</v>
      </c>
      <c r="AQ228" s="143">
        <f t="shared" si="64"/>
        <v>1801.3234221700811</v>
      </c>
    </row>
    <row r="229" spans="7:43" ht="14.1" hidden="1" customHeight="1" thickBot="1" x14ac:dyDescent="0.3">
      <c r="G229" s="106"/>
      <c r="H229" s="218"/>
      <c r="J229" s="210"/>
      <c r="K229" s="121" t="s">
        <v>100</v>
      </c>
      <c r="L229" s="141">
        <f t="shared" ref="L229:AQ229" si="65" xml:space="preserve"> $N$43*(L317 + L494)</f>
        <v>3930.8392018104746</v>
      </c>
      <c r="M229" s="141">
        <f t="shared" si="65"/>
        <v>3755.2814364677374</v>
      </c>
      <c r="N229" s="141">
        <f t="shared" si="65"/>
        <v>3623.0465279603777</v>
      </c>
      <c r="O229" s="141">
        <f t="shared" si="65"/>
        <v>3514.5501238652023</v>
      </c>
      <c r="P229" s="141">
        <f t="shared" si="65"/>
        <v>3421.0688313646601</v>
      </c>
      <c r="Q229" s="141">
        <f t="shared" si="65"/>
        <v>3337.9493270703128</v>
      </c>
      <c r="R229" s="141">
        <f t="shared" si="65"/>
        <v>3262.4139916043059</v>
      </c>
      <c r="S229" s="141">
        <f t="shared" si="65"/>
        <v>3192.6712035159476</v>
      </c>
      <c r="T229" s="141">
        <f t="shared" si="65"/>
        <v>3127.4976562561428</v>
      </c>
      <c r="U229" s="141">
        <f t="shared" si="65"/>
        <v>3066.0208150533795</v>
      </c>
      <c r="V229" s="141">
        <f t="shared" si="65"/>
        <v>3007.5964325026057</v>
      </c>
      <c r="W229" s="141">
        <f t="shared" si="65"/>
        <v>2951.7352600222098</v>
      </c>
      <c r="X229" s="141">
        <f t="shared" si="65"/>
        <v>2924.4769282082661</v>
      </c>
      <c r="Y229" s="141">
        <f t="shared" si="65"/>
        <v>2899.1000284074307</v>
      </c>
      <c r="Z229" s="141">
        <f t="shared" si="65"/>
        <v>2875.3615239952464</v>
      </c>
      <c r="AA229" s="141">
        <f t="shared" si="65"/>
        <v>2853.0626267303282</v>
      </c>
      <c r="AB229" s="141">
        <f t="shared" si="65"/>
        <v>2832.0386671598762</v>
      </c>
      <c r="AC229" s="141">
        <f t="shared" si="65"/>
        <v>2812.1517074332482</v>
      </c>
      <c r="AD229" s="141">
        <f t="shared" si="65"/>
        <v>2793.2850511530587</v>
      </c>
      <c r="AE229" s="141">
        <f t="shared" si="65"/>
        <v>2775.3390941185235</v>
      </c>
      <c r="AF229" s="141">
        <f t="shared" si="65"/>
        <v>2758.2281412032894</v>
      </c>
      <c r="AG229" s="141">
        <f t="shared" si="65"/>
        <v>2741.8779313856867</v>
      </c>
      <c r="AH229" s="141">
        <f t="shared" si="65"/>
        <v>2726.2236899055033</v>
      </c>
      <c r="AI229" s="141">
        <f t="shared" si="65"/>
        <v>2711.2085783108705</v>
      </c>
      <c r="AJ229" s="141">
        <f t="shared" si="65"/>
        <v>2696.7824486780951</v>
      </c>
      <c r="AK229" s="141">
        <f t="shared" si="65"/>
        <v>2682.9008330701326</v>
      </c>
      <c r="AL229" s="141">
        <f t="shared" si="65"/>
        <v>2669.5241168641514</v>
      </c>
      <c r="AM229" s="141">
        <f t="shared" si="65"/>
        <v>2656.6168572076499</v>
      </c>
      <c r="AN229" s="141">
        <f t="shared" si="65"/>
        <v>2644.1472170633156</v>
      </c>
      <c r="AO229" s="141">
        <f t="shared" si="65"/>
        <v>2632.0864920879303</v>
      </c>
      <c r="AP229" s="141">
        <f t="shared" si="65"/>
        <v>2620.4087126511308</v>
      </c>
      <c r="AQ229" s="141">
        <f t="shared" si="65"/>
        <v>2609.0903071135472</v>
      </c>
    </row>
    <row r="230" spans="7:43" ht="14.1" hidden="1" customHeight="1" thickTop="1" x14ac:dyDescent="0.25">
      <c r="G230" s="106"/>
      <c r="H230" s="218"/>
      <c r="J230" s="210"/>
      <c r="K230" s="119" t="s">
        <v>101</v>
      </c>
      <c r="L230" s="142">
        <f t="shared" ref="L230:AQ230" si="66" xml:space="preserve"> $N$43*(L318 + L495)</f>
        <v>3718.4180816775865</v>
      </c>
      <c r="M230" s="142">
        <f t="shared" si="66"/>
        <v>3421.9443434105842</v>
      </c>
      <c r="N230" s="142">
        <f t="shared" si="66"/>
        <v>3201.3316022647186</v>
      </c>
      <c r="O230" s="142">
        <f t="shared" si="66"/>
        <v>3022.2864479868213</v>
      </c>
      <c r="P230" s="142">
        <f t="shared" si="66"/>
        <v>2869.533681161176</v>
      </c>
      <c r="Q230" s="142">
        <f t="shared" si="66"/>
        <v>2734.9250452331685</v>
      </c>
      <c r="R230" s="142">
        <f t="shared" si="66"/>
        <v>2613.5967571787696</v>
      </c>
      <c r="S230" s="142">
        <f t="shared" si="66"/>
        <v>2502.4115772210935</v>
      </c>
      <c r="T230" s="142">
        <f t="shared" si="66"/>
        <v>2399.2274200643324</v>
      </c>
      <c r="U230" s="142">
        <f t="shared" si="66"/>
        <v>2302.5164234522972</v>
      </c>
      <c r="V230" s="142">
        <f t="shared" si="66"/>
        <v>2211.1504704021472</v>
      </c>
      <c r="W230" s="142">
        <f t="shared" si="66"/>
        <v>2124.2728564407312</v>
      </c>
      <c r="X230" s="142">
        <f t="shared" si="66"/>
        <v>2076.5418344741393</v>
      </c>
      <c r="Y230" s="142">
        <f t="shared" si="66"/>
        <v>2032.1053161242496</v>
      </c>
      <c r="Z230" s="142">
        <f t="shared" si="66"/>
        <v>1990.5377292562819</v>
      </c>
      <c r="AA230" s="142">
        <f t="shared" si="66"/>
        <v>1951.490983386158</v>
      </c>
      <c r="AB230" s="142">
        <f t="shared" si="66"/>
        <v>1914.6767321351451</v>
      </c>
      <c r="AC230" s="142">
        <f t="shared" si="66"/>
        <v>1879.8534378103313</v>
      </c>
      <c r="AD230" s="142">
        <f t="shared" si="66"/>
        <v>1846.8167578149241</v>
      </c>
      <c r="AE230" s="142">
        <f t="shared" si="66"/>
        <v>1815.3922790436773</v>
      </c>
      <c r="AF230" s="142">
        <f t="shared" si="66"/>
        <v>1785.4299440394293</v>
      </c>
      <c r="AG230" s="142">
        <f t="shared" si="66"/>
        <v>1756.7997171682753</v>
      </c>
      <c r="AH230" s="142">
        <f t="shared" si="66"/>
        <v>1729.3881738258194</v>
      </c>
      <c r="AI230" s="142">
        <f t="shared" si="66"/>
        <v>1703.0957863735669</v>
      </c>
      <c r="AJ230" s="142">
        <f t="shared" si="66"/>
        <v>1677.8347427009439</v>
      </c>
      <c r="AK230" s="142">
        <f t="shared" si="66"/>
        <v>1653.5271767046831</v>
      </c>
      <c r="AL230" s="142">
        <f t="shared" si="66"/>
        <v>1630.1037207343516</v>
      </c>
      <c r="AM230" s="142">
        <f t="shared" si="66"/>
        <v>1607.5023121669426</v>
      </c>
      <c r="AN230" s="142">
        <f t="shared" si="66"/>
        <v>1585.6672023844626</v>
      </c>
      <c r="AO230" s="142">
        <f t="shared" si="66"/>
        <v>1564.5481283097004</v>
      </c>
      <c r="AP230" s="142">
        <f t="shared" si="66"/>
        <v>1544.0996155164944</v>
      </c>
      <c r="AQ230" s="142">
        <f t="shared" si="66"/>
        <v>1524.2803886089675</v>
      </c>
    </row>
    <row r="231" spans="7:43" ht="14.1" hidden="1" customHeight="1" x14ac:dyDescent="0.25">
      <c r="G231" s="106"/>
      <c r="H231" s="218"/>
      <c r="J231" s="210"/>
      <c r="K231" s="7" t="s">
        <v>102</v>
      </c>
      <c r="L231" s="144">
        <f t="shared" ref="L231:AP231" si="67" xml:space="preserve"> $N$43*(L319 + L496)</f>
        <v>3858.9812648471652</v>
      </c>
      <c r="M231" s="144">
        <f t="shared" si="67"/>
        <v>3592.2699227799008</v>
      </c>
      <c r="N231" s="144">
        <f t="shared" si="67"/>
        <v>3392.9534766193615</v>
      </c>
      <c r="O231" s="144">
        <f t="shared" si="67"/>
        <v>3230.5656669963587</v>
      </c>
      <c r="P231" s="144">
        <f t="shared" si="67"/>
        <v>3091.5360095560004</v>
      </c>
      <c r="Q231" s="144">
        <f t="shared" si="67"/>
        <v>2968.6255946720185</v>
      </c>
      <c r="R231" s="144">
        <f t="shared" si="67"/>
        <v>2857.5134383993486</v>
      </c>
      <c r="S231" s="144">
        <f t="shared" si="67"/>
        <v>2755.4124174965273</v>
      </c>
      <c r="T231" s="144">
        <f t="shared" si="67"/>
        <v>2660.4195037802338</v>
      </c>
      <c r="U231" s="144">
        <f t="shared" si="67"/>
        <v>2571.1773447027522</v>
      </c>
      <c r="V231" s="144">
        <f t="shared" si="67"/>
        <v>2486.6837213437798</v>
      </c>
      <c r="W231" s="144">
        <f t="shared" si="67"/>
        <v>2406.1775376067117</v>
      </c>
      <c r="X231" s="144">
        <f t="shared" si="67"/>
        <v>2363.7733064597978</v>
      </c>
      <c r="Y231" s="144">
        <f t="shared" si="67"/>
        <v>2324.2959117207611</v>
      </c>
      <c r="Z231" s="144">
        <f t="shared" si="67"/>
        <v>2287.3672751832396</v>
      </c>
      <c r="AA231" s="144">
        <f t="shared" si="67"/>
        <v>2252.6781533251228</v>
      </c>
      <c r="AB231" s="144">
        <f t="shared" si="67"/>
        <v>2219.9723792765149</v>
      </c>
      <c r="AC231" s="144">
        <f t="shared" si="67"/>
        <v>2189.0353709954024</v>
      </c>
      <c r="AD231" s="144">
        <f t="shared" si="67"/>
        <v>2159.685590556333</v>
      </c>
      <c r="AE231" s="144">
        <f t="shared" si="67"/>
        <v>2131.768089388645</v>
      </c>
      <c r="AF231" s="144">
        <f t="shared" si="67"/>
        <v>2105.1495564749634</v>
      </c>
      <c r="AG231" s="144">
        <f t="shared" si="67"/>
        <v>2079.7144681820141</v>
      </c>
      <c r="AH231" s="144">
        <f t="shared" si="67"/>
        <v>2055.3620581120872</v>
      </c>
      <c r="AI231" s="144">
        <f t="shared" si="67"/>
        <v>2032.0039059294263</v>
      </c>
      <c r="AJ231" s="144">
        <f t="shared" si="67"/>
        <v>2009.5619993711316</v>
      </c>
      <c r="AK231" s="144">
        <f t="shared" si="67"/>
        <v>1987.9671622053625</v>
      </c>
      <c r="AL231" s="144">
        <f t="shared" si="67"/>
        <v>1967.1577682242171</v>
      </c>
      <c r="AM231" s="144">
        <f t="shared" si="67"/>
        <v>1947.0786810048182</v>
      </c>
      <c r="AN231" s="144">
        <f t="shared" si="67"/>
        <v>1927.6803734851803</v>
      </c>
      <c r="AO231" s="144">
        <f t="shared" si="67"/>
        <v>1908.9181919567436</v>
      </c>
      <c r="AP231" s="144">
        <f t="shared" si="67"/>
        <v>1890.7517369476591</v>
      </c>
      <c r="AQ231" s="144">
        <f t="shared" ref="AQ231" si="68" xml:space="preserve"> $N$43*(AQ319 + AQ496)</f>
        <v>1873.1443394038113</v>
      </c>
    </row>
    <row r="232" spans="7:43" ht="14.1" hidden="1" customHeight="1" thickBot="1" x14ac:dyDescent="0.3">
      <c r="G232" s="106"/>
      <c r="H232" s="218"/>
      <c r="J232" s="210"/>
      <c r="K232" s="121" t="s">
        <v>103</v>
      </c>
      <c r="L232" s="141">
        <f t="shared" ref="L232:AP232" si="69" xml:space="preserve"> $N$43*(L320 + L497)</f>
        <v>4087.5664577255843</v>
      </c>
      <c r="M232" s="141">
        <f t="shared" si="69"/>
        <v>3905.0089945055888</v>
      </c>
      <c r="N232" s="141">
        <f t="shared" si="69"/>
        <v>3767.5017221892494</v>
      </c>
      <c r="O232" s="141">
        <f t="shared" si="69"/>
        <v>3654.6794368210217</v>
      </c>
      <c r="P232" s="141">
        <f t="shared" si="69"/>
        <v>3557.4709334881813</v>
      </c>
      <c r="Q232" s="141">
        <f t="shared" si="69"/>
        <v>3471.0373552385636</v>
      </c>
      <c r="R232" s="141">
        <f t="shared" si="69"/>
        <v>3392.4903356907548</v>
      </c>
      <c r="S232" s="141">
        <f t="shared" si="69"/>
        <v>3319.9668193060261</v>
      </c>
      <c r="T232" s="141">
        <f t="shared" si="69"/>
        <v>3252.1947248414467</v>
      </c>
      <c r="U232" s="141">
        <f t="shared" si="69"/>
        <v>3188.2667285215775</v>
      </c>
      <c r="V232" s="141">
        <f t="shared" si="69"/>
        <v>3127.5128960275197</v>
      </c>
      <c r="W232" s="141">
        <f t="shared" si="69"/>
        <v>3069.4244718521118</v>
      </c>
      <c r="X232" s="141">
        <f t="shared" si="69"/>
        <v>3041.0793177779092</v>
      </c>
      <c r="Y232" s="141">
        <f t="shared" si="69"/>
        <v>3014.6906106592919</v>
      </c>
      <c r="Z232" s="141">
        <f t="shared" si="69"/>
        <v>2990.0056237111803</v>
      </c>
      <c r="AA232" s="141">
        <f t="shared" si="69"/>
        <v>2966.8176427674762</v>
      </c>
      <c r="AB232" s="141">
        <f t="shared" si="69"/>
        <v>2944.9554328075319</v>
      </c>
      <c r="AC232" s="141">
        <f t="shared" si="69"/>
        <v>2924.2755562337807</v>
      </c>
      <c r="AD232" s="141">
        <f t="shared" si="69"/>
        <v>2904.656663824032</v>
      </c>
      <c r="AE232" s="141">
        <f t="shared" si="69"/>
        <v>2885.9951800390013</v>
      </c>
      <c r="AF232" s="141">
        <f t="shared" si="69"/>
        <v>2868.2019929852499</v>
      </c>
      <c r="AG232" s="141">
        <f t="shared" si="69"/>
        <v>2851.1998807654404</v>
      </c>
      <c r="AH232" s="141">
        <f t="shared" si="69"/>
        <v>2834.921485972272</v>
      </c>
      <c r="AI232" s="141">
        <f t="shared" si="69"/>
        <v>2819.3077039368836</v>
      </c>
      <c r="AJ232" s="141">
        <f t="shared" si="69"/>
        <v>2804.3063872779435</v>
      </c>
      <c r="AK232" s="141">
        <f t="shared" si="69"/>
        <v>2789.8712950686236</v>
      </c>
      <c r="AL232" s="141">
        <f t="shared" si="69"/>
        <v>2775.9612332037423</v>
      </c>
      <c r="AM232" s="141">
        <f t="shared" si="69"/>
        <v>2762.5393456819202</v>
      </c>
      <c r="AN232" s="141">
        <f t="shared" si="69"/>
        <v>2749.5725260851236</v>
      </c>
      <c r="AO232" s="141">
        <f t="shared" si="69"/>
        <v>2737.0309255936741</v>
      </c>
      <c r="AP232" s="141">
        <f t="shared" si="69"/>
        <v>2724.8875391370125</v>
      </c>
      <c r="AQ232" s="141">
        <f t="shared" ref="AQ232:AQ238" si="70" xml:space="preserve"> $N$43*(AQ320 + AQ497)</f>
        <v>2713.1178552463425</v>
      </c>
    </row>
    <row r="233" spans="7:43" ht="14.1" hidden="1" customHeight="1" thickTop="1" x14ac:dyDescent="0.25">
      <c r="G233" s="106"/>
      <c r="H233" s="218"/>
      <c r="J233" s="210"/>
      <c r="K233" s="119" t="s">
        <v>104</v>
      </c>
      <c r="L233" s="142">
        <f t="shared" ref="L233:AP233" si="71" xml:space="preserve"> $N$43*(L321 + L498)</f>
        <v>3861.2112177834842</v>
      </c>
      <c r="M233" s="142">
        <f t="shared" si="71"/>
        <v>3553.3524190068033</v>
      </c>
      <c r="N233" s="142">
        <f t="shared" si="71"/>
        <v>3324.2677996371408</v>
      </c>
      <c r="O233" s="142">
        <f t="shared" si="71"/>
        <v>3138.3470282225144</v>
      </c>
      <c r="P233" s="142">
        <f t="shared" si="71"/>
        <v>2979.7283135274338</v>
      </c>
      <c r="Q233" s="142">
        <f t="shared" si="71"/>
        <v>2839.9504930567268</v>
      </c>
      <c r="R233" s="142">
        <f t="shared" si="71"/>
        <v>2713.9630068247452</v>
      </c>
      <c r="S233" s="142">
        <f t="shared" si="71"/>
        <v>2598.5081400847016</v>
      </c>
      <c r="T233" s="142">
        <f t="shared" si="71"/>
        <v>2491.3615480770936</v>
      </c>
      <c r="U233" s="142">
        <f t="shared" si="71"/>
        <v>2390.9366962183321</v>
      </c>
      <c r="V233" s="142">
        <f t="shared" si="71"/>
        <v>2296.0621460489874</v>
      </c>
      <c r="W233" s="142">
        <f t="shared" si="71"/>
        <v>2205.84829428901</v>
      </c>
      <c r="X233" s="142">
        <f t="shared" si="71"/>
        <v>2156.2843255782809</v>
      </c>
      <c r="Y233" s="142">
        <f t="shared" si="71"/>
        <v>2110.141374634361</v>
      </c>
      <c r="Z233" s="142">
        <f t="shared" si="71"/>
        <v>2066.9775266793254</v>
      </c>
      <c r="AA233" s="142">
        <f t="shared" si="71"/>
        <v>2026.4313240039003</v>
      </c>
      <c r="AB233" s="142">
        <f t="shared" si="71"/>
        <v>1988.2033472723065</v>
      </c>
      <c r="AC233" s="142">
        <f t="shared" si="71"/>
        <v>1952.0427833621595</v>
      </c>
      <c r="AD233" s="142">
        <f t="shared" si="71"/>
        <v>1917.7374425977239</v>
      </c>
      <c r="AE233" s="142">
        <f t="shared" si="71"/>
        <v>1885.1062141346256</v>
      </c>
      <c r="AF233" s="142">
        <f t="shared" si="71"/>
        <v>1853.993278071988</v>
      </c>
      <c r="AG233" s="142">
        <f t="shared" si="71"/>
        <v>1824.2636052018759</v>
      </c>
      <c r="AH233" s="142">
        <f t="shared" si="71"/>
        <v>1795.7994152356691</v>
      </c>
      <c r="AI233" s="142">
        <f t="shared" si="71"/>
        <v>1768.4973585161231</v>
      </c>
      <c r="AJ233" s="142">
        <f t="shared" si="71"/>
        <v>1742.2662508087171</v>
      </c>
      <c r="AK233" s="142">
        <f t="shared" si="71"/>
        <v>1717.0252358286509</v>
      </c>
      <c r="AL233" s="142">
        <f t="shared" si="71"/>
        <v>1692.7022820979882</v>
      </c>
      <c r="AM233" s="142">
        <f t="shared" si="71"/>
        <v>1669.2329436908301</v>
      </c>
      <c r="AN233" s="142">
        <f t="shared" si="71"/>
        <v>1646.5593311540683</v>
      </c>
      <c r="AO233" s="142">
        <f t="shared" si="71"/>
        <v>1624.6292512288214</v>
      </c>
      <c r="AP233" s="142">
        <f t="shared" si="71"/>
        <v>1603.3954831990325</v>
      </c>
      <c r="AQ233" s="142">
        <f t="shared" si="70"/>
        <v>1582.8151666283325</v>
      </c>
    </row>
    <row r="234" spans="7:43" ht="14.1" hidden="1" customHeight="1" x14ac:dyDescent="0.25">
      <c r="G234" s="106"/>
      <c r="H234" s="218"/>
      <c r="J234" s="210"/>
      <c r="K234" s="7" t="s">
        <v>105</v>
      </c>
      <c r="L234" s="140">
        <f t="shared" ref="L234:AP234" si="72" xml:space="preserve"> $N$43*(L322 + L499)</f>
        <v>4007.1722495287017</v>
      </c>
      <c r="M234" s="140">
        <f t="shared" si="72"/>
        <v>3730.2187700437926</v>
      </c>
      <c r="N234" s="140">
        <f t="shared" si="72"/>
        <v>3523.2482570732327</v>
      </c>
      <c r="O234" s="140">
        <f t="shared" si="72"/>
        <v>3354.6244986967286</v>
      </c>
      <c r="P234" s="140">
        <f t="shared" si="72"/>
        <v>3210.2558824944549</v>
      </c>
      <c r="Q234" s="140">
        <f t="shared" si="72"/>
        <v>3082.6255132600354</v>
      </c>
      <c r="R234" s="140">
        <f t="shared" si="72"/>
        <v>2967.2464744300105</v>
      </c>
      <c r="S234" s="140">
        <f t="shared" si="72"/>
        <v>2861.2246128217912</v>
      </c>
      <c r="T234" s="140">
        <f t="shared" si="72"/>
        <v>2762.5838209596204</v>
      </c>
      <c r="U234" s="140">
        <f t="shared" si="72"/>
        <v>2669.9146218108986</v>
      </c>
      <c r="V234" s="140">
        <f t="shared" si="72"/>
        <v>2582.1763096634786</v>
      </c>
      <c r="W234" s="140">
        <f t="shared" si="72"/>
        <v>2498.5785611267511</v>
      </c>
      <c r="X234" s="140">
        <f t="shared" si="72"/>
        <v>2454.5459404290591</v>
      </c>
      <c r="Y234" s="140">
        <f t="shared" si="72"/>
        <v>2413.5525512869576</v>
      </c>
      <c r="Z234" s="140">
        <f t="shared" si="72"/>
        <v>2375.2057966929187</v>
      </c>
      <c r="AA234" s="140">
        <f t="shared" si="72"/>
        <v>2339.1845576844239</v>
      </c>
      <c r="AB234" s="140">
        <f t="shared" si="72"/>
        <v>2305.222830178569</v>
      </c>
      <c r="AC234" s="140">
        <f t="shared" si="72"/>
        <v>2273.0977918435037</v>
      </c>
      <c r="AD234" s="140">
        <f t="shared" si="72"/>
        <v>2242.6209334102832</v>
      </c>
      <c r="AE234" s="140">
        <f t="shared" si="72"/>
        <v>2213.6313560380345</v>
      </c>
      <c r="AF234" s="140">
        <f t="shared" si="72"/>
        <v>2185.990629355445</v>
      </c>
      <c r="AG234" s="140">
        <f t="shared" si="72"/>
        <v>2159.57879343899</v>
      </c>
      <c r="AH234" s="140">
        <f t="shared" si="72"/>
        <v>2134.2912123018941</v>
      </c>
      <c r="AI234" s="140">
        <f t="shared" si="72"/>
        <v>2110.0360701276468</v>
      </c>
      <c r="AJ234" s="140">
        <f t="shared" si="72"/>
        <v>2086.7323588590516</v>
      </c>
      <c r="AK234" s="140">
        <f t="shared" si="72"/>
        <v>2064.3082457875444</v>
      </c>
      <c r="AL234" s="140">
        <f t="shared" si="72"/>
        <v>2042.6997381613594</v>
      </c>
      <c r="AM234" s="140">
        <f t="shared" si="72"/>
        <v>2021.8495822317664</v>
      </c>
      <c r="AN234" s="140">
        <f t="shared" si="72"/>
        <v>2001.7063490192579</v>
      </c>
      <c r="AO234" s="140">
        <f t="shared" si="72"/>
        <v>1982.2236700422334</v>
      </c>
      <c r="AP234" s="140">
        <f t="shared" si="72"/>
        <v>1963.3595944252193</v>
      </c>
      <c r="AQ234" s="140">
        <f t="shared" si="70"/>
        <v>1945.076044964421</v>
      </c>
    </row>
    <row r="235" spans="7:43" ht="14.1" hidden="1" customHeight="1" thickBot="1" x14ac:dyDescent="0.3">
      <c r="G235" s="106"/>
      <c r="H235" s="218"/>
      <c r="J235" s="210"/>
      <c r="K235" s="121" t="s">
        <v>106</v>
      </c>
      <c r="L235" s="141">
        <f t="shared" ref="L235:AP235" si="73" xml:space="preserve"> $N$43*(L323 + L500)</f>
        <v>4244.5354753882193</v>
      </c>
      <c r="M235" s="141">
        <f t="shared" si="73"/>
        <v>4054.9675168123708</v>
      </c>
      <c r="N235" s="141">
        <f t="shared" si="73"/>
        <v>3912.1797477309774</v>
      </c>
      <c r="O235" s="141">
        <f t="shared" si="73"/>
        <v>3795.0249081430543</v>
      </c>
      <c r="P235" s="141">
        <f t="shared" si="73"/>
        <v>3694.0834445184564</v>
      </c>
      <c r="Q235" s="141">
        <f t="shared" si="73"/>
        <v>3604.330680143983</v>
      </c>
      <c r="R235" s="141">
        <f t="shared" si="73"/>
        <v>3522.7673308003746</v>
      </c>
      <c r="S235" s="141">
        <f t="shared" si="73"/>
        <v>3447.4587966692475</v>
      </c>
      <c r="T235" s="141">
        <f t="shared" si="73"/>
        <v>3377.0841465757703</v>
      </c>
      <c r="U235" s="141">
        <f t="shared" si="73"/>
        <v>3310.7012140763309</v>
      </c>
      <c r="V235" s="141">
        <f t="shared" si="73"/>
        <v>3247.614338314484</v>
      </c>
      <c r="W235" s="141">
        <f t="shared" si="73"/>
        <v>3187.2952267668502</v>
      </c>
      <c r="X235" s="141">
        <f t="shared" si="73"/>
        <v>3157.8615739400188</v>
      </c>
      <c r="Y235" s="141">
        <f t="shared" si="73"/>
        <v>3130.4594987265614</v>
      </c>
      <c r="Z235" s="141">
        <f t="shared" si="73"/>
        <v>3104.826569233091</v>
      </c>
      <c r="AA235" s="141">
        <f t="shared" si="73"/>
        <v>3080.7481331425515</v>
      </c>
      <c r="AB235" s="141">
        <f t="shared" si="73"/>
        <v>3058.0463797386437</v>
      </c>
      <c r="AC235" s="141">
        <f t="shared" si="73"/>
        <v>3036.5723631931673</v>
      </c>
      <c r="AD235" s="141">
        <f t="shared" si="73"/>
        <v>3016.2000742818482</v>
      </c>
      <c r="AE235" s="141">
        <f t="shared" si="73"/>
        <v>2996.8219600008588</v>
      </c>
      <c r="AF235" s="141">
        <f t="shared" si="73"/>
        <v>2978.3454864190962</v>
      </c>
      <c r="AG235" s="141">
        <f t="shared" si="73"/>
        <v>2960.6904661962158</v>
      </c>
      <c r="AH235" s="141">
        <f t="shared" si="73"/>
        <v>2943.7869552939305</v>
      </c>
      <c r="AI235" s="141">
        <f t="shared" si="73"/>
        <v>2927.5735793306048</v>
      </c>
      <c r="AJ235" s="141">
        <f t="shared" si="73"/>
        <v>2911.9961883829769</v>
      </c>
      <c r="AK235" s="141">
        <f t="shared" si="73"/>
        <v>2897.0067657994837</v>
      </c>
      <c r="AL235" s="141">
        <f t="shared" si="73"/>
        <v>2882.5625355561456</v>
      </c>
      <c r="AM235" s="141">
        <f t="shared" si="73"/>
        <v>2868.6252263228321</v>
      </c>
      <c r="AN235" s="141">
        <f t="shared" si="73"/>
        <v>2855.1604603426877</v>
      </c>
      <c r="AO235" s="141">
        <f t="shared" si="73"/>
        <v>2842.1372425541444</v>
      </c>
      <c r="AP235" s="141">
        <f t="shared" si="73"/>
        <v>2829.5275308492173</v>
      </c>
      <c r="AQ235" s="141">
        <f t="shared" si="70"/>
        <v>2817.3058724799366</v>
      </c>
    </row>
    <row r="236" spans="7:43" ht="14.1" hidden="1" customHeight="1" thickTop="1" x14ac:dyDescent="0.25">
      <c r="G236" s="106"/>
      <c r="H236" s="218"/>
      <c r="J236" s="210"/>
      <c r="K236" s="119" t="s">
        <v>107</v>
      </c>
      <c r="L236" s="142">
        <f t="shared" ref="L236:AP236" si="74" xml:space="preserve"> $N$43*(L324 + L501)</f>
        <v>4051.6648822208531</v>
      </c>
      <c r="M236" s="142">
        <f t="shared" si="74"/>
        <v>3728.6209943492622</v>
      </c>
      <c r="N236" s="142">
        <f t="shared" si="74"/>
        <v>3488.2368104739735</v>
      </c>
      <c r="O236" s="142">
        <f t="shared" si="74"/>
        <v>3293.1455248829002</v>
      </c>
      <c r="P236" s="142">
        <f t="shared" si="74"/>
        <v>3126.7029658658907</v>
      </c>
      <c r="Q236" s="142">
        <f t="shared" si="74"/>
        <v>2980.0306253562117</v>
      </c>
      <c r="R236" s="142">
        <f t="shared" si="74"/>
        <v>2847.8288252541101</v>
      </c>
      <c r="S236" s="142">
        <f t="shared" si="74"/>
        <v>2726.679164521317</v>
      </c>
      <c r="T236" s="142">
        <f t="shared" si="74"/>
        <v>2614.2475829265459</v>
      </c>
      <c r="U236" s="142">
        <f t="shared" si="74"/>
        <v>2508.8692903057272</v>
      </c>
      <c r="V236" s="142">
        <f t="shared" si="74"/>
        <v>2409.3150671730446</v>
      </c>
      <c r="W236" s="142">
        <f t="shared" si="74"/>
        <v>2314.6514307000311</v>
      </c>
      <c r="X236" s="142">
        <f t="shared" si="74"/>
        <v>2262.6427266633655</v>
      </c>
      <c r="Y236" s="142">
        <f t="shared" si="74"/>
        <v>2214.2237815819722</v>
      </c>
      <c r="Z236" s="142">
        <f t="shared" si="74"/>
        <v>2168.9308832977563</v>
      </c>
      <c r="AA236" s="142">
        <f t="shared" si="74"/>
        <v>2126.3847452541263</v>
      </c>
      <c r="AB236" s="142">
        <f t="shared" si="74"/>
        <v>2086.2711793014541</v>
      </c>
      <c r="AC236" s="142">
        <f t="shared" si="74"/>
        <v>2048.3270009976973</v>
      </c>
      <c r="AD236" s="142">
        <f t="shared" si="74"/>
        <v>2012.3295544431744</v>
      </c>
      <c r="AE236" s="142">
        <f t="shared" si="74"/>
        <v>1978.0887955282667</v>
      </c>
      <c r="AF236" s="142">
        <f t="shared" si="74"/>
        <v>1945.4412185588478</v>
      </c>
      <c r="AG236" s="142">
        <f t="shared" si="74"/>
        <v>1914.2451340315438</v>
      </c>
      <c r="AH236" s="142">
        <f t="shared" si="74"/>
        <v>1884.3769521626568</v>
      </c>
      <c r="AI236" s="142">
        <f t="shared" si="74"/>
        <v>1855.7282255885934</v>
      </c>
      <c r="AJ236" s="142">
        <f t="shared" si="74"/>
        <v>1828.2032724261348</v>
      </c>
      <c r="AK236" s="142">
        <f t="shared" si="74"/>
        <v>1801.7172481663556</v>
      </c>
      <c r="AL236" s="142">
        <f t="shared" si="74"/>
        <v>1776.1945683894696</v>
      </c>
      <c r="AM236" s="142">
        <f t="shared" si="74"/>
        <v>1751.5676083839442</v>
      </c>
      <c r="AN236" s="142">
        <f t="shared" si="74"/>
        <v>1727.7756233080756</v>
      </c>
      <c r="AO236" s="142">
        <f t="shared" si="74"/>
        <v>1704.7638454783137</v>
      </c>
      <c r="AP236" s="142">
        <f t="shared" si="74"/>
        <v>1682.4827250238602</v>
      </c>
      <c r="AQ236" s="142">
        <f t="shared" si="70"/>
        <v>1660.8872874237488</v>
      </c>
    </row>
    <row r="237" spans="7:43" ht="14.1" hidden="1" customHeight="1" x14ac:dyDescent="0.25">
      <c r="G237" s="106"/>
      <c r="H237" s="218"/>
      <c r="J237" s="210"/>
      <c r="K237" s="7" t="s">
        <v>108</v>
      </c>
      <c r="L237" s="140">
        <f t="shared" ref="L237:AP237" si="75" xml:space="preserve"> $N$43*(L325 + L502)</f>
        <v>4204.8254199741596</v>
      </c>
      <c r="M237" s="140">
        <f t="shared" si="75"/>
        <v>3914.2112516350262</v>
      </c>
      <c r="N237" s="140">
        <f t="shared" si="75"/>
        <v>3697.0319491415889</v>
      </c>
      <c r="O237" s="140">
        <f t="shared" si="75"/>
        <v>3520.0908491635437</v>
      </c>
      <c r="P237" s="140">
        <f t="shared" si="75"/>
        <v>3368.6012726110985</v>
      </c>
      <c r="Q237" s="140">
        <f t="shared" si="75"/>
        <v>3234.6755545487676</v>
      </c>
      <c r="R237" s="140">
        <f t="shared" si="75"/>
        <v>3113.6054619262868</v>
      </c>
      <c r="S237" s="140">
        <f t="shared" si="75"/>
        <v>3002.3540878892327</v>
      </c>
      <c r="T237" s="140">
        <f t="shared" si="75"/>
        <v>2898.8478537568676</v>
      </c>
      <c r="U237" s="140">
        <f t="shared" si="75"/>
        <v>2801.6077602532687</v>
      </c>
      <c r="V237" s="140">
        <f t="shared" si="75"/>
        <v>2709.5417690130648</v>
      </c>
      <c r="W237" s="140">
        <f t="shared" si="75"/>
        <v>2621.82057406289</v>
      </c>
      <c r="X237" s="140">
        <f t="shared" si="75"/>
        <v>2575.6160509507345</v>
      </c>
      <c r="Y237" s="140">
        <f t="shared" si="75"/>
        <v>2532.6006690350027</v>
      </c>
      <c r="Z237" s="140">
        <f t="shared" si="75"/>
        <v>2492.362466519628</v>
      </c>
      <c r="AA237" s="140">
        <f t="shared" si="75"/>
        <v>2454.5644852974087</v>
      </c>
      <c r="AB237" s="140">
        <f t="shared" si="75"/>
        <v>2418.9276006739315</v>
      </c>
      <c r="AC237" s="140">
        <f t="shared" si="75"/>
        <v>2385.2179996392329</v>
      </c>
      <c r="AD237" s="140">
        <f t="shared" si="75"/>
        <v>2353.2378747329394</v>
      </c>
      <c r="AE237" s="140">
        <f t="shared" si="75"/>
        <v>2322.818390802975</v>
      </c>
      <c r="AF237" s="140">
        <f t="shared" si="75"/>
        <v>2293.8142894207153</v>
      </c>
      <c r="AG237" s="140">
        <f t="shared" si="75"/>
        <v>2266.0996936573911</v>
      </c>
      <c r="AH237" s="140">
        <f t="shared" si="75"/>
        <v>2239.5648063718686</v>
      </c>
      <c r="AI237" s="140">
        <f t="shared" si="75"/>
        <v>2214.1132829462508</v>
      </c>
      <c r="AJ237" s="140">
        <f t="shared" si="75"/>
        <v>2189.6601196130678</v>
      </c>
      <c r="AK237" s="140">
        <f t="shared" si="75"/>
        <v>2166.1299405261716</v>
      </c>
      <c r="AL237" s="140">
        <f t="shared" si="75"/>
        <v>2143.4555965009122</v>
      </c>
      <c r="AM237" s="140">
        <f t="shared" si="75"/>
        <v>2121.5770097559848</v>
      </c>
      <c r="AN237" s="140">
        <f t="shared" si="75"/>
        <v>2100.44021458518</v>
      </c>
      <c r="AO237" s="140">
        <f t="shared" si="75"/>
        <v>2079.9965553884917</v>
      </c>
      <c r="AP237" s="140">
        <f t="shared" si="75"/>
        <v>2060.2020120698053</v>
      </c>
      <c r="AQ237" s="140">
        <f t="shared" si="70"/>
        <v>2041.0166292729559</v>
      </c>
    </row>
    <row r="238" spans="7:43" ht="14.1" hidden="1" customHeight="1" thickBot="1" x14ac:dyDescent="0.3">
      <c r="G238" s="106"/>
      <c r="H238" s="218"/>
      <c r="J238" s="210"/>
      <c r="K238" s="121" t="s">
        <v>109</v>
      </c>
      <c r="L238" s="141">
        <f t="shared" ref="L238:AP238" si="76" xml:space="preserve"> $N$43*(L326 + L503)</f>
        <v>4453.8965513632729</v>
      </c>
      <c r="M238" s="141">
        <f t="shared" si="76"/>
        <v>4254.9781816510422</v>
      </c>
      <c r="N238" s="141">
        <f t="shared" si="76"/>
        <v>4105.147427266711</v>
      </c>
      <c r="O238" s="141">
        <f t="shared" si="76"/>
        <v>3982.2139427801799</v>
      </c>
      <c r="P238" s="141">
        <f t="shared" si="76"/>
        <v>3876.2935565956268</v>
      </c>
      <c r="Q238" s="141">
        <f t="shared" si="76"/>
        <v>3782.1137505742795</v>
      </c>
      <c r="R238" s="141">
        <f t="shared" si="76"/>
        <v>3696.5273012524235</v>
      </c>
      <c r="S238" s="141">
        <f t="shared" si="76"/>
        <v>3617.50418496567</v>
      </c>
      <c r="T238" s="141">
        <f t="shared" si="76"/>
        <v>3543.6583158070284</v>
      </c>
      <c r="U238" s="141">
        <f t="shared" si="76"/>
        <v>3474.0010551143041</v>
      </c>
      <c r="V238" s="141">
        <f t="shared" si="76"/>
        <v>3407.8024286636037</v>
      </c>
      <c r="W238" s="141">
        <f t="shared" si="76"/>
        <v>3344.5080859820332</v>
      </c>
      <c r="X238" s="141">
        <f t="shared" si="76"/>
        <v>3313.6226226422646</v>
      </c>
      <c r="Y238" s="141">
        <f t="shared" si="76"/>
        <v>3284.8689441770721</v>
      </c>
      <c r="Z238" s="141">
        <f t="shared" si="76"/>
        <v>3257.9716742792725</v>
      </c>
      <c r="AA238" s="141">
        <f t="shared" si="76"/>
        <v>3232.7055729384488</v>
      </c>
      <c r="AB238" s="141">
        <f t="shared" si="76"/>
        <v>3208.8840589513825</v>
      </c>
      <c r="AC238" s="141">
        <f t="shared" si="76"/>
        <v>3186.3508397592236</v>
      </c>
      <c r="AD238" s="141">
        <f t="shared" si="76"/>
        <v>3164.9736907516044</v>
      </c>
      <c r="AE238" s="141">
        <f t="shared" si="76"/>
        <v>3144.6397538889069</v>
      </c>
      <c r="AF238" s="141">
        <f t="shared" si="76"/>
        <v>3125.2519310177508</v>
      </c>
      <c r="AG238" s="141">
        <f t="shared" si="76"/>
        <v>3106.7260795692491</v>
      </c>
      <c r="AH238" s="141">
        <f t="shared" si="76"/>
        <v>3088.9888055259139</v>
      </c>
      <c r="AI238" s="141">
        <f t="shared" si="76"/>
        <v>3071.9757072239358</v>
      </c>
      <c r="AJ238" s="141">
        <f t="shared" si="76"/>
        <v>3055.6299638032069</v>
      </c>
      <c r="AK238" s="141">
        <f t="shared" si="76"/>
        <v>3039.9011901980248</v>
      </c>
      <c r="AL238" s="141">
        <f t="shared" si="76"/>
        <v>3024.7445004634392</v>
      </c>
      <c r="AM238" s="141">
        <f t="shared" si="76"/>
        <v>3010.1197355416989</v>
      </c>
      <c r="AN238" s="141">
        <f t="shared" si="76"/>
        <v>2995.9908219982462</v>
      </c>
      <c r="AO238" s="141">
        <f t="shared" si="76"/>
        <v>2982.3252359447479</v>
      </c>
      <c r="AP238" s="141">
        <f t="shared" si="76"/>
        <v>2969.0935521004458</v>
      </c>
      <c r="AQ238" s="141">
        <f t="shared" si="70"/>
        <v>2956.2690622643941</v>
      </c>
    </row>
    <row r="239" spans="7:43" ht="14.1" hidden="1" customHeight="1" thickTop="1" x14ac:dyDescent="0.25">
      <c r="G239" s="106"/>
      <c r="H239" s="218"/>
      <c r="J239" s="210"/>
      <c r="K239" s="119" t="s">
        <v>110</v>
      </c>
      <c r="L239" s="142">
        <f t="shared" ref="L239:AP239" si="77" xml:space="preserve"> $N$43*(L327 + L504)</f>
        <v>4022.9684771931361</v>
      </c>
      <c r="M239" s="142">
        <f t="shared" si="77"/>
        <v>3702.2125866060123</v>
      </c>
      <c r="N239" s="142">
        <f t="shared" si="77"/>
        <v>3463.5309526955575</v>
      </c>
      <c r="O239" s="142">
        <f t="shared" si="77"/>
        <v>3269.8214246563648</v>
      </c>
      <c r="P239" s="142">
        <f t="shared" si="77"/>
        <v>3104.5577151311682</v>
      </c>
      <c r="Q239" s="142">
        <f t="shared" si="77"/>
        <v>2958.9241991570771</v>
      </c>
      <c r="R239" s="142">
        <f t="shared" si="77"/>
        <v>2827.6587342434477</v>
      </c>
      <c r="S239" s="142">
        <f t="shared" si="77"/>
        <v>2707.367130589515</v>
      </c>
      <c r="T239" s="142">
        <f t="shared" si="77"/>
        <v>2595.7318592269912</v>
      </c>
      <c r="U239" s="142">
        <f t="shared" si="77"/>
        <v>2491.0999210688642</v>
      </c>
      <c r="V239" s="142">
        <f t="shared" si="77"/>
        <v>2392.2508027245294</v>
      </c>
      <c r="W239" s="142">
        <f t="shared" si="77"/>
        <v>2298.2576328702007</v>
      </c>
      <c r="X239" s="142">
        <f t="shared" si="77"/>
        <v>2246.6172867504383</v>
      </c>
      <c r="Y239" s="142">
        <f t="shared" si="77"/>
        <v>2198.5412746853376</v>
      </c>
      <c r="Z239" s="142">
        <f t="shared" si="77"/>
        <v>2153.5691688140751</v>
      </c>
      <c r="AA239" s="142">
        <f t="shared" si="77"/>
        <v>2111.3243689228234</v>
      </c>
      <c r="AB239" s="142">
        <f t="shared" si="77"/>
        <v>2071.4949121374061</v>
      </c>
      <c r="AC239" s="142">
        <f t="shared" si="77"/>
        <v>2033.8194780513229</v>
      </c>
      <c r="AD239" s="142">
        <f t="shared" si="77"/>
        <v>1998.076987752147</v>
      </c>
      <c r="AE239" s="142">
        <f t="shared" si="77"/>
        <v>1964.0787431405795</v>
      </c>
      <c r="AF239" s="142">
        <f t="shared" si="77"/>
        <v>1931.6623965712854</v>
      </c>
      <c r="AG239" s="142">
        <f t="shared" si="77"/>
        <v>1900.687262073882</v>
      </c>
      <c r="AH239" s="142">
        <f t="shared" si="77"/>
        <v>1871.0306252042155</v>
      </c>
      <c r="AI239" s="142">
        <f t="shared" si="77"/>
        <v>1842.5848066902201</v>
      </c>
      <c r="AJ239" s="142">
        <f t="shared" si="77"/>
        <v>1815.2548023271515</v>
      </c>
      <c r="AK239" s="142">
        <f t="shared" si="77"/>
        <v>1788.9563685275473</v>
      </c>
      <c r="AL239" s="142">
        <f t="shared" si="77"/>
        <v>1763.6144562073887</v>
      </c>
      <c r="AM239" s="142">
        <f t="shared" si="77"/>
        <v>1739.1619196153156</v>
      </c>
      <c r="AN239" s="142">
        <f t="shared" si="77"/>
        <v>1715.5384441422887</v>
      </c>
      <c r="AO239" s="142">
        <f t="shared" si="77"/>
        <v>1692.6896500034798</v>
      </c>
      <c r="AP239" s="142">
        <f t="shared" si="77"/>
        <v>1670.5663382710259</v>
      </c>
      <c r="AQ239" s="142">
        <f t="shared" ref="AQ239" si="78" xml:space="preserve"> $N$43*(AQ327 + AQ504)</f>
        <v>1649.123852961427</v>
      </c>
    </row>
    <row r="240" spans="7:43" ht="14.1" hidden="1" customHeight="1" x14ac:dyDescent="0.25">
      <c r="G240" s="106"/>
      <c r="H240" s="218"/>
      <c r="J240" s="210"/>
      <c r="K240" s="7" t="s">
        <v>111</v>
      </c>
      <c r="L240" s="140">
        <f t="shared" ref="L240:AP240" si="79" xml:space="preserve"> $N$43*(L328 + L505)</f>
        <v>4175.0442369716111</v>
      </c>
      <c r="M240" s="140">
        <f t="shared" si="79"/>
        <v>3886.4883785183838</v>
      </c>
      <c r="N240" s="140">
        <f t="shared" si="79"/>
        <v>3670.8472746196371</v>
      </c>
      <c r="O240" s="140">
        <f t="shared" si="79"/>
        <v>3495.1593813155446</v>
      </c>
      <c r="P240" s="140">
        <f t="shared" si="79"/>
        <v>3344.7427479537623</v>
      </c>
      <c r="Q240" s="140">
        <f t="shared" si="79"/>
        <v>3211.7655749367063</v>
      </c>
      <c r="R240" s="140">
        <f t="shared" si="79"/>
        <v>3091.5529758423513</v>
      </c>
      <c r="S240" s="140">
        <f t="shared" si="79"/>
        <v>2981.0895530752218</v>
      </c>
      <c r="T240" s="140">
        <f t="shared" si="79"/>
        <v>2878.3164143255945</v>
      </c>
      <c r="U240" s="140">
        <f t="shared" si="79"/>
        <v>2781.7650355082369</v>
      </c>
      <c r="V240" s="140">
        <f t="shared" si="79"/>
        <v>2690.3511127511642</v>
      </c>
      <c r="W240" s="140">
        <f t="shared" si="79"/>
        <v>2603.2512137405552</v>
      </c>
      <c r="X240" s="140">
        <f t="shared" si="79"/>
        <v>2557.3739397341092</v>
      </c>
      <c r="Y240" s="140">
        <f t="shared" si="79"/>
        <v>2514.6632194470549</v>
      </c>
      <c r="Z240" s="140">
        <f t="shared" si="79"/>
        <v>2474.7100088524176</v>
      </c>
      <c r="AA240" s="140">
        <f t="shared" si="79"/>
        <v>2437.1797363894152</v>
      </c>
      <c r="AB240" s="140">
        <f t="shared" si="79"/>
        <v>2401.7952542979365</v>
      </c>
      <c r="AC240" s="140">
        <f t="shared" si="79"/>
        <v>2368.3244055768514</v>
      </c>
      <c r="AD240" s="140">
        <f t="shared" si="79"/>
        <v>2336.5707837609725</v>
      </c>
      <c r="AE240" s="140">
        <f t="shared" si="79"/>
        <v>2306.3667494935448</v>
      </c>
      <c r="AF240" s="140">
        <f t="shared" si="79"/>
        <v>2277.5680731562793</v>
      </c>
      <c r="AG240" s="140">
        <f t="shared" si="79"/>
        <v>2250.04976935893</v>
      </c>
      <c r="AH240" s="140">
        <f t="shared" si="79"/>
        <v>2223.7028186118541</v>
      </c>
      <c r="AI240" s="140">
        <f t="shared" si="79"/>
        <v>2198.431558669527</v>
      </c>
      <c r="AJ240" s="140">
        <f t="shared" si="79"/>
        <v>2174.1515878139094</v>
      </c>
      <c r="AK240" s="140">
        <f t="shared" si="79"/>
        <v>2150.788064057373</v>
      </c>
      <c r="AL240" s="140">
        <f t="shared" si="79"/>
        <v>2128.2743138074625</v>
      </c>
      <c r="AM240" s="140">
        <f t="shared" si="79"/>
        <v>2106.5506847910046</v>
      </c>
      <c r="AN240" s="140">
        <f t="shared" si="79"/>
        <v>2085.5635935204086</v>
      </c>
      <c r="AO240" s="140">
        <f t="shared" si="79"/>
        <v>2065.2647290048235</v>
      </c>
      <c r="AP240" s="140">
        <f t="shared" si="79"/>
        <v>2045.6103829257715</v>
      </c>
      <c r="AQ240" s="140">
        <f t="shared" ref="AQ240:AQ246" si="80" xml:space="preserve"> $N$43*(AQ328 + AQ505)</f>
        <v>2026.5608829157159</v>
      </c>
    </row>
    <row r="241" spans="7:43" ht="14.1" hidden="1" customHeight="1" thickBot="1" x14ac:dyDescent="0.3">
      <c r="G241" s="106"/>
      <c r="H241" s="218"/>
      <c r="J241" s="210"/>
      <c r="K241" s="121" t="s">
        <v>112</v>
      </c>
      <c r="L241" s="141">
        <f t="shared" ref="L241:AP241" si="81" xml:space="preserve"> $N$43*(L329 + L506)</f>
        <v>4422.3512920427602</v>
      </c>
      <c r="M241" s="141">
        <f t="shared" si="81"/>
        <v>4224.8417856671213</v>
      </c>
      <c r="N241" s="141">
        <f t="shared" si="81"/>
        <v>4076.0722256654471</v>
      </c>
      <c r="O241" s="141">
        <f t="shared" si="81"/>
        <v>3954.0094324045835</v>
      </c>
      <c r="P241" s="141">
        <f t="shared" si="81"/>
        <v>3848.8392401257452</v>
      </c>
      <c r="Q241" s="141">
        <f t="shared" si="81"/>
        <v>3755.326473935575</v>
      </c>
      <c r="R241" s="141">
        <f t="shared" si="81"/>
        <v>3670.3462009599907</v>
      </c>
      <c r="S241" s="141">
        <f t="shared" si="81"/>
        <v>3591.8827754219633</v>
      </c>
      <c r="T241" s="141">
        <f t="shared" si="81"/>
        <v>3518.559928535055</v>
      </c>
      <c r="U241" s="141">
        <f t="shared" si="81"/>
        <v>3449.3960237895931</v>
      </c>
      <c r="V241" s="141">
        <f t="shared" si="81"/>
        <v>3383.6662570921376</v>
      </c>
      <c r="W241" s="141">
        <f t="shared" si="81"/>
        <v>3320.820204223854</v>
      </c>
      <c r="X241" s="141">
        <f t="shared" si="81"/>
        <v>3290.1534909019747</v>
      </c>
      <c r="Y241" s="141">
        <f t="shared" si="81"/>
        <v>3261.6034638312731</v>
      </c>
      <c r="Z241" s="141">
        <f t="shared" si="81"/>
        <v>3234.896697090463</v>
      </c>
      <c r="AA241" s="141">
        <f t="shared" si="81"/>
        <v>3209.8095459586584</v>
      </c>
      <c r="AB241" s="141">
        <f t="shared" si="81"/>
        <v>3186.1567507165068</v>
      </c>
      <c r="AC241" s="141">
        <f t="shared" si="81"/>
        <v>3163.7831257660523</v>
      </c>
      <c r="AD241" s="141">
        <f t="shared" si="81"/>
        <v>3142.5573829936707</v>
      </c>
      <c r="AE241" s="141">
        <f t="shared" si="81"/>
        <v>3122.3674636904166</v>
      </c>
      <c r="AF241" s="141">
        <f t="shared" si="81"/>
        <v>3103.1169574122882</v>
      </c>
      <c r="AG241" s="141">
        <f t="shared" si="81"/>
        <v>3084.7223175402873</v>
      </c>
      <c r="AH241" s="141">
        <f t="shared" si="81"/>
        <v>3067.1106698789044</v>
      </c>
      <c r="AI241" s="141">
        <f t="shared" si="81"/>
        <v>3050.2180688968779</v>
      </c>
      <c r="AJ241" s="141">
        <f t="shared" si="81"/>
        <v>3033.9880961746931</v>
      </c>
      <c r="AK241" s="141">
        <f t="shared" si="81"/>
        <v>3018.3707235049487</v>
      </c>
      <c r="AL241" s="141">
        <f t="shared" si="81"/>
        <v>3003.3213828528137</v>
      </c>
      <c r="AM241" s="141">
        <f t="shared" si="81"/>
        <v>2988.8001995919044</v>
      </c>
      <c r="AN241" s="141">
        <f t="shared" si="81"/>
        <v>2974.7713557821116</v>
      </c>
      <c r="AO241" s="141">
        <f t="shared" si="81"/>
        <v>2961.2025578894636</v>
      </c>
      <c r="AP241" s="141">
        <f t="shared" si="81"/>
        <v>2948.0645890413016</v>
      </c>
      <c r="AQ241" s="141">
        <f t="shared" si="80"/>
        <v>2935.3309302007306</v>
      </c>
    </row>
    <row r="242" spans="7:43" ht="14.1" hidden="1" customHeight="1" thickTop="1" x14ac:dyDescent="0.25">
      <c r="G242" s="106"/>
      <c r="H242" s="218"/>
      <c r="J242" s="210"/>
      <c r="K242" s="119" t="s">
        <v>113</v>
      </c>
      <c r="L242" s="142">
        <f t="shared" ref="L242:AP242" si="82" xml:space="preserve"> $N$43*(L330 + L507)</f>
        <v>4059.1983863433879</v>
      </c>
      <c r="M242" s="142">
        <f t="shared" si="82"/>
        <v>3735.5538435480103</v>
      </c>
      <c r="N242" s="142">
        <f t="shared" si="82"/>
        <v>3494.7226989065043</v>
      </c>
      <c r="O242" s="142">
        <f t="shared" si="82"/>
        <v>3299.2686683582351</v>
      </c>
      <c r="P242" s="142">
        <f t="shared" si="82"/>
        <v>3132.5166326838589</v>
      </c>
      <c r="Q242" s="142">
        <f t="shared" si="82"/>
        <v>2985.5715754727717</v>
      </c>
      <c r="R242" s="142">
        <f t="shared" si="82"/>
        <v>2853.1239646150843</v>
      </c>
      <c r="S242" s="142">
        <f t="shared" si="82"/>
        <v>2731.7490430339481</v>
      </c>
      <c r="T242" s="142">
        <f t="shared" si="82"/>
        <v>2619.1084106395497</v>
      </c>
      <c r="U242" s="142">
        <f t="shared" si="82"/>
        <v>2513.5341818233746</v>
      </c>
      <c r="V242" s="142">
        <f t="shared" si="82"/>
        <v>2413.7948515379071</v>
      </c>
      <c r="W242" s="142">
        <f t="shared" si="82"/>
        <v>2318.9552012739318</v>
      </c>
      <c r="X242" s="142">
        <f t="shared" si="82"/>
        <v>2266.8497943268194</v>
      </c>
      <c r="Y242" s="142">
        <f t="shared" si="82"/>
        <v>2218.3408209896388</v>
      </c>
      <c r="Z242" s="142">
        <f t="shared" si="82"/>
        <v>2172.9637068964003</v>
      </c>
      <c r="AA242" s="142">
        <f t="shared" si="82"/>
        <v>2130.3384602602123</v>
      </c>
      <c r="AB242" s="142">
        <f t="shared" si="82"/>
        <v>2090.1503087425294</v>
      </c>
      <c r="AC242" s="142">
        <f t="shared" si="82"/>
        <v>2052.1355785466526</v>
      </c>
      <c r="AD242" s="142">
        <f t="shared" si="82"/>
        <v>2016.0711997753983</v>
      </c>
      <c r="AE242" s="142">
        <f t="shared" si="82"/>
        <v>1981.766774958709</v>
      </c>
      <c r="AF242" s="142">
        <f t="shared" si="82"/>
        <v>1949.0584943864897</v>
      </c>
      <c r="AG242" s="142">
        <f t="shared" si="82"/>
        <v>1917.8044051035542</v>
      </c>
      <c r="AH242" s="142">
        <f t="shared" si="82"/>
        <v>1887.8806875282894</v>
      </c>
      <c r="AI242" s="142">
        <f t="shared" si="82"/>
        <v>1859.1786926543971</v>
      </c>
      <c r="AJ242" s="142">
        <f t="shared" si="82"/>
        <v>1831.6025606915814</v>
      </c>
      <c r="AK242" s="142">
        <f t="shared" si="82"/>
        <v>1805.067289374419</v>
      </c>
      <c r="AL242" s="142">
        <f t="shared" si="82"/>
        <v>1779.4971537444685</v>
      </c>
      <c r="AM242" s="142">
        <f t="shared" si="82"/>
        <v>1754.8244033515048</v>
      </c>
      <c r="AN242" s="142">
        <f t="shared" si="82"/>
        <v>1730.9881804072879</v>
      </c>
      <c r="AO242" s="142">
        <f t="shared" si="82"/>
        <v>1707.9336153954202</v>
      </c>
      <c r="AP242" s="142">
        <f t="shared" si="82"/>
        <v>1685.6110663140496</v>
      </c>
      <c r="AQ242" s="142">
        <f t="shared" si="80"/>
        <v>1663.975475018379</v>
      </c>
    </row>
    <row r="243" spans="7:43" ht="14.1" hidden="1" customHeight="1" x14ac:dyDescent="0.25">
      <c r="G243" s="106"/>
      <c r="H243" s="218"/>
      <c r="J243" s="210"/>
      <c r="K243" s="7" t="s">
        <v>114</v>
      </c>
      <c r="L243" s="140">
        <f t="shared" ref="L243:AP243" si="83" xml:space="preserve"> $N$43*(L331 + L508)</f>
        <v>4212.6437046933424</v>
      </c>
      <c r="M243" s="140">
        <f t="shared" si="83"/>
        <v>3921.4891799577908</v>
      </c>
      <c r="N243" s="140">
        <f t="shared" si="83"/>
        <v>3703.9060629292862</v>
      </c>
      <c r="O243" s="140">
        <f t="shared" si="83"/>
        <v>3526.6359657254388</v>
      </c>
      <c r="P243" s="140">
        <f t="shared" si="83"/>
        <v>3374.8647154949736</v>
      </c>
      <c r="Q243" s="140">
        <f t="shared" si="83"/>
        <v>3240.6899812927436</v>
      </c>
      <c r="R243" s="140">
        <f t="shared" si="83"/>
        <v>3119.3947757676906</v>
      </c>
      <c r="S243" s="140">
        <f t="shared" si="83"/>
        <v>3007.9365453618821</v>
      </c>
      <c r="T243" s="140">
        <f t="shared" si="83"/>
        <v>2904.2378558650653</v>
      </c>
      <c r="U243" s="140">
        <f t="shared" si="83"/>
        <v>2806.8169580090389</v>
      </c>
      <c r="V243" s="140">
        <f t="shared" si="83"/>
        <v>2714.5797829358389</v>
      </c>
      <c r="W243" s="140">
        <f t="shared" si="83"/>
        <v>2626.6954826936412</v>
      </c>
      <c r="X243" s="140">
        <f t="shared" si="83"/>
        <v>2580.4050487336094</v>
      </c>
      <c r="Y243" s="140">
        <f t="shared" si="83"/>
        <v>2537.3096857319742</v>
      </c>
      <c r="Z243" s="140">
        <f t="shared" si="83"/>
        <v>2496.9966659073339</v>
      </c>
      <c r="AA243" s="140">
        <f t="shared" si="83"/>
        <v>2459.128404626018</v>
      </c>
      <c r="AB243" s="140">
        <f t="shared" si="83"/>
        <v>2423.4252582002873</v>
      </c>
      <c r="AC243" s="140">
        <f t="shared" si="83"/>
        <v>2389.6529788775892</v>
      </c>
      <c r="AD243" s="140">
        <f t="shared" si="83"/>
        <v>2357.6133914022475</v>
      </c>
      <c r="AE243" s="140">
        <f t="shared" si="83"/>
        <v>2327.1373466968353</v>
      </c>
      <c r="AF243" s="140">
        <f t="shared" si="83"/>
        <v>2298.0793162449995</v>
      </c>
      <c r="AG243" s="140">
        <f t="shared" si="83"/>
        <v>2270.3131890674276</v>
      </c>
      <c r="AH243" s="140">
        <f t="shared" si="83"/>
        <v>2243.7289638705602</v>
      </c>
      <c r="AI243" s="140">
        <f t="shared" si="83"/>
        <v>2218.2301168971608</v>
      </c>
      <c r="AJ243" s="140">
        <f t="shared" si="83"/>
        <v>2193.7314863271413</v>
      </c>
      <c r="AK243" s="140">
        <f t="shared" si="83"/>
        <v>2170.1575561635136</v>
      </c>
      <c r="AL243" s="140">
        <f t="shared" si="83"/>
        <v>2147.441052367109</v>
      </c>
      <c r="AM243" s="140">
        <f t="shared" si="83"/>
        <v>2125.5217854503931</v>
      </c>
      <c r="AN243" s="140">
        <f t="shared" si="83"/>
        <v>2104.3456893654734</v>
      </c>
      <c r="AO243" s="140">
        <f t="shared" si="83"/>
        <v>2083.864018044063</v>
      </c>
      <c r="AP243" s="140">
        <f t="shared" si="83"/>
        <v>2064.0326695408339</v>
      </c>
      <c r="AQ243" s="140">
        <f t="shared" si="80"/>
        <v>2044.8116142082258</v>
      </c>
    </row>
    <row r="244" spans="7:43" ht="14.1" hidden="1" customHeight="1" thickBot="1" x14ac:dyDescent="0.3">
      <c r="G244" s="106"/>
      <c r="H244" s="218"/>
      <c r="J244" s="210"/>
      <c r="K244" s="121" t="s">
        <v>115</v>
      </c>
      <c r="L244" s="141">
        <f t="shared" ref="L244:AP244" si="84" xml:space="preserve"> $N$43*(L332 + L509)</f>
        <v>4462.17794901249</v>
      </c>
      <c r="M244" s="141">
        <f t="shared" si="84"/>
        <v>4262.8897184154548</v>
      </c>
      <c r="N244" s="141">
        <f t="shared" si="84"/>
        <v>4112.7803747008975</v>
      </c>
      <c r="O244" s="141">
        <f t="shared" si="84"/>
        <v>3989.6183125952643</v>
      </c>
      <c r="P244" s="141">
        <f t="shared" si="84"/>
        <v>3883.5009822681973</v>
      </c>
      <c r="Q244" s="141">
        <f t="shared" si="84"/>
        <v>3789.1460620709377</v>
      </c>
      <c r="R244" s="141">
        <f t="shared" si="84"/>
        <v>3703.4004767179586</v>
      </c>
      <c r="S244" s="141">
        <f t="shared" si="84"/>
        <v>3624.2304279998152</v>
      </c>
      <c r="T244" s="141">
        <f t="shared" si="84"/>
        <v>3550.2472527766513</v>
      </c>
      <c r="U244" s="141">
        <f t="shared" si="84"/>
        <v>3480.4604741509665</v>
      </c>
      <c r="V244" s="141">
        <f t="shared" si="84"/>
        <v>3414.1387606139037</v>
      </c>
      <c r="W244" s="141">
        <f t="shared" si="84"/>
        <v>3350.7267309554018</v>
      </c>
      <c r="X244" s="141">
        <f t="shared" si="84"/>
        <v>3319.7838404166528</v>
      </c>
      <c r="Y244" s="141">
        <f t="shared" si="84"/>
        <v>3290.9766985082701</v>
      </c>
      <c r="Z244" s="141">
        <f t="shared" si="84"/>
        <v>3264.0294168993455</v>
      </c>
      <c r="AA244" s="141">
        <f t="shared" si="84"/>
        <v>3238.7163367771718</v>
      </c>
      <c r="AB244" s="141">
        <f t="shared" si="84"/>
        <v>3214.8505300168767</v>
      </c>
      <c r="AC244" s="141">
        <f t="shared" si="84"/>
        <v>3192.2754134554598</v>
      </c>
      <c r="AD244" s="141">
        <f t="shared" si="84"/>
        <v>3170.8585166293856</v>
      </c>
      <c r="AE244" s="141">
        <f t="shared" si="84"/>
        <v>3150.4867716552985</v>
      </c>
      <c r="AF244" s="141">
        <f t="shared" si="84"/>
        <v>3131.0628998393818</v>
      </c>
      <c r="AG244" s="141">
        <f t="shared" si="84"/>
        <v>3112.5026021614126</v>
      </c>
      <c r="AH244" s="141">
        <f t="shared" si="84"/>
        <v>3094.7323481379917</v>
      </c>
      <c r="AI244" s="141">
        <f t="shared" si="84"/>
        <v>3077.6876163594261</v>
      </c>
      <c r="AJ244" s="141">
        <f t="shared" si="84"/>
        <v>3061.3114803151643</v>
      </c>
      <c r="AK244" s="141">
        <f t="shared" si="84"/>
        <v>3045.553461255523</v>
      </c>
      <c r="AL244" s="141">
        <f t="shared" si="84"/>
        <v>3030.3685897764153</v>
      </c>
      <c r="AM244" s="141">
        <f t="shared" si="84"/>
        <v>3015.7166321499394</v>
      </c>
      <c r="AN244" s="141">
        <f t="shared" si="84"/>
        <v>3001.5614478680313</v>
      </c>
      <c r="AO244" s="141">
        <f t="shared" si="84"/>
        <v>2987.8704525687385</v>
      </c>
      <c r="AP244" s="141">
        <f t="shared" si="84"/>
        <v>2974.6141662591081</v>
      </c>
      <c r="AQ244" s="141">
        <f t="shared" si="80"/>
        <v>2961.7658310780284</v>
      </c>
    </row>
    <row r="245" spans="7:43" ht="14.1" customHeight="1" thickTop="1" x14ac:dyDescent="0.25">
      <c r="G245" s="106"/>
      <c r="H245" s="218"/>
      <c r="J245" s="210"/>
      <c r="K245" s="119" t="s">
        <v>116</v>
      </c>
      <c r="L245" s="142">
        <f t="shared" ref="L245:AP245" si="85" xml:space="preserve"> $N$43*(L333 + L510)</f>
        <v>5046.6026827967853</v>
      </c>
      <c r="M245" s="142">
        <f t="shared" si="85"/>
        <v>4698.5870770044094</v>
      </c>
      <c r="N245" s="142">
        <f t="shared" si="85"/>
        <v>4439.3857861081715</v>
      </c>
      <c r="O245" s="142">
        <f t="shared" si="85"/>
        <v>4228.8497763137711</v>
      </c>
      <c r="P245" s="142">
        <f t="shared" si="85"/>
        <v>4049.0955973306027</v>
      </c>
      <c r="Q245" s="142">
        <f t="shared" si="85"/>
        <v>3890.5836721565461</v>
      </c>
      <c r="R245" s="142">
        <f t="shared" si="85"/>
        <v>3747.6197234491538</v>
      </c>
      <c r="S245" s="142">
        <f t="shared" si="85"/>
        <v>3616.5308255678028</v>
      </c>
      <c r="T245" s="142">
        <f t="shared" si="85"/>
        <v>3494.8091306695219</v>
      </c>
      <c r="U245" s="142">
        <f t="shared" si="85"/>
        <v>3380.6658929601772</v>
      </c>
      <c r="V245" s="142">
        <f t="shared" si="85"/>
        <v>3272.7803687011419</v>
      </c>
      <c r="W245" s="142">
        <f t="shared" si="85"/>
        <v>3170.1495705374205</v>
      </c>
      <c r="X245" s="142">
        <f t="shared" si="85"/>
        <v>3114.2684435271044</v>
      </c>
      <c r="Y245" s="142">
        <f t="shared" si="85"/>
        <v>3062.2443589067416</v>
      </c>
      <c r="Z245" s="142">
        <f t="shared" si="85"/>
        <v>3013.5790778049231</v>
      </c>
      <c r="AA245" s="142">
        <f t="shared" si="85"/>
        <v>2967.8650730464433</v>
      </c>
      <c r="AB245" s="142">
        <f t="shared" si="85"/>
        <v>2924.7647629087846</v>
      </c>
      <c r="AC245" s="142">
        <f t="shared" si="85"/>
        <v>2883.9953669707611</v>
      </c>
      <c r="AD245" s="142">
        <f t="shared" si="85"/>
        <v>2845.3176509957157</v>
      </c>
      <c r="AE245" s="142">
        <f t="shared" si="85"/>
        <v>2808.5274207199395</v>
      </c>
      <c r="AF245" s="142">
        <f t="shared" si="85"/>
        <v>2773.448996271582</v>
      </c>
      <c r="AG245" s="142">
        <f t="shared" si="85"/>
        <v>2739.930138342228</v>
      </c>
      <c r="AH245" s="142">
        <f t="shared" si="85"/>
        <v>2707.8380549977583</v>
      </c>
      <c r="AI245" s="142">
        <f t="shared" si="85"/>
        <v>2677.0562241865082</v>
      </c>
      <c r="AJ245" s="142">
        <f t="shared" si="85"/>
        <v>2647.4818398192301</v>
      </c>
      <c r="AK245" s="142">
        <f t="shared" si="85"/>
        <v>2619.0237401016207</v>
      </c>
      <c r="AL245" s="142">
        <f t="shared" si="85"/>
        <v>2591.6007128089145</v>
      </c>
      <c r="AM245" s="142">
        <f t="shared" si="85"/>
        <v>2565.1400980822605</v>
      </c>
      <c r="AN245" s="142">
        <f t="shared" si="85"/>
        <v>2539.5766281885512</v>
      </c>
      <c r="AO245" s="142">
        <f t="shared" si="85"/>
        <v>2514.851457595345</v>
      </c>
      <c r="AP245" s="142">
        <f t="shared" si="85"/>
        <v>2490.9113470867328</v>
      </c>
      <c r="AQ245" s="142">
        <f t="shared" si="80"/>
        <v>2467.7079734644176</v>
      </c>
    </row>
    <row r="246" spans="7:43" ht="14.1" customHeight="1" x14ac:dyDescent="0.25">
      <c r="G246" s="106"/>
      <c r="H246" s="218"/>
      <c r="J246" s="210"/>
      <c r="K246" s="7" t="s">
        <v>117</v>
      </c>
      <c r="L246" s="140">
        <f t="shared" ref="L246:AP246" si="86" xml:space="preserve"> $N$43*(L334 + L511)</f>
        <v>5212.056108410221</v>
      </c>
      <c r="M246" s="140">
        <f t="shared" si="86"/>
        <v>4905.9384334240094</v>
      </c>
      <c r="N246" s="140">
        <f t="shared" si="86"/>
        <v>4677.5621444992157</v>
      </c>
      <c r="O246" s="140">
        <f t="shared" si="86"/>
        <v>4491.7837904945663</v>
      </c>
      <c r="P246" s="140">
        <f t="shared" si="86"/>
        <v>4332.9495411151001</v>
      </c>
      <c r="Q246" s="140">
        <f t="shared" si="86"/>
        <v>4192.7091665644839</v>
      </c>
      <c r="R246" s="140">
        <f t="shared" si="86"/>
        <v>4066.078323792412</v>
      </c>
      <c r="S246" s="140">
        <f t="shared" si="86"/>
        <v>3949.8420093331006</v>
      </c>
      <c r="T246" s="140">
        <f t="shared" si="86"/>
        <v>3841.8050413898682</v>
      </c>
      <c r="U246" s="140">
        <f t="shared" si="86"/>
        <v>3740.4016861335645</v>
      </c>
      <c r="V246" s="140">
        <f t="shared" si="86"/>
        <v>3644.4758636125084</v>
      </c>
      <c r="W246" s="140">
        <f t="shared" si="86"/>
        <v>3553.1496339667565</v>
      </c>
      <c r="X246" s="140">
        <f t="shared" si="86"/>
        <v>3504.2354890618917</v>
      </c>
      <c r="Y246" s="140">
        <f t="shared" si="86"/>
        <v>3458.6975096078691</v>
      </c>
      <c r="Z246" s="140">
        <f t="shared" si="86"/>
        <v>3416.0995746877143</v>
      </c>
      <c r="AA246" s="140">
        <f t="shared" si="86"/>
        <v>3376.0849655957186</v>
      </c>
      <c r="AB246" s="140">
        <f t="shared" si="86"/>
        <v>3338.3581886262969</v>
      </c>
      <c r="AC246" s="140">
        <f t="shared" si="86"/>
        <v>3302.6717190204108</v>
      </c>
      <c r="AD246" s="140">
        <f t="shared" si="86"/>
        <v>3268.8161490809694</v>
      </c>
      <c r="AE246" s="140">
        <f t="shared" si="86"/>
        <v>3236.6127424735755</v>
      </c>
      <c r="AF246" s="140">
        <f t="shared" si="86"/>
        <v>3205.9077222225587</v>
      </c>
      <c r="AG246" s="140">
        <f t="shared" si="86"/>
        <v>3176.5678294623549</v>
      </c>
      <c r="AH246" s="140">
        <f t="shared" si="86"/>
        <v>3148.4768280993981</v>
      </c>
      <c r="AI246" s="140">
        <f t="shared" si="86"/>
        <v>3121.532723474224</v>
      </c>
      <c r="AJ246" s="140">
        <f t="shared" si="86"/>
        <v>3095.6455268515401</v>
      </c>
      <c r="AK246" s="140">
        <f t="shared" si="86"/>
        <v>3070.7354420379811</v>
      </c>
      <c r="AL246" s="140">
        <f t="shared" si="86"/>
        <v>3046.7313819466754</v>
      </c>
      <c r="AM246" s="140">
        <f t="shared" si="86"/>
        <v>3023.5697455900499</v>
      </c>
      <c r="AN246" s="140">
        <f t="shared" si="86"/>
        <v>3001.1934024926522</v>
      </c>
      <c r="AO246" s="140">
        <f t="shared" si="86"/>
        <v>2979.5508436915334</v>
      </c>
      <c r="AP246" s="140">
        <f t="shared" si="86"/>
        <v>2958.5954675724979</v>
      </c>
      <c r="AQ246" s="140">
        <f t="shared" si="80"/>
        <v>2938.284975634243</v>
      </c>
    </row>
    <row r="247" spans="7:43" ht="14.1" customHeight="1" thickBot="1" x14ac:dyDescent="0.3">
      <c r="G247" s="106"/>
      <c r="H247" s="218"/>
      <c r="J247" s="210"/>
      <c r="K247" s="121" t="s">
        <v>118</v>
      </c>
      <c r="L247" s="141">
        <f t="shared" ref="L247:AP247" si="87" xml:space="preserve"> $N$43*(L335 + L512)</f>
        <v>5473.5920414608281</v>
      </c>
      <c r="M247" s="141">
        <f t="shared" si="87"/>
        <v>5274.0815700505382</v>
      </c>
      <c r="N247" s="141">
        <f t="shared" si="87"/>
        <v>5123.5142773683347</v>
      </c>
      <c r="O247" s="141">
        <f t="shared" si="87"/>
        <v>4999.7651113991924</v>
      </c>
      <c r="P247" s="141">
        <f t="shared" si="87"/>
        <v>4892.9789839755313</v>
      </c>
      <c r="Q247" s="141">
        <f t="shared" si="87"/>
        <v>4797.8988909448908</v>
      </c>
      <c r="R247" s="141">
        <f t="shared" si="87"/>
        <v>4711.3868693108161</v>
      </c>
      <c r="S247" s="141">
        <f t="shared" si="87"/>
        <v>4631.4188686002226</v>
      </c>
      <c r="T247" s="141">
        <f t="shared" si="87"/>
        <v>4556.6128813591795</v>
      </c>
      <c r="U247" s="141">
        <f t="shared" si="87"/>
        <v>4485.9831779200758</v>
      </c>
      <c r="V247" s="141">
        <f t="shared" si="87"/>
        <v>4418.801931953004</v>
      </c>
      <c r="W247" s="141">
        <f t="shared" si="87"/>
        <v>4354.5164241194834</v>
      </c>
      <c r="X247" s="141">
        <f t="shared" si="87"/>
        <v>4323.7218389223644</v>
      </c>
      <c r="Y247" s="141">
        <f t="shared" si="87"/>
        <v>4295.0527659838708</v>
      </c>
      <c r="Z247" s="141">
        <f t="shared" si="87"/>
        <v>4268.2346392708023</v>
      </c>
      <c r="AA247" s="141">
        <f t="shared" si="87"/>
        <v>4243.0428815244586</v>
      </c>
      <c r="AB247" s="141">
        <f t="shared" si="87"/>
        <v>4219.2914605427131</v>
      </c>
      <c r="AC247" s="141">
        <f t="shared" si="87"/>
        <v>4196.8245436457646</v>
      </c>
      <c r="AD247" s="141">
        <f t="shared" si="87"/>
        <v>4175.5102952841726</v>
      </c>
      <c r="AE247" s="141">
        <f t="shared" si="87"/>
        <v>4155.2361894945761</v>
      </c>
      <c r="AF247" s="141">
        <f t="shared" si="87"/>
        <v>4135.9054138275742</v>
      </c>
      <c r="AG247" s="141">
        <f t="shared" si="87"/>
        <v>4117.4340732974315</v>
      </c>
      <c r="AH247" s="141">
        <f t="shared" si="87"/>
        <v>4099.7489898430149</v>
      </c>
      <c r="AI247" s="141">
        <f t="shared" si="87"/>
        <v>4082.7859512975438</v>
      </c>
      <c r="AJ247" s="141">
        <f t="shared" si="87"/>
        <v>4066.4883039919978</v>
      </c>
      <c r="AK247" s="141">
        <f t="shared" si="87"/>
        <v>4050.8058111149262</v>
      </c>
      <c r="AL247" s="141">
        <f t="shared" si="87"/>
        <v>4035.6937187948784</v>
      </c>
      <c r="AM247" s="141">
        <f t="shared" si="87"/>
        <v>4021.1119861390989</v>
      </c>
      <c r="AN247" s="141">
        <f t="shared" si="87"/>
        <v>4007.0246458563852</v>
      </c>
      <c r="AO247" s="141">
        <f t="shared" si="87"/>
        <v>3993.3992697574895</v>
      </c>
      <c r="AP247" s="141">
        <f t="shared" si="87"/>
        <v>3980.2065191433167</v>
      </c>
      <c r="AQ247" s="141">
        <f t="shared" ref="AQ247" si="88" xml:space="preserve"> $N$43*(AQ335 + AQ512)</f>
        <v>3967.4197643997863</v>
      </c>
    </row>
    <row r="248" spans="7:43" ht="14.1" hidden="1" customHeight="1" thickTop="1" x14ac:dyDescent="0.25">
      <c r="G248" s="106"/>
      <c r="H248" s="218"/>
      <c r="J248" s="210"/>
      <c r="K248" s="119" t="s">
        <v>119</v>
      </c>
      <c r="L248" s="142">
        <f t="shared" ref="L248:AP248" si="89" xml:space="preserve"> $N$43*(L336 + L513)</f>
        <v>4661.5606405792623</v>
      </c>
      <c r="M248" s="142">
        <f t="shared" si="89"/>
        <v>4306.7547124426792</v>
      </c>
      <c r="N248" s="142">
        <f t="shared" si="89"/>
        <v>4042.4960037527399</v>
      </c>
      <c r="O248" s="142">
        <f t="shared" si="89"/>
        <v>3827.8521110135152</v>
      </c>
      <c r="P248" s="142">
        <f t="shared" si="89"/>
        <v>3644.5906501794798</v>
      </c>
      <c r="Q248" s="142">
        <f t="shared" si="89"/>
        <v>3482.9859123573178</v>
      </c>
      <c r="R248" s="142">
        <f t="shared" si="89"/>
        <v>3337.2325160528458</v>
      </c>
      <c r="S248" s="142">
        <f t="shared" si="89"/>
        <v>3203.5858711695037</v>
      </c>
      <c r="T248" s="142">
        <f t="shared" si="89"/>
        <v>3079.4891978769047</v>
      </c>
      <c r="U248" s="142">
        <f t="shared" si="89"/>
        <v>2963.1188491858752</v>
      </c>
      <c r="V248" s="142">
        <f t="shared" si="89"/>
        <v>2853.1283116061736</v>
      </c>
      <c r="W248" s="142">
        <f t="shared" si="89"/>
        <v>2748.4950279493423</v>
      </c>
      <c r="X248" s="142">
        <f t="shared" si="89"/>
        <v>2691.5235737840308</v>
      </c>
      <c r="Y248" s="142">
        <f t="shared" si="89"/>
        <v>2638.4844188669481</v>
      </c>
      <c r="Z248" s="142">
        <f t="shared" si="89"/>
        <v>2588.8696029162538</v>
      </c>
      <c r="AA248" s="142">
        <f t="shared" si="89"/>
        <v>2542.2636472716981</v>
      </c>
      <c r="AB248" s="142">
        <f t="shared" si="89"/>
        <v>2498.3223834696087</v>
      </c>
      <c r="AC248" s="142">
        <f t="shared" si="89"/>
        <v>2456.7575136057326</v>
      </c>
      <c r="AD248" s="142">
        <f t="shared" si="89"/>
        <v>2417.3251356137052</v>
      </c>
      <c r="AE248" s="142">
        <f t="shared" si="89"/>
        <v>2379.8170710841428</v>
      </c>
      <c r="AF248" s="142">
        <f t="shared" si="89"/>
        <v>2344.0542123593714</v>
      </c>
      <c r="AG248" s="142">
        <f t="shared" si="89"/>
        <v>2309.8813497067754</v>
      </c>
      <c r="AH248" s="142">
        <f t="shared" si="89"/>
        <v>2277.1631002163658</v>
      </c>
      <c r="AI248" s="142">
        <f t="shared" si="89"/>
        <v>2245.7806683111571</v>
      </c>
      <c r="AJ248" s="142">
        <f t="shared" si="89"/>
        <v>2215.629241996211</v>
      </c>
      <c r="AK248" s="142">
        <f t="shared" si="89"/>
        <v>2186.6158807697211</v>
      </c>
      <c r="AL248" s="142">
        <f t="shared" si="89"/>
        <v>2158.6577878309004</v>
      </c>
      <c r="AM248" s="142">
        <f t="shared" si="89"/>
        <v>2131.6808856147509</v>
      </c>
      <c r="AN248" s="142">
        <f t="shared" si="89"/>
        <v>2105.6186329138172</v>
      </c>
      <c r="AO248" s="142">
        <f t="shared" si="89"/>
        <v>2080.4110360283735</v>
      </c>
      <c r="AP248" s="142">
        <f t="shared" si="89"/>
        <v>2056.0038169631225</v>
      </c>
      <c r="AQ248" s="142">
        <f t="shared" ref="AQ248:AQ254" si="90" xml:space="preserve"> $N$43*(AQ336 + AQ513)</f>
        <v>2032.3477096594836</v>
      </c>
    </row>
    <row r="249" spans="7:43" ht="14.1" hidden="1" customHeight="1" x14ac:dyDescent="0.25">
      <c r="G249" s="106"/>
      <c r="H249" s="218"/>
      <c r="J249" s="210"/>
      <c r="K249" s="7" t="s">
        <v>120</v>
      </c>
      <c r="L249" s="140">
        <f t="shared" ref="L249:AP249" si="91" xml:space="preserve"> $N$43*(L337 + L514)</f>
        <v>4830.2423182428047</v>
      </c>
      <c r="M249" s="140">
        <f t="shared" si="91"/>
        <v>4518.1518142977229</v>
      </c>
      <c r="N249" s="140">
        <f t="shared" si="91"/>
        <v>4285.3195510092437</v>
      </c>
      <c r="O249" s="140">
        <f t="shared" si="91"/>
        <v>4095.9163741884008</v>
      </c>
      <c r="P249" s="140">
        <f t="shared" si="91"/>
        <v>3933.9830231174137</v>
      </c>
      <c r="Q249" s="140">
        <f t="shared" si="91"/>
        <v>3791.0063421109326</v>
      </c>
      <c r="R249" s="140">
        <f t="shared" si="91"/>
        <v>3661.9047358821963</v>
      </c>
      <c r="S249" s="140">
        <f t="shared" si="91"/>
        <v>3543.4004712788551</v>
      </c>
      <c r="T249" s="140">
        <f t="shared" si="91"/>
        <v>3433.2555351146143</v>
      </c>
      <c r="U249" s="140">
        <f t="shared" si="91"/>
        <v>3329.8736436733975</v>
      </c>
      <c r="V249" s="140">
        <f t="shared" si="91"/>
        <v>3232.0761600968895</v>
      </c>
      <c r="W249" s="140">
        <f t="shared" si="91"/>
        <v>3138.9680145615794</v>
      </c>
      <c r="X249" s="140">
        <f t="shared" si="91"/>
        <v>3089.0994790904087</v>
      </c>
      <c r="Y249" s="140">
        <f t="shared" si="91"/>
        <v>3042.6729832760561</v>
      </c>
      <c r="Z249" s="140">
        <f t="shared" si="91"/>
        <v>2999.2438968084098</v>
      </c>
      <c r="AA249" s="140">
        <f t="shared" si="91"/>
        <v>2958.448540848487</v>
      </c>
      <c r="AB249" s="140">
        <f t="shared" si="91"/>
        <v>2919.9856561518077</v>
      </c>
      <c r="AC249" s="140">
        <f t="shared" si="91"/>
        <v>2883.6028883687209</v>
      </c>
      <c r="AD249" s="140">
        <f t="shared" si="91"/>
        <v>2849.086743934316</v>
      </c>
      <c r="AE249" s="140">
        <f t="shared" si="91"/>
        <v>2816.2549990920652</v>
      </c>
      <c r="AF249" s="140">
        <f t="shared" si="91"/>
        <v>2784.9508764398361</v>
      </c>
      <c r="AG249" s="140">
        <f t="shared" si="91"/>
        <v>2755.0385170256368</v>
      </c>
      <c r="AH249" s="140">
        <f t="shared" si="91"/>
        <v>2726.3994168100662</v>
      </c>
      <c r="AI249" s="140">
        <f t="shared" si="91"/>
        <v>2698.9295910602195</v>
      </c>
      <c r="AJ249" s="140">
        <f t="shared" si="91"/>
        <v>2672.5372952214943</v>
      </c>
      <c r="AK249" s="140">
        <f t="shared" si="91"/>
        <v>2647.1411761534641</v>
      </c>
      <c r="AL249" s="140">
        <f t="shared" si="91"/>
        <v>2622.6687597503242</v>
      </c>
      <c r="AM249" s="140">
        <f t="shared" si="91"/>
        <v>2599.0552040709358</v>
      </c>
      <c r="AN249" s="140">
        <f t="shared" si="91"/>
        <v>2576.2422639359716</v>
      </c>
      <c r="AO249" s="140">
        <f t="shared" si="91"/>
        <v>2554.177425363006</v>
      </c>
      <c r="AP249" s="140">
        <f t="shared" si="91"/>
        <v>2532.8131774683256</v>
      </c>
      <c r="AQ249" s="140">
        <f t="shared" si="90"/>
        <v>2512.106396441493</v>
      </c>
    </row>
    <row r="250" spans="7:43" ht="14.1" hidden="1" customHeight="1" thickBot="1" x14ac:dyDescent="0.3">
      <c r="G250" s="106"/>
      <c r="H250" s="218"/>
      <c r="J250" s="210"/>
      <c r="K250" s="121" t="s">
        <v>121</v>
      </c>
      <c r="L250" s="141">
        <f t="shared" ref="L250:AP250" si="92" xml:space="preserve"> $N$43*(L338 + L515)</f>
        <v>5096.88122156385</v>
      </c>
      <c r="M250" s="141">
        <f t="shared" si="92"/>
        <v>4893.4779925031189</v>
      </c>
      <c r="N250" s="141">
        <f t="shared" si="92"/>
        <v>4739.9728992315468</v>
      </c>
      <c r="O250" s="141">
        <f t="shared" si="92"/>
        <v>4613.8091957739371</v>
      </c>
      <c r="P250" s="141">
        <f t="shared" si="92"/>
        <v>4504.9395059610406</v>
      </c>
      <c r="Q250" s="141">
        <f t="shared" si="92"/>
        <v>4408.0042533644219</v>
      </c>
      <c r="R250" s="141">
        <f t="shared" si="92"/>
        <v>4319.8042484796915</v>
      </c>
      <c r="S250" s="141">
        <f t="shared" si="92"/>
        <v>4238.2759484807639</v>
      </c>
      <c r="T250" s="141">
        <f t="shared" si="92"/>
        <v>4162.0103808123231</v>
      </c>
      <c r="U250" s="141">
        <f t="shared" si="92"/>
        <v>4090.0025826974511</v>
      </c>
      <c r="V250" s="141">
        <f t="shared" si="92"/>
        <v>4021.5105267896488</v>
      </c>
      <c r="W250" s="141">
        <f t="shared" si="92"/>
        <v>3955.9707093418883</v>
      </c>
      <c r="X250" s="141">
        <f t="shared" si="92"/>
        <v>3924.5752741930301</v>
      </c>
      <c r="Y250" s="141">
        <f t="shared" si="92"/>
        <v>3895.3468233320482</v>
      </c>
      <c r="Z250" s="141">
        <f t="shared" si="92"/>
        <v>3868.0054335180771</v>
      </c>
      <c r="AA250" s="141">
        <f t="shared" si="92"/>
        <v>3842.3221456430038</v>
      </c>
      <c r="AB250" s="141">
        <f t="shared" si="92"/>
        <v>3818.1072977289186</v>
      </c>
      <c r="AC250" s="141">
        <f t="shared" si="92"/>
        <v>3795.2020165595873</v>
      </c>
      <c r="AD250" s="141">
        <f t="shared" si="92"/>
        <v>3773.4718942702434</v>
      </c>
      <c r="AE250" s="141">
        <f t="shared" si="92"/>
        <v>3752.8022093420664</v>
      </c>
      <c r="AF250" s="141">
        <f t="shared" si="92"/>
        <v>3733.0942603651383</v>
      </c>
      <c r="AG250" s="141">
        <f t="shared" si="92"/>
        <v>3714.2625154328898</v>
      </c>
      <c r="AH250" s="141">
        <f t="shared" si="92"/>
        <v>3696.232368667113</v>
      </c>
      <c r="AI250" s="141">
        <f t="shared" si="92"/>
        <v>3678.9383550224115</v>
      </c>
      <c r="AJ250" s="141">
        <f t="shared" si="92"/>
        <v>3662.3227154291212</v>
      </c>
      <c r="AK250" s="141">
        <f t="shared" si="92"/>
        <v>3646.334232877954</v>
      </c>
      <c r="AL250" s="141">
        <f t="shared" si="92"/>
        <v>3630.9272802802625</v>
      </c>
      <c r="AM250" s="141">
        <f t="shared" si="92"/>
        <v>3616.0610354835858</v>
      </c>
      <c r="AN250" s="141">
        <f t="shared" si="92"/>
        <v>3601.6988294192806</v>
      </c>
      <c r="AO250" s="141">
        <f t="shared" si="92"/>
        <v>3587.8076011740063</v>
      </c>
      <c r="AP250" s="141">
        <f t="shared" si="92"/>
        <v>3574.3574396053091</v>
      </c>
      <c r="AQ250" s="141">
        <f t="shared" si="90"/>
        <v>3561.3211955141751</v>
      </c>
    </row>
    <row r="251" spans="7:43" ht="14.1" hidden="1" customHeight="1" thickTop="1" x14ac:dyDescent="0.25">
      <c r="G251" s="106"/>
      <c r="H251" s="218"/>
      <c r="J251" s="210"/>
      <c r="K251" s="119" t="s">
        <v>122</v>
      </c>
      <c r="L251" s="142">
        <f t="shared" ref="L251:AP251" si="93" xml:space="preserve"> $N$43*(L339 + L516)</f>
        <v>4761.9051451886635</v>
      </c>
      <c r="M251" s="142">
        <f t="shared" si="93"/>
        <v>4399.4616836514797</v>
      </c>
      <c r="N251" s="142">
        <f t="shared" si="93"/>
        <v>4129.5145561557483</v>
      </c>
      <c r="O251" s="142">
        <f t="shared" si="93"/>
        <v>3910.2502504808085</v>
      </c>
      <c r="P251" s="142">
        <f t="shared" si="93"/>
        <v>3723.043913258959</v>
      </c>
      <c r="Q251" s="142">
        <f t="shared" si="93"/>
        <v>3557.9604805082927</v>
      </c>
      <c r="R251" s="142">
        <f t="shared" si="93"/>
        <v>3409.0696044036026</v>
      </c>
      <c r="S251" s="142">
        <f t="shared" si="93"/>
        <v>3272.5460890025238</v>
      </c>
      <c r="T251" s="142">
        <f t="shared" si="93"/>
        <v>3145.7781173690164</v>
      </c>
      <c r="U251" s="142">
        <f t="shared" si="93"/>
        <v>3026.9027867865207</v>
      </c>
      <c r="V251" s="142">
        <f t="shared" si="93"/>
        <v>2914.5445987875414</v>
      </c>
      <c r="W251" s="142">
        <f t="shared" si="93"/>
        <v>2807.6589846723641</v>
      </c>
      <c r="X251" s="142">
        <f t="shared" si="93"/>
        <v>2749.4611660368946</v>
      </c>
      <c r="Y251" s="142">
        <f t="shared" si="93"/>
        <v>2695.2802931126021</v>
      </c>
      <c r="Z251" s="142">
        <f t="shared" si="93"/>
        <v>2644.5974712918296</v>
      </c>
      <c r="AA251" s="142">
        <f t="shared" si="93"/>
        <v>2596.9882783429489</v>
      </c>
      <c r="AB251" s="142">
        <f t="shared" si="93"/>
        <v>2552.1011372503776</v>
      </c>
      <c r="AC251" s="142">
        <f t="shared" si="93"/>
        <v>2509.6415442246184</v>
      </c>
      <c r="AD251" s="142">
        <f t="shared" si="93"/>
        <v>2469.3603469764962</v>
      </c>
      <c r="AE251" s="142">
        <f t="shared" si="93"/>
        <v>2431.0448858593372</v>
      </c>
      <c r="AF251" s="142">
        <f t="shared" si="93"/>
        <v>2394.5121977536255</v>
      </c>
      <c r="AG251" s="142">
        <f t="shared" si="93"/>
        <v>2359.6037318903554</v>
      </c>
      <c r="AH251" s="142">
        <f t="shared" si="93"/>
        <v>2326.1811911142718</v>
      </c>
      <c r="AI251" s="142">
        <f t="shared" si="93"/>
        <v>2294.1232226611633</v>
      </c>
      <c r="AJ251" s="142">
        <f t="shared" si="93"/>
        <v>2263.3227583587018</v>
      </c>
      <c r="AK251" s="142">
        <f t="shared" si="93"/>
        <v>2233.6848570728203</v>
      </c>
      <c r="AL251" s="142">
        <f t="shared" si="93"/>
        <v>2205.1249397232332</v>
      </c>
      <c r="AM251" s="142">
        <f t="shared" si="93"/>
        <v>2177.567334155246</v>
      </c>
      <c r="AN251" s="142">
        <f t="shared" si="93"/>
        <v>2150.9440667989393</v>
      </c>
      <c r="AO251" s="142">
        <f t="shared" si="93"/>
        <v>2125.1938525334176</v>
      </c>
      <c r="AP251" s="142">
        <f t="shared" si="93"/>
        <v>2100.2612449781673</v>
      </c>
      <c r="AQ251" s="142">
        <f t="shared" si="90"/>
        <v>2076.0959175760681</v>
      </c>
    </row>
    <row r="252" spans="7:43" ht="14.1" hidden="1" customHeight="1" x14ac:dyDescent="0.25">
      <c r="G252" s="106"/>
      <c r="H252" s="218"/>
      <c r="J252" s="210"/>
      <c r="K252" s="7" t="s">
        <v>123</v>
      </c>
      <c r="L252" s="140">
        <f t="shared" ref="L252:AP252" si="94" xml:space="preserve"> $N$43*(L340 + L517)</f>
        <v>4934.2178556085928</v>
      </c>
      <c r="M252" s="140">
        <f t="shared" si="94"/>
        <v>4615.4093081956098</v>
      </c>
      <c r="N252" s="140">
        <f t="shared" si="94"/>
        <v>4377.5651100814021</v>
      </c>
      <c r="O252" s="140">
        <f t="shared" si="94"/>
        <v>4184.0848506234506</v>
      </c>
      <c r="P252" s="140">
        <f t="shared" si="94"/>
        <v>4018.66573091277</v>
      </c>
      <c r="Q252" s="140">
        <f t="shared" si="94"/>
        <v>3872.611341530815</v>
      </c>
      <c r="R252" s="140">
        <f t="shared" si="94"/>
        <v>3740.7307010429226</v>
      </c>
      <c r="S252" s="140">
        <f t="shared" si="94"/>
        <v>3619.6755199885097</v>
      </c>
      <c r="T252" s="140">
        <f t="shared" si="94"/>
        <v>3507.1596098293317</v>
      </c>
      <c r="U252" s="140">
        <f t="shared" si="94"/>
        <v>3401.552325331561</v>
      </c>
      <c r="V252" s="140">
        <f t="shared" si="94"/>
        <v>3301.6496583630137</v>
      </c>
      <c r="W252" s="140">
        <f t="shared" si="94"/>
        <v>3206.5372718751119</v>
      </c>
      <c r="X252" s="140">
        <f t="shared" si="94"/>
        <v>3155.5952689810597</v>
      </c>
      <c r="Y252" s="140">
        <f t="shared" si="94"/>
        <v>3108.1693989050718</v>
      </c>
      <c r="Z252" s="140">
        <f t="shared" si="94"/>
        <v>3063.805460248805</v>
      </c>
      <c r="AA252" s="140">
        <f t="shared" si="94"/>
        <v>3022.1319456420711</v>
      </c>
      <c r="AB252" s="140">
        <f t="shared" si="94"/>
        <v>2982.8411109500312</v>
      </c>
      <c r="AC252" s="140">
        <f t="shared" si="94"/>
        <v>2945.6751696568258</v>
      </c>
      <c r="AD252" s="140">
        <f t="shared" si="94"/>
        <v>2910.4160325465027</v>
      </c>
      <c r="AE252" s="140">
        <f t="shared" si="94"/>
        <v>2876.8775533237153</v>
      </c>
      <c r="AF252" s="140">
        <f t="shared" si="94"/>
        <v>2844.8995798043698</v>
      </c>
      <c r="AG252" s="140">
        <f t="shared" si="94"/>
        <v>2814.3433285439523</v>
      </c>
      <c r="AH252" s="140">
        <f t="shared" si="94"/>
        <v>2785.0877445914612</v>
      </c>
      <c r="AI252" s="140">
        <f t="shared" si="94"/>
        <v>2757.0266048441995</v>
      </c>
      <c r="AJ252" s="140">
        <f t="shared" si="94"/>
        <v>2730.0661898591975</v>
      </c>
      <c r="AK252" s="140">
        <f t="shared" si="94"/>
        <v>2704.1233952926873</v>
      </c>
      <c r="AL252" s="140">
        <f t="shared" si="94"/>
        <v>2679.1241869651453</v>
      </c>
      <c r="AM252" s="140">
        <f t="shared" si="94"/>
        <v>2655.002327151281</v>
      </c>
      <c r="AN252" s="140">
        <f t="shared" si="94"/>
        <v>2631.6983168891579</v>
      </c>
      <c r="AO252" s="140">
        <f t="shared" si="94"/>
        <v>2609.1585117831783</v>
      </c>
      <c r="AP252" s="140">
        <f t="shared" si="94"/>
        <v>2587.3343782328916</v>
      </c>
      <c r="AQ252" s="140">
        <f t="shared" si="90"/>
        <v>2566.1818641470259</v>
      </c>
    </row>
    <row r="253" spans="7:43" ht="14.1" hidden="1" customHeight="1" thickBot="1" x14ac:dyDescent="0.3">
      <c r="G253" s="106"/>
      <c r="H253" s="218"/>
      <c r="J253" s="210"/>
      <c r="K253" s="121" t="s">
        <v>124</v>
      </c>
      <c r="L253" s="145">
        <f t="shared" ref="L253:AP253" si="95" xml:space="preserve"> $N$43*(L341 + L518)</f>
        <v>5206.5964136775428</v>
      </c>
      <c r="M253" s="145">
        <f t="shared" si="95"/>
        <v>4998.8147376052293</v>
      </c>
      <c r="N253" s="145">
        <f t="shared" si="95"/>
        <v>4842.0053019198167</v>
      </c>
      <c r="O253" s="145">
        <f t="shared" si="95"/>
        <v>4713.1258053407073</v>
      </c>
      <c r="P253" s="145">
        <f t="shared" si="95"/>
        <v>4601.9125924175114</v>
      </c>
      <c r="Q253" s="145">
        <f t="shared" si="95"/>
        <v>4502.8907167667339</v>
      </c>
      <c r="R253" s="145">
        <f t="shared" si="95"/>
        <v>4412.7921233021052</v>
      </c>
      <c r="S253" s="145">
        <f t="shared" si="95"/>
        <v>4329.5088494852207</v>
      </c>
      <c r="T253" s="145">
        <f t="shared" si="95"/>
        <v>4251.6015932930204</v>
      </c>
      <c r="U253" s="145">
        <f t="shared" si="95"/>
        <v>4178.0437591736927</v>
      </c>
      <c r="V253" s="145">
        <f t="shared" si="95"/>
        <v>4108.0773469398309</v>
      </c>
      <c r="W253" s="145">
        <f t="shared" si="95"/>
        <v>4041.1267228929382</v>
      </c>
      <c r="X253" s="145">
        <f t="shared" si="95"/>
        <v>4009.0554712890535</v>
      </c>
      <c r="Y253" s="145">
        <f t="shared" si="95"/>
        <v>3979.1978503607302</v>
      </c>
      <c r="Z253" s="145">
        <f t="shared" si="95"/>
        <v>3951.2679112544188</v>
      </c>
      <c r="AA253" s="145">
        <f t="shared" si="95"/>
        <v>3925.0317663005098</v>
      </c>
      <c r="AB253" s="145">
        <f t="shared" si="95"/>
        <v>3900.2956708675188</v>
      </c>
      <c r="AC253" s="145">
        <f t="shared" si="95"/>
        <v>3876.8973318428707</v>
      </c>
      <c r="AD253" s="145">
        <f t="shared" si="95"/>
        <v>3854.6994481053025</v>
      </c>
      <c r="AE253" s="145">
        <f t="shared" si="95"/>
        <v>3833.5848286467244</v>
      </c>
      <c r="AF253" s="145">
        <f t="shared" si="95"/>
        <v>3813.4526474159584</v>
      </c>
      <c r="AG253" s="145">
        <f t="shared" si="95"/>
        <v>3794.2155313511953</v>
      </c>
      <c r="AH253" s="145">
        <f t="shared" si="95"/>
        <v>3775.7972686120897</v>
      </c>
      <c r="AI253" s="145">
        <f t="shared" si="95"/>
        <v>3758.1309849561862</v>
      </c>
      <c r="AJ253" s="145">
        <f t="shared" si="95"/>
        <v>3741.1576779951815</v>
      </c>
      <c r="AK253" s="145">
        <f t="shared" si="95"/>
        <v>3724.8250282251897</v>
      </c>
      <c r="AL253" s="145">
        <f t="shared" si="95"/>
        <v>3709.0864263912968</v>
      </c>
      <c r="AM253" s="145">
        <f t="shared" si="95"/>
        <v>3693.9001716055745</v>
      </c>
      <c r="AN253" s="145">
        <f t="shared" si="95"/>
        <v>3679.2288054629735</v>
      </c>
      <c r="AO253" s="145">
        <f t="shared" si="95"/>
        <v>3665.0385553827045</v>
      </c>
      <c r="AP253" s="145">
        <f t="shared" si="95"/>
        <v>3651.2988663566621</v>
      </c>
      <c r="AQ253" s="145">
        <f t="shared" si="90"/>
        <v>3637.9820047736298</v>
      </c>
    </row>
    <row r="254" spans="7:43" ht="14.1" hidden="1" customHeight="1" thickTop="1" x14ac:dyDescent="0.25">
      <c r="G254" s="106"/>
      <c r="H254" s="218"/>
      <c r="J254" s="211"/>
      <c r="K254" s="119" t="s">
        <v>125</v>
      </c>
      <c r="L254" s="142">
        <f t="shared" ref="L254:AP254" si="96" xml:space="preserve"> $N$43*(L342 + L519)</f>
        <v>5113.3861847469625</v>
      </c>
      <c r="M254" s="142">
        <f t="shared" si="96"/>
        <v>4724.1904043882023</v>
      </c>
      <c r="N254" s="142">
        <f t="shared" si="96"/>
        <v>4434.3182061266562</v>
      </c>
      <c r="O254" s="142">
        <f t="shared" si="96"/>
        <v>4198.8697800740729</v>
      </c>
      <c r="P254" s="142">
        <f t="shared" si="96"/>
        <v>3997.845553580506</v>
      </c>
      <c r="Q254" s="142">
        <f t="shared" si="96"/>
        <v>3820.5771455336217</v>
      </c>
      <c r="R254" s="142">
        <f t="shared" si="96"/>
        <v>3660.6964831315504</v>
      </c>
      <c r="S254" s="142">
        <f t="shared" si="96"/>
        <v>3514.0960288469223</v>
      </c>
      <c r="T254" s="142">
        <f t="shared" si="96"/>
        <v>3377.9711848915335</v>
      </c>
      <c r="U254" s="142">
        <f t="shared" si="96"/>
        <v>3250.3215458133741</v>
      </c>
      <c r="V254" s="142">
        <f t="shared" si="96"/>
        <v>3129.6700862105558</v>
      </c>
      <c r="W254" s="142">
        <f t="shared" si="96"/>
        <v>3014.8951367101527</v>
      </c>
      <c r="X254" s="142">
        <f t="shared" si="96"/>
        <v>2952.4016781636924</v>
      </c>
      <c r="Y254" s="142">
        <f t="shared" si="96"/>
        <v>2894.2216601579717</v>
      </c>
      <c r="Z254" s="142">
        <f t="shared" si="96"/>
        <v>2839.7978879490315</v>
      </c>
      <c r="AA254" s="142">
        <f t="shared" si="96"/>
        <v>2788.6746122706554</v>
      </c>
      <c r="AB254" s="142">
        <f t="shared" si="96"/>
        <v>2740.4743058518156</v>
      </c>
      <c r="AC254" s="142">
        <f t="shared" si="96"/>
        <v>2694.8807272801678</v>
      </c>
      <c r="AD254" s="142">
        <f t="shared" si="96"/>
        <v>2651.6263340838382</v>
      </c>
      <c r="AE254" s="142">
        <f t="shared" si="96"/>
        <v>2610.482769992343</v>
      </c>
      <c r="AF254" s="142">
        <f t="shared" si="96"/>
        <v>2571.2535671930887</v>
      </c>
      <c r="AG254" s="142">
        <f t="shared" si="96"/>
        <v>2533.7684721243004</v>
      </c>
      <c r="AH254" s="142">
        <f t="shared" si="96"/>
        <v>2497.8789797776817</v>
      </c>
      <c r="AI254" s="142">
        <f t="shared" si="96"/>
        <v>2463.4547802186444</v>
      </c>
      <c r="AJ254" s="142">
        <f t="shared" si="96"/>
        <v>2430.3809024646694</v>
      </c>
      <c r="AK254" s="142">
        <f t="shared" si="96"/>
        <v>2398.5553976804663</v>
      </c>
      <c r="AL254" s="142">
        <f t="shared" si="96"/>
        <v>2367.8874439182105</v>
      </c>
      <c r="AM254" s="142">
        <f t="shared" si="96"/>
        <v>2338.2957835848611</v>
      </c>
      <c r="AN254" s="142">
        <f t="shared" si="96"/>
        <v>2309.7074259124888</v>
      </c>
      <c r="AO254" s="142">
        <f t="shared" si="96"/>
        <v>2282.0565622633817</v>
      </c>
      <c r="AP254" s="142">
        <f t="shared" si="96"/>
        <v>2255.2836537035487</v>
      </c>
      <c r="AQ254" s="142">
        <f t="shared" si="90"/>
        <v>2229.3346590217398</v>
      </c>
    </row>
    <row r="255" spans="7:43" ht="14.1" hidden="1" customHeight="1" x14ac:dyDescent="0.25">
      <c r="G255" s="106"/>
      <c r="H255" s="218"/>
      <c r="J255" s="211"/>
      <c r="K255" s="7" t="s">
        <v>126</v>
      </c>
      <c r="L255" s="140">
        <f t="shared" ref="L255:AP255" si="97" xml:space="preserve"> $N$43*(L343 + L520)</f>
        <v>5298.4174707665543</v>
      </c>
      <c r="M255" s="140">
        <f t="shared" si="97"/>
        <v>4956.0773417180153</v>
      </c>
      <c r="N255" s="140">
        <f t="shared" si="97"/>
        <v>4700.677622555565</v>
      </c>
      <c r="O255" s="140">
        <f t="shared" si="97"/>
        <v>4492.9163892741426</v>
      </c>
      <c r="P255" s="140">
        <f t="shared" si="97"/>
        <v>4315.2875168728879</v>
      </c>
      <c r="Q255" s="140">
        <f t="shared" si="97"/>
        <v>4158.45270515012</v>
      </c>
      <c r="R255" s="140">
        <f t="shared" si="97"/>
        <v>4016.8378210763099</v>
      </c>
      <c r="S255" s="140">
        <f t="shared" si="97"/>
        <v>3886.8474345560949</v>
      </c>
      <c r="T255" s="140">
        <f t="shared" si="97"/>
        <v>3766.0266111607611</v>
      </c>
      <c r="U255" s="140">
        <f t="shared" si="97"/>
        <v>3652.6243460809619</v>
      </c>
      <c r="V255" s="140">
        <f t="shared" si="97"/>
        <v>3545.3477621253805</v>
      </c>
      <c r="W255" s="140">
        <f t="shared" si="97"/>
        <v>3443.2150341022389</v>
      </c>
      <c r="X255" s="140">
        <f t="shared" si="97"/>
        <v>3388.5129504026131</v>
      </c>
      <c r="Y255" s="140">
        <f t="shared" si="97"/>
        <v>3337.5865288439691</v>
      </c>
      <c r="Z255" s="140">
        <f t="shared" si="97"/>
        <v>3289.9480429629302</v>
      </c>
      <c r="AA255" s="140">
        <f t="shared" si="97"/>
        <v>3245.1985640542139</v>
      </c>
      <c r="AB255" s="140">
        <f t="shared" si="97"/>
        <v>3203.0076330768411</v>
      </c>
      <c r="AC255" s="140">
        <f t="shared" si="97"/>
        <v>3163.0984360312405</v>
      </c>
      <c r="AD255" s="140">
        <f t="shared" si="97"/>
        <v>3125.2367863156455</v>
      </c>
      <c r="AE255" s="140">
        <f t="shared" si="97"/>
        <v>3089.2227979881995</v>
      </c>
      <c r="AF255" s="140">
        <f t="shared" si="97"/>
        <v>3054.8844978699713</v>
      </c>
      <c r="AG255" s="140">
        <f t="shared" si="97"/>
        <v>3022.0728587699064</v>
      </c>
      <c r="AH255" s="140">
        <f t="shared" si="97"/>
        <v>2990.6578905485162</v>
      </c>
      <c r="AI255" s="140">
        <f t="shared" si="97"/>
        <v>2960.5255296683595</v>
      </c>
      <c r="AJ255" s="140">
        <f t="shared" si="97"/>
        <v>2931.5751391595008</v>
      </c>
      <c r="AK255" s="140">
        <f t="shared" si="97"/>
        <v>2903.7174806624275</v>
      </c>
      <c r="AL255" s="140">
        <f t="shared" si="97"/>
        <v>2876.8730554598751</v>
      </c>
      <c r="AM255" s="140">
        <f t="shared" si="97"/>
        <v>2850.9707367529941</v>
      </c>
      <c r="AN255" s="140">
        <f t="shared" si="97"/>
        <v>2825.9466339012306</v>
      </c>
      <c r="AO255" s="140">
        <f t="shared" si="97"/>
        <v>2801.7431429618418</v>
      </c>
      <c r="AP255" s="140">
        <f t="shared" si="97"/>
        <v>2778.3081480201922</v>
      </c>
      <c r="AQ255" s="140">
        <f t="shared" ref="AQ255" si="98" xml:space="preserve"> $N$43*(AQ343 + AQ520)</f>
        <v>2755.5943454555581</v>
      </c>
    </row>
    <row r="256" spans="7:43" ht="14.1" hidden="1" customHeight="1" thickBot="1" x14ac:dyDescent="0.3">
      <c r="G256" s="106"/>
      <c r="H256" s="218"/>
      <c r="J256" s="211"/>
      <c r="K256" s="121" t="s">
        <v>127</v>
      </c>
      <c r="L256" s="141">
        <f t="shared" ref="L256:AP256" si="99" xml:space="preserve"> $N$43*(L344 + L521)</f>
        <v>5590.900565953425</v>
      </c>
      <c r="M256" s="141">
        <f t="shared" si="99"/>
        <v>5367.7823140190649</v>
      </c>
      <c r="N256" s="141">
        <f t="shared" si="99"/>
        <v>5199.3986151371355</v>
      </c>
      <c r="O256" s="141">
        <f t="shared" si="99"/>
        <v>5061.006392442273</v>
      </c>
      <c r="P256" s="141">
        <f t="shared" si="99"/>
        <v>4941.5844196847156</v>
      </c>
      <c r="Q256" s="141">
        <f t="shared" si="99"/>
        <v>4835.2536391457525</v>
      </c>
      <c r="R256" s="141">
        <f t="shared" si="99"/>
        <v>4738.5047772847274</v>
      </c>
      <c r="S256" s="141">
        <f t="shared" si="99"/>
        <v>4649.0742807142442</v>
      </c>
      <c r="T256" s="141">
        <f t="shared" si="99"/>
        <v>4565.4166110718243</v>
      </c>
      <c r="U256" s="141">
        <f t="shared" si="99"/>
        <v>4486.4293987486808</v>
      </c>
      <c r="V256" s="141">
        <f t="shared" si="99"/>
        <v>4411.2986947962054</v>
      </c>
      <c r="W256" s="141">
        <f t="shared" si="99"/>
        <v>4339.4063774098613</v>
      </c>
      <c r="X256" s="141">
        <f t="shared" si="99"/>
        <v>4304.9679142572413</v>
      </c>
      <c r="Y256" s="141">
        <f t="shared" si="99"/>
        <v>4272.9064721013528</v>
      </c>
      <c r="Z256" s="141">
        <f t="shared" si="99"/>
        <v>4242.9149959142769</v>
      </c>
      <c r="AA256" s="141">
        <f t="shared" si="99"/>
        <v>4214.7423345407333</v>
      </c>
      <c r="AB256" s="141">
        <f t="shared" si="99"/>
        <v>4188.1804428618461</v>
      </c>
      <c r="AC256" s="141">
        <f t="shared" si="99"/>
        <v>4163.0550487461005</v>
      </c>
      <c r="AD256" s="141">
        <f t="shared" si="99"/>
        <v>4139.2187167374741</v>
      </c>
      <c r="AE256" s="141">
        <f t="shared" si="99"/>
        <v>4116.5456058409318</v>
      </c>
      <c r="AF256" s="141">
        <f t="shared" si="99"/>
        <v>4094.9274479323822</v>
      </c>
      <c r="AG256" s="141">
        <f t="shared" si="99"/>
        <v>4074.2704208558721</v>
      </c>
      <c r="AH256" s="141">
        <f t="shared" si="99"/>
        <v>4054.492687497966</v>
      </c>
      <c r="AI256" s="141">
        <f t="shared" si="99"/>
        <v>4035.5224375606717</v>
      </c>
      <c r="AJ256" s="141">
        <f t="shared" si="99"/>
        <v>4017.2963136296726</v>
      </c>
      <c r="AK256" s="141">
        <f t="shared" si="99"/>
        <v>3999.7581344455348</v>
      </c>
      <c r="AL256" s="141">
        <f t="shared" si="99"/>
        <v>3982.8578504770526</v>
      </c>
      <c r="AM256" s="141">
        <f t="shared" si="99"/>
        <v>3966.5506828515445</v>
      </c>
      <c r="AN256" s="141">
        <f t="shared" si="99"/>
        <v>3950.7964083211627</v>
      </c>
      <c r="AO256" s="141">
        <f t="shared" si="99"/>
        <v>3935.5587615167406</v>
      </c>
      <c r="AP256" s="141">
        <f t="shared" si="99"/>
        <v>3920.8049321340877</v>
      </c>
      <c r="AQ256" s="141">
        <f t="shared" ref="AQ256:AQ262" si="100" xml:space="preserve"> $N$43*(AQ344 + AQ521)</f>
        <v>3906.5051395160713</v>
      </c>
    </row>
    <row r="257" spans="7:43" ht="14.1" hidden="1" customHeight="1" thickTop="1" x14ac:dyDescent="0.25">
      <c r="G257" s="106"/>
      <c r="H257" s="218"/>
      <c r="J257" s="211"/>
      <c r="K257" s="119" t="s">
        <v>128</v>
      </c>
      <c r="L257" s="142">
        <f t="shared" ref="L257:AP257" si="101" xml:space="preserve"> $N$43*(L345 + L522)</f>
        <v>5346.4854256833487</v>
      </c>
      <c r="M257" s="142">
        <f t="shared" si="101"/>
        <v>4939.5477346416255</v>
      </c>
      <c r="N257" s="142">
        <f t="shared" si="101"/>
        <v>4636.4613986361173</v>
      </c>
      <c r="O257" s="142">
        <f t="shared" si="101"/>
        <v>4390.2798013718148</v>
      </c>
      <c r="P257" s="142">
        <f t="shared" si="101"/>
        <v>4180.0916680438195</v>
      </c>
      <c r="Q257" s="142">
        <f t="shared" si="101"/>
        <v>3994.7422878456455</v>
      </c>
      <c r="R257" s="142">
        <f t="shared" si="101"/>
        <v>3827.5732924877143</v>
      </c>
      <c r="S257" s="142">
        <f t="shared" si="101"/>
        <v>3674.2898979009033</v>
      </c>
      <c r="T257" s="142">
        <f t="shared" si="101"/>
        <v>3531.9596556727925</v>
      </c>
      <c r="U257" s="142">
        <f t="shared" si="101"/>
        <v>3398.4909697047892</v>
      </c>
      <c r="V257" s="142">
        <f t="shared" si="101"/>
        <v>3272.3394827942006</v>
      </c>
      <c r="W257" s="142">
        <f t="shared" si="101"/>
        <v>3152.3323930563042</v>
      </c>
      <c r="X257" s="142">
        <f t="shared" si="101"/>
        <v>3086.9901025960489</v>
      </c>
      <c r="Y257" s="142">
        <f t="shared" si="101"/>
        <v>3026.1578855298985</v>
      </c>
      <c r="Z257" s="142">
        <f t="shared" si="101"/>
        <v>2969.2531467887134</v>
      </c>
      <c r="AA257" s="142">
        <f t="shared" si="101"/>
        <v>2915.7993612829441</v>
      </c>
      <c r="AB257" s="142">
        <f t="shared" si="101"/>
        <v>2865.4017917524993</v>
      </c>
      <c r="AC257" s="142">
        <f t="shared" si="101"/>
        <v>2817.7297805781418</v>
      </c>
      <c r="AD257" s="142">
        <f t="shared" si="101"/>
        <v>2772.5035890749864</v>
      </c>
      <c r="AE257" s="142">
        <f t="shared" si="101"/>
        <v>2729.4844511049228</v>
      </c>
      <c r="AF257" s="142">
        <f t="shared" si="101"/>
        <v>2688.4669426575792</v>
      </c>
      <c r="AG257" s="142">
        <f t="shared" si="101"/>
        <v>2649.2730489783848</v>
      </c>
      <c r="AH257" s="142">
        <f t="shared" si="101"/>
        <v>2611.7474952975876</v>
      </c>
      <c r="AI257" s="142">
        <f t="shared" si="101"/>
        <v>2575.7540313612594</v>
      </c>
      <c r="AJ257" s="142">
        <f t="shared" si="101"/>
        <v>2541.1724451102668</v>
      </c>
      <c r="AK257" s="142">
        <f t="shared" si="101"/>
        <v>2507.8961402613745</v>
      </c>
      <c r="AL257" s="142">
        <f t="shared" si="101"/>
        <v>2475.8301546500124</v>
      </c>
      <c r="AM257" s="142">
        <f t="shared" si="101"/>
        <v>2444.8895264678576</v>
      </c>
      <c r="AN257" s="142">
        <f t="shared" si="101"/>
        <v>2414.9979375838611</v>
      </c>
      <c r="AO257" s="142">
        <f t="shared" si="101"/>
        <v>2386.0865794023703</v>
      </c>
      <c r="AP257" s="142">
        <f t="shared" si="101"/>
        <v>2358.0931988426769</v>
      </c>
      <c r="AQ257" s="142">
        <f t="shared" si="100"/>
        <v>2330.9612911664535</v>
      </c>
    </row>
    <row r="258" spans="7:43" ht="14.1" hidden="1" customHeight="1" x14ac:dyDescent="0.25">
      <c r="G258" s="106"/>
      <c r="H258" s="218"/>
      <c r="J258" s="211"/>
      <c r="K258" s="7" t="s">
        <v>129</v>
      </c>
      <c r="L258" s="140">
        <f t="shared" ref="L258:AP258" si="102" xml:space="preserve"> $N$43*(L346 + L523)</f>
        <v>5539.9515630445649</v>
      </c>
      <c r="M258" s="140">
        <f t="shared" si="102"/>
        <v>5182.005488866881</v>
      </c>
      <c r="N258" s="140">
        <f t="shared" si="102"/>
        <v>4914.9630972128198</v>
      </c>
      <c r="O258" s="140">
        <f t="shared" si="102"/>
        <v>4697.730843354394</v>
      </c>
      <c r="P258" s="140">
        <f t="shared" si="102"/>
        <v>4512.004566644302</v>
      </c>
      <c r="Q258" s="140">
        <f t="shared" si="102"/>
        <v>4348.0202703639179</v>
      </c>
      <c r="R258" s="140">
        <f t="shared" si="102"/>
        <v>4199.9497185994169</v>
      </c>
      <c r="S258" s="140">
        <f t="shared" si="102"/>
        <v>4064.0335796849708</v>
      </c>
      <c r="T258" s="140">
        <f t="shared" si="102"/>
        <v>3937.7050083501658</v>
      </c>
      <c r="U258" s="140">
        <f t="shared" si="102"/>
        <v>3819.1331783371684</v>
      </c>
      <c r="V258" s="140">
        <f t="shared" si="102"/>
        <v>3706.9662752492504</v>
      </c>
      <c r="W258" s="140">
        <f t="shared" si="102"/>
        <v>3600.177716331119</v>
      </c>
      <c r="X258" s="140">
        <f t="shared" si="102"/>
        <v>3542.9819789688663</v>
      </c>
      <c r="Y258" s="140">
        <f t="shared" si="102"/>
        <v>3489.7340213908346</v>
      </c>
      <c r="Z258" s="140">
        <f t="shared" si="102"/>
        <v>3439.9238835951901</v>
      </c>
      <c r="AA258" s="140">
        <f t="shared" si="102"/>
        <v>3393.134451280052</v>
      </c>
      <c r="AB258" s="140">
        <f t="shared" si="102"/>
        <v>3349.020201071568</v>
      </c>
      <c r="AC258" s="140">
        <f t="shared" si="102"/>
        <v>3307.2917001045339</v>
      </c>
      <c r="AD258" s="140">
        <f t="shared" si="102"/>
        <v>3267.7040861275991</v>
      </c>
      <c r="AE258" s="140">
        <f t="shared" si="102"/>
        <v>3230.0483611820082</v>
      </c>
      <c r="AF258" s="140">
        <f t="shared" si="102"/>
        <v>3194.1447125054246</v>
      </c>
      <c r="AG258" s="140">
        <f t="shared" si="102"/>
        <v>3159.8373193410725</v>
      </c>
      <c r="AH258" s="140">
        <f t="shared" si="102"/>
        <v>3126.9902658083302</v>
      </c>
      <c r="AI258" s="140">
        <f t="shared" si="102"/>
        <v>3095.4842886600068</v>
      </c>
      <c r="AJ258" s="140">
        <f t="shared" si="102"/>
        <v>3065.214163281024</v>
      </c>
      <c r="AK258" s="140">
        <f t="shared" si="102"/>
        <v>3036.0865832847089</v>
      </c>
      <c r="AL258" s="140">
        <f t="shared" si="102"/>
        <v>3008.0184259187708</v>
      </c>
      <c r="AM258" s="140">
        <f t="shared" si="102"/>
        <v>2980.9353219922873</v>
      </c>
      <c r="AN258" s="140">
        <f t="shared" si="102"/>
        <v>2954.7704683407396</v>
      </c>
      <c r="AO258" s="140">
        <f t="shared" si="102"/>
        <v>2929.4636350833357</v>
      </c>
      <c r="AP258" s="140">
        <f t="shared" si="102"/>
        <v>2904.9603305450937</v>
      </c>
      <c r="AQ258" s="140">
        <f t="shared" si="100"/>
        <v>2881.2110947185665</v>
      </c>
    </row>
    <row r="259" spans="7:43" ht="14.1" hidden="1" customHeight="1" thickBot="1" x14ac:dyDescent="0.3">
      <c r="G259" s="106"/>
      <c r="H259" s="218"/>
      <c r="J259" s="211"/>
      <c r="K259" s="121" t="s">
        <v>130</v>
      </c>
      <c r="L259" s="141">
        <f t="shared" ref="L259:AP259" si="103" xml:space="preserve"> $N$43*(L347 + L524)</f>
        <v>5845.7678165362295</v>
      </c>
      <c r="M259" s="141">
        <f t="shared" si="103"/>
        <v>5612.4784777162176</v>
      </c>
      <c r="N259" s="141">
        <f t="shared" si="103"/>
        <v>5436.418825761838</v>
      </c>
      <c r="O259" s="141">
        <f t="shared" si="103"/>
        <v>5291.7178438815445</v>
      </c>
      <c r="P259" s="141">
        <f t="shared" si="103"/>
        <v>5166.8518913041271</v>
      </c>
      <c r="Q259" s="141">
        <f t="shared" si="103"/>
        <v>5055.6739071047523</v>
      </c>
      <c r="R259" s="141">
        <f t="shared" si="103"/>
        <v>4954.5146437120493</v>
      </c>
      <c r="S259" s="141">
        <f t="shared" si="103"/>
        <v>4861.0073612087299</v>
      </c>
      <c r="T259" s="141">
        <f t="shared" si="103"/>
        <v>4773.5360661940804</v>
      </c>
      <c r="U259" s="141">
        <f t="shared" si="103"/>
        <v>4690.9481363481482</v>
      </c>
      <c r="V259" s="141">
        <f t="shared" si="103"/>
        <v>4612.392517978964</v>
      </c>
      <c r="W259" s="141">
        <f t="shared" si="103"/>
        <v>4537.2229115308428</v>
      </c>
      <c r="X259" s="141">
        <f t="shared" si="103"/>
        <v>4501.2145337795891</v>
      </c>
      <c r="Y259" s="141">
        <f t="shared" si="103"/>
        <v>4467.6915360986823</v>
      </c>
      <c r="Z259" s="141">
        <f t="shared" si="103"/>
        <v>4436.3328660245843</v>
      </c>
      <c r="AA259" s="141">
        <f t="shared" si="103"/>
        <v>4406.8759234049039</v>
      </c>
      <c r="AB259" s="141">
        <f t="shared" si="103"/>
        <v>4379.103179158953</v>
      </c>
      <c r="AC259" s="141">
        <f t="shared" si="103"/>
        <v>4352.8324167715764</v>
      </c>
      <c r="AD259" s="141">
        <f t="shared" si="103"/>
        <v>4327.9094797819889</v>
      </c>
      <c r="AE259" s="141">
        <f t="shared" si="103"/>
        <v>4304.2027905972636</v>
      </c>
      <c r="AF259" s="141">
        <f t="shared" si="103"/>
        <v>4281.5991455737458</v>
      </c>
      <c r="AG259" s="141">
        <f t="shared" si="103"/>
        <v>4260.000445571005</v>
      </c>
      <c r="AH259" s="141">
        <f t="shared" si="103"/>
        <v>4239.3211228422597</v>
      </c>
      <c r="AI259" s="141">
        <f t="shared" si="103"/>
        <v>4219.4860935393945</v>
      </c>
      <c r="AJ259" s="141">
        <f t="shared" si="103"/>
        <v>4200.4291120318258</v>
      </c>
      <c r="AK259" s="141">
        <f t="shared" si="103"/>
        <v>4182.0914359766275</v>
      </c>
      <c r="AL259" s="141">
        <f t="shared" si="103"/>
        <v>4164.4207342805712</v>
      </c>
      <c r="AM259" s="141">
        <f t="shared" si="103"/>
        <v>4147.3701867776217</v>
      </c>
      <c r="AN259" s="141">
        <f t="shared" si="103"/>
        <v>4130.8977365996643</v>
      </c>
      <c r="AO259" s="141">
        <f t="shared" si="103"/>
        <v>4114.9654651814453</v>
      </c>
      <c r="AP259" s="141">
        <f t="shared" si="103"/>
        <v>4099.5390665255663</v>
      </c>
      <c r="AQ259" s="141">
        <f t="shared" si="100"/>
        <v>4084.5874023914198</v>
      </c>
    </row>
    <row r="260" spans="7:43" ht="14.1" hidden="1" customHeight="1" thickTop="1" x14ac:dyDescent="0.25">
      <c r="G260" s="106"/>
      <c r="H260" s="218"/>
      <c r="J260" s="211"/>
      <c r="K260" s="119" t="s">
        <v>131</v>
      </c>
      <c r="L260" s="142">
        <f t="shared" ref="L260:AP260" si="104" xml:space="preserve"> $N$43*(L348 + L525)</f>
        <v>5501.2811889757068</v>
      </c>
      <c r="M260" s="142">
        <f t="shared" si="104"/>
        <v>5082.5615093037286</v>
      </c>
      <c r="N260" s="142">
        <f t="shared" si="104"/>
        <v>4770.6999729581821</v>
      </c>
      <c r="O260" s="142">
        <f t="shared" si="104"/>
        <v>4517.3907273000405</v>
      </c>
      <c r="P260" s="142">
        <f t="shared" si="104"/>
        <v>4301.117057410549</v>
      </c>
      <c r="Q260" s="142">
        <f t="shared" si="104"/>
        <v>4110.4012922886059</v>
      </c>
      <c r="R260" s="142">
        <f t="shared" si="104"/>
        <v>3938.3922851893276</v>
      </c>
      <c r="S260" s="142">
        <f t="shared" si="104"/>
        <v>3780.6709059872155</v>
      </c>
      <c r="T260" s="142">
        <f t="shared" si="104"/>
        <v>3634.2198036554846</v>
      </c>
      <c r="U260" s="142">
        <f t="shared" si="104"/>
        <v>3496.8868245163453</v>
      </c>
      <c r="V260" s="142">
        <f t="shared" si="104"/>
        <v>3367.0828978903164</v>
      </c>
      <c r="W260" s="142">
        <f t="shared" si="104"/>
        <v>3243.6012659854791</v>
      </c>
      <c r="X260" s="142">
        <f t="shared" si="104"/>
        <v>3176.3671327683946</v>
      </c>
      <c r="Y260" s="142">
        <f t="shared" si="104"/>
        <v>3113.7736522321738</v>
      </c>
      <c r="Z260" s="142">
        <f t="shared" si="104"/>
        <v>3055.2213615447936</v>
      </c>
      <c r="AA260" s="142">
        <f t="shared" si="104"/>
        <v>3000.2199388775189</v>
      </c>
      <c r="AB260" s="142">
        <f t="shared" si="104"/>
        <v>2948.3632182183596</v>
      </c>
      <c r="AC260" s="142">
        <f t="shared" si="104"/>
        <v>2899.3109684816804</v>
      </c>
      <c r="AD260" s="142">
        <f t="shared" si="104"/>
        <v>2852.7753517623059</v>
      </c>
      <c r="AE260" s="142">
        <f t="shared" si="104"/>
        <v>2808.5106889720928</v>
      </c>
      <c r="AF260" s="142">
        <f t="shared" si="104"/>
        <v>2766.3056084988434</v>
      </c>
      <c r="AG260" s="142">
        <f t="shared" si="104"/>
        <v>2725.9769415610654</v>
      </c>
      <c r="AH260" s="142">
        <f t="shared" si="104"/>
        <v>2687.3649177484913</v>
      </c>
      <c r="AI260" s="142">
        <f t="shared" si="104"/>
        <v>2650.3293419798188</v>
      </c>
      <c r="AJ260" s="142">
        <f t="shared" si="104"/>
        <v>2614.7465217193094</v>
      </c>
      <c r="AK260" s="142">
        <f t="shared" si="104"/>
        <v>2580.5067744220578</v>
      </c>
      <c r="AL260" s="142">
        <f t="shared" si="104"/>
        <v>2547.5123885022258</v>
      </c>
      <c r="AM260" s="142">
        <f t="shared" si="104"/>
        <v>2515.6759422686105</v>
      </c>
      <c r="AN260" s="142">
        <f t="shared" si="104"/>
        <v>2484.9189079660041</v>
      </c>
      <c r="AO260" s="142">
        <f t="shared" si="104"/>
        <v>2455.1704847967317</v>
      </c>
      <c r="AP260" s="142">
        <f t="shared" si="104"/>
        <v>2426.3666172786238</v>
      </c>
      <c r="AQ260" s="142">
        <f t="shared" si="100"/>
        <v>2398.4491647025416</v>
      </c>
    </row>
    <row r="261" spans="7:43" ht="14.1" hidden="1" customHeight="1" x14ac:dyDescent="0.25">
      <c r="G261" s="106"/>
      <c r="H261" s="218"/>
      <c r="J261" s="211"/>
      <c r="K261" s="7" t="s">
        <v>132</v>
      </c>
      <c r="L261" s="140">
        <f t="shared" ref="L261:AP261" si="105" xml:space="preserve"> $N$43*(L349 + L526)</f>
        <v>5700.348714168299</v>
      </c>
      <c r="M261" s="140">
        <f t="shared" si="105"/>
        <v>5332.0390962121801</v>
      </c>
      <c r="N261" s="140">
        <f t="shared" si="105"/>
        <v>5057.2650776001683</v>
      </c>
      <c r="O261" s="140">
        <f t="shared" si="105"/>
        <v>4833.7433401145727</v>
      </c>
      <c r="P261" s="140">
        <f t="shared" si="105"/>
        <v>4642.6397662685567</v>
      </c>
      <c r="Q261" s="140">
        <f t="shared" si="105"/>
        <v>4473.9076642261407</v>
      </c>
      <c r="R261" s="140">
        <f t="shared" si="105"/>
        <v>4321.5500542810632</v>
      </c>
      <c r="S261" s="140">
        <f t="shared" si="105"/>
        <v>4181.6987615614744</v>
      </c>
      <c r="T261" s="140">
        <f t="shared" si="105"/>
        <v>4051.712623419985</v>
      </c>
      <c r="U261" s="140">
        <f t="shared" si="105"/>
        <v>3929.7078060385638</v>
      </c>
      <c r="V261" s="140">
        <f t="shared" si="105"/>
        <v>3814.2933561984892</v>
      </c>
      <c r="W261" s="140">
        <f t="shared" si="105"/>
        <v>3704.4129686915776</v>
      </c>
      <c r="X261" s="140">
        <f t="shared" si="105"/>
        <v>3645.5612541560722</v>
      </c>
      <c r="Y261" s="140">
        <f t="shared" si="105"/>
        <v>3590.7716187129045</v>
      </c>
      <c r="Z261" s="140">
        <f t="shared" si="105"/>
        <v>3539.5193375864765</v>
      </c>
      <c r="AA261" s="140">
        <f t="shared" si="105"/>
        <v>3491.3752198448265</v>
      </c>
      <c r="AB261" s="140">
        <f t="shared" si="105"/>
        <v>3445.9837382423707</v>
      </c>
      <c r="AC261" s="140">
        <f t="shared" si="105"/>
        <v>3403.0470800198791</v>
      </c>
      <c r="AD261" s="140">
        <f t="shared" si="105"/>
        <v>3362.3132934763744</v>
      </c>
      <c r="AE261" s="140">
        <f t="shared" si="105"/>
        <v>3323.567329575435</v>
      </c>
      <c r="AF261" s="140">
        <f t="shared" si="105"/>
        <v>3286.6241694704331</v>
      </c>
      <c r="AG261" s="140">
        <f t="shared" si="105"/>
        <v>3251.3234809562173</v>
      </c>
      <c r="AH261" s="140">
        <f t="shared" si="105"/>
        <v>3217.5254130058397</v>
      </c>
      <c r="AI261" s="140">
        <f t="shared" si="105"/>
        <v>3185.10724936627</v>
      </c>
      <c r="AJ261" s="140">
        <f t="shared" si="105"/>
        <v>3153.9607188744094</v>
      </c>
      <c r="AK261" s="140">
        <f t="shared" si="105"/>
        <v>3123.989813661733</v>
      </c>
      <c r="AL261" s="140">
        <f t="shared" si="105"/>
        <v>3095.109004338904</v>
      </c>
      <c r="AM261" s="140">
        <f t="shared" si="105"/>
        <v>3067.2417685181322</v>
      </c>
      <c r="AN261" s="140">
        <f t="shared" si="105"/>
        <v>3040.3193688957363</v>
      </c>
      <c r="AO261" s="140">
        <f t="shared" si="105"/>
        <v>3014.2798317667807</v>
      </c>
      <c r="AP261" s="140">
        <f t="shared" si="105"/>
        <v>2989.0670877693083</v>
      </c>
      <c r="AQ261" s="140">
        <f t="shared" si="100"/>
        <v>2964.6302448897964</v>
      </c>
    </row>
    <row r="262" spans="7:43" ht="14.1" hidden="1" customHeight="1" thickBot="1" x14ac:dyDescent="0.3">
      <c r="G262" s="106"/>
      <c r="H262" s="218"/>
      <c r="J262" s="211"/>
      <c r="K262" s="121" t="s">
        <v>133</v>
      </c>
      <c r="L262" s="141">
        <f t="shared" ref="L262:AP262" si="106" xml:space="preserve"> $N$43*(L350 + L527)</f>
        <v>6015.0192067754497</v>
      </c>
      <c r="M262" s="141">
        <f t="shared" si="106"/>
        <v>5774.975486638481</v>
      </c>
      <c r="N262" s="141">
        <f t="shared" si="106"/>
        <v>5593.8184134738331</v>
      </c>
      <c r="O262" s="141">
        <f t="shared" si="106"/>
        <v>5444.9279319211537</v>
      </c>
      <c r="P262" s="141">
        <f t="shared" si="106"/>
        <v>5316.4467594563712</v>
      </c>
      <c r="Q262" s="141">
        <f t="shared" si="106"/>
        <v>5202.0498604830427</v>
      </c>
      <c r="R262" s="141">
        <f t="shared" si="106"/>
        <v>5097.9617524112291</v>
      </c>
      <c r="S262" s="141">
        <f t="shared" si="106"/>
        <v>5001.7471715584234</v>
      </c>
      <c r="T262" s="141">
        <f t="shared" si="106"/>
        <v>4911.7433369780774</v>
      </c>
      <c r="U262" s="141">
        <f t="shared" si="106"/>
        <v>4826.7642546980951</v>
      </c>
      <c r="V262" s="141">
        <f t="shared" si="106"/>
        <v>4745.934230632799</v>
      </c>
      <c r="W262" s="141">
        <f t="shared" si="106"/>
        <v>4668.5882530398821</v>
      </c>
      <c r="X262" s="141">
        <f t="shared" si="106"/>
        <v>4631.5373316594714</v>
      </c>
      <c r="Y262" s="141">
        <f t="shared" si="106"/>
        <v>4597.0437490801305</v>
      </c>
      <c r="Z262" s="141">
        <f t="shared" si="106"/>
        <v>4564.7771574681519</v>
      </c>
      <c r="AA262" s="141">
        <f t="shared" si="106"/>
        <v>4534.4673536594792</v>
      </c>
      <c r="AB262" s="141">
        <f t="shared" si="106"/>
        <v>4505.8905104958312</v>
      </c>
      <c r="AC262" s="141">
        <f t="shared" si="106"/>
        <v>4478.8591357823652</v>
      </c>
      <c r="AD262" s="141">
        <f t="shared" si="106"/>
        <v>4453.2146097959667</v>
      </c>
      <c r="AE262" s="141">
        <f t="shared" si="106"/>
        <v>4428.821545402986</v>
      </c>
      <c r="AF262" s="141">
        <f t="shared" si="106"/>
        <v>4405.5634613964694</v>
      </c>
      <c r="AG262" s="141">
        <f t="shared" si="106"/>
        <v>4383.3394183904575</v>
      </c>
      <c r="AH262" s="141">
        <f t="shared" si="106"/>
        <v>4362.0613712116656</v>
      </c>
      <c r="AI262" s="141">
        <f t="shared" si="106"/>
        <v>4341.6520621237842</v>
      </c>
      <c r="AJ262" s="141">
        <f t="shared" si="106"/>
        <v>4322.0433274992329</v>
      </c>
      <c r="AK262" s="141">
        <f t="shared" si="106"/>
        <v>4303.1747242393449</v>
      </c>
      <c r="AL262" s="141">
        <f t="shared" si="106"/>
        <v>4284.9924061188221</v>
      </c>
      <c r="AM262" s="141">
        <f t="shared" si="106"/>
        <v>4267.4481973963748</v>
      </c>
      <c r="AN262" s="141">
        <f t="shared" si="106"/>
        <v>4250.4988235394821</v>
      </c>
      <c r="AO262" s="141">
        <f t="shared" si="106"/>
        <v>4234.1052681339706</v>
      </c>
      <c r="AP262" s="141">
        <f t="shared" si="106"/>
        <v>4218.2322319275017</v>
      </c>
      <c r="AQ262" s="141">
        <f t="shared" si="100"/>
        <v>4202.8476751399839</v>
      </c>
    </row>
    <row r="263" spans="7:43" ht="14.1" customHeight="1" thickTop="1" x14ac:dyDescent="0.25">
      <c r="G263" s="106"/>
      <c r="H263" s="218"/>
      <c r="J263" s="211"/>
      <c r="K263" s="119" t="s">
        <v>134</v>
      </c>
      <c r="L263" s="142">
        <f t="shared" ref="L263:AP263" si="107" xml:space="preserve"> $N$43*(L351 + L528)</f>
        <v>5999.3199602707809</v>
      </c>
      <c r="M263" s="142">
        <f t="shared" si="107"/>
        <v>5578.7900692531221</v>
      </c>
      <c r="N263" s="142">
        <f t="shared" si="107"/>
        <v>5265.5802913063781</v>
      </c>
      <c r="O263" s="142">
        <f t="shared" si="107"/>
        <v>5011.1759376494538</v>
      </c>
      <c r="P263" s="142">
        <f t="shared" si="107"/>
        <v>4793.9672721769684</v>
      </c>
      <c r="Q263" s="142">
        <f t="shared" si="107"/>
        <v>4602.4270035540321</v>
      </c>
      <c r="R263" s="142">
        <f t="shared" si="107"/>
        <v>4429.6743661184528</v>
      </c>
      <c r="S263" s="142">
        <f t="shared" si="107"/>
        <v>4271.2711249357635</v>
      </c>
      <c r="T263" s="142">
        <f t="shared" si="107"/>
        <v>4124.1868843497332</v>
      </c>
      <c r="U263" s="142">
        <f t="shared" si="107"/>
        <v>3986.2601864793214</v>
      </c>
      <c r="V263" s="142">
        <f t="shared" si="107"/>
        <v>3855.8950907654757</v>
      </c>
      <c r="W263" s="142">
        <f t="shared" si="107"/>
        <v>3731.8796223539985</v>
      </c>
      <c r="X263" s="142">
        <f t="shared" si="107"/>
        <v>3664.3548221425622</v>
      </c>
      <c r="Y263" s="142">
        <f t="shared" si="107"/>
        <v>3601.4907371085515</v>
      </c>
      <c r="Z263" s="142">
        <f t="shared" si="107"/>
        <v>3542.6853128187549</v>
      </c>
      <c r="AA263" s="142">
        <f t="shared" si="107"/>
        <v>3487.4461076822658</v>
      </c>
      <c r="AB263" s="142">
        <f t="shared" si="107"/>
        <v>3435.3651997478378</v>
      </c>
      <c r="AC263" s="142">
        <f t="shared" si="107"/>
        <v>3386.1008870408346</v>
      </c>
      <c r="AD263" s="142">
        <f t="shared" si="107"/>
        <v>3339.3640872735805</v>
      </c>
      <c r="AE263" s="142">
        <f t="shared" si="107"/>
        <v>3294.9080592366749</v>
      </c>
      <c r="AF263" s="142">
        <f t="shared" si="107"/>
        <v>3252.5205175149404</v>
      </c>
      <c r="AG263" s="142">
        <f t="shared" si="107"/>
        <v>3212.017501450548</v>
      </c>
      <c r="AH263" s="142">
        <f t="shared" si="107"/>
        <v>3173.2385499128673</v>
      </c>
      <c r="AI263" s="142">
        <f t="shared" si="107"/>
        <v>3136.0428617284065</v>
      </c>
      <c r="AJ263" s="142">
        <f t="shared" si="107"/>
        <v>3100.3062096131403</v>
      </c>
      <c r="AK263" s="142">
        <f t="shared" si="107"/>
        <v>3065.9184368419506</v>
      </c>
      <c r="AL263" s="142">
        <f t="shared" si="107"/>
        <v>3032.7814094017049</v>
      </c>
      <c r="AM263" s="142">
        <f t="shared" si="107"/>
        <v>3000.8073276592368</v>
      </c>
      <c r="AN263" s="142">
        <f t="shared" si="107"/>
        <v>2969.9173243676933</v>
      </c>
      <c r="AO263" s="142">
        <f t="shared" si="107"/>
        <v>2940.0402926429806</v>
      </c>
      <c r="AP263" s="142">
        <f t="shared" si="107"/>
        <v>2911.1119000778967</v>
      </c>
      <c r="AQ263" s="142">
        <f t="shared" ref="AQ263" si="108" xml:space="preserve"> $N$43*(AQ351 + AQ528)</f>
        <v>2883.0737546090531</v>
      </c>
    </row>
    <row r="264" spans="7:43" ht="14.1" customHeight="1" x14ac:dyDescent="0.25">
      <c r="G264" s="106"/>
      <c r="H264" s="218"/>
      <c r="J264" s="211"/>
      <c r="K264" s="7" t="s">
        <v>135</v>
      </c>
      <c r="L264" s="140">
        <f t="shared" ref="L264:AP264" si="109" xml:space="preserve"> $N$43*(L352 + L529)</f>
        <v>6199.2480953419008</v>
      </c>
      <c r="M264" s="140">
        <f t="shared" si="109"/>
        <v>5829.3461991110435</v>
      </c>
      <c r="N264" s="140">
        <f t="shared" si="109"/>
        <v>5553.3842758694254</v>
      </c>
      <c r="O264" s="140">
        <f t="shared" si="109"/>
        <v>5328.8962079130006</v>
      </c>
      <c r="P264" s="140">
        <f t="shared" si="109"/>
        <v>5136.96645398907</v>
      </c>
      <c r="Q264" s="140">
        <f t="shared" si="109"/>
        <v>4967.5048883452837</v>
      </c>
      <c r="R264" s="140">
        <f t="shared" si="109"/>
        <v>4814.4886050979649</v>
      </c>
      <c r="S264" s="140">
        <f t="shared" si="109"/>
        <v>4674.0327064592384</v>
      </c>
      <c r="T264" s="140">
        <f t="shared" si="109"/>
        <v>4543.4846114920529</v>
      </c>
      <c r="U264" s="140">
        <f t="shared" si="109"/>
        <v>4420.9523421770982</v>
      </c>
      <c r="V264" s="140">
        <f t="shared" si="109"/>
        <v>4305.0389319186361</v>
      </c>
      <c r="W264" s="140">
        <f t="shared" si="109"/>
        <v>4194.683508883686</v>
      </c>
      <c r="X264" s="140">
        <f t="shared" si="109"/>
        <v>4135.5773662748497</v>
      </c>
      <c r="Y264" s="140">
        <f t="shared" si="109"/>
        <v>4080.5508639622221</v>
      </c>
      <c r="Z264" s="140">
        <f t="shared" si="109"/>
        <v>4029.0770086770167</v>
      </c>
      <c r="AA264" s="140">
        <f t="shared" si="109"/>
        <v>3980.7247540065455</v>
      </c>
      <c r="AB264" s="140">
        <f t="shared" si="109"/>
        <v>3935.1370356877778</v>
      </c>
      <c r="AC264" s="140">
        <f t="shared" si="109"/>
        <v>3892.0147534556372</v>
      </c>
      <c r="AD264" s="140">
        <f t="shared" si="109"/>
        <v>3851.1048663700903</v>
      </c>
      <c r="AE264" s="140">
        <f t="shared" si="109"/>
        <v>3812.1913956934782</v>
      </c>
      <c r="AF264" s="140">
        <f t="shared" si="109"/>
        <v>3775.0885227046206</v>
      </c>
      <c r="AG264" s="140">
        <f t="shared" si="109"/>
        <v>3739.635222049249</v>
      </c>
      <c r="AH264" s="140">
        <f t="shared" si="109"/>
        <v>3705.6910380956451</v>
      </c>
      <c r="AI264" s="140">
        <f t="shared" si="109"/>
        <v>3673.1327240631626</v>
      </c>
      <c r="AJ264" s="140">
        <f t="shared" si="109"/>
        <v>3641.8515407101818</v>
      </c>
      <c r="AK264" s="140">
        <f t="shared" si="109"/>
        <v>3611.7510651064063</v>
      </c>
      <c r="AL264" s="140">
        <f t="shared" si="109"/>
        <v>3582.7453981013455</v>
      </c>
      <c r="AM264" s="140">
        <f t="shared" si="109"/>
        <v>3554.7576864851803</v>
      </c>
      <c r="AN264" s="140">
        <f t="shared" si="109"/>
        <v>3527.7188957887183</v>
      </c>
      <c r="AO264" s="140">
        <f t="shared" si="109"/>
        <v>3501.5667843819456</v>
      </c>
      <c r="AP264" s="140">
        <f t="shared" si="109"/>
        <v>3476.2450405035124</v>
      </c>
      <c r="AQ264" s="140">
        <f xml:space="preserve"> $N$43*(AQ352 + AQ529)</f>
        <v>3451.7025521232499</v>
      </c>
    </row>
    <row r="265" spans="7:43" ht="14.1" customHeight="1" thickBot="1" x14ac:dyDescent="0.3">
      <c r="G265" s="106"/>
      <c r="H265" s="218"/>
      <c r="J265" s="211"/>
      <c r="K265" s="121" t="s">
        <v>136</v>
      </c>
      <c r="L265" s="141">
        <f t="shared" ref="L265:AP265" si="110" xml:space="preserve"> $N$43*(L353 + L530)</f>
        <v>6515.278973246237</v>
      </c>
      <c r="M265" s="141">
        <f t="shared" si="110"/>
        <v>6274.1974947072958</v>
      </c>
      <c r="N265" s="141">
        <f t="shared" si="110"/>
        <v>6092.25724223412</v>
      </c>
      <c r="O265" s="141">
        <f t="shared" si="110"/>
        <v>5942.7230764887581</v>
      </c>
      <c r="P265" s="141">
        <f t="shared" si="110"/>
        <v>5813.6864534746128</v>
      </c>
      <c r="Q265" s="141">
        <f t="shared" si="110"/>
        <v>5698.7949931647017</v>
      </c>
      <c r="R265" s="141">
        <f t="shared" si="110"/>
        <v>5594.25689078087</v>
      </c>
      <c r="S265" s="141">
        <f t="shared" si="110"/>
        <v>5497.6263544945496</v>
      </c>
      <c r="T265" s="141">
        <f t="shared" si="110"/>
        <v>5407.2334148149639</v>
      </c>
      <c r="U265" s="141">
        <f t="shared" si="110"/>
        <v>5321.8869504740069</v>
      </c>
      <c r="V265" s="141">
        <f t="shared" si="110"/>
        <v>5240.7074815802525</v>
      </c>
      <c r="W265" s="141">
        <f t="shared" si="110"/>
        <v>5163.0271214087788</v>
      </c>
      <c r="X265" s="141">
        <f t="shared" si="110"/>
        <v>5125.8160212703424</v>
      </c>
      <c r="Y265" s="141">
        <f t="shared" si="110"/>
        <v>5091.1733158349016</v>
      </c>
      <c r="Z265" s="141">
        <f t="shared" si="110"/>
        <v>5058.7672291070767</v>
      </c>
      <c r="AA265" s="141">
        <f t="shared" si="110"/>
        <v>5028.3263897789302</v>
      </c>
      <c r="AB265" s="141">
        <f t="shared" si="110"/>
        <v>4999.6260030413105</v>
      </c>
      <c r="AC265" s="141">
        <f t="shared" si="110"/>
        <v>4972.477766132035</v>
      </c>
      <c r="AD265" s="141">
        <f t="shared" si="110"/>
        <v>4946.722373582279</v>
      </c>
      <c r="AE265" s="141">
        <f t="shared" si="110"/>
        <v>4922.2238529519555</v>
      </c>
      <c r="AF265" s="141">
        <f t="shared" si="110"/>
        <v>4898.8652194618771</v>
      </c>
      <c r="AG265" s="141">
        <f t="shared" si="110"/>
        <v>4876.5450973443512</v>
      </c>
      <c r="AH265" s="141">
        <f t="shared" si="110"/>
        <v>4855.1750607886888</v>
      </c>
      <c r="AI265" s="141">
        <f t="shared" si="110"/>
        <v>4834.6775180574841</v>
      </c>
      <c r="AJ265" s="141">
        <f t="shared" si="110"/>
        <v>4814.9840108377703</v>
      </c>
      <c r="AK265" s="141">
        <f t="shared" si="110"/>
        <v>4796.0338347229235</v>
      </c>
      <c r="AL265" s="141">
        <f t="shared" si="110"/>
        <v>4777.7729106993329</v>
      </c>
      <c r="AM265" s="141">
        <f t="shared" si="110"/>
        <v>4760.1528547520657</v>
      </c>
      <c r="AN265" s="141">
        <f t="shared" si="110"/>
        <v>4743.1302052638921</v>
      </c>
      <c r="AO265" s="141">
        <f t="shared" si="110"/>
        <v>4726.665777144648</v>
      </c>
      <c r="AP265" s="141">
        <f t="shared" si="110"/>
        <v>4710.7241185360663</v>
      </c>
      <c r="AQ265" s="141">
        <f xml:space="preserve"> $N$43*(AQ353 + AQ530)</f>
        <v>4695.2730511434902</v>
      </c>
    </row>
    <row r="266" spans="7:43" ht="14.1" customHeight="1" thickTop="1" x14ac:dyDescent="0.25">
      <c r="G266" s="106"/>
      <c r="H266" s="218"/>
      <c r="J266" s="129"/>
      <c r="K266" s="7"/>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46"/>
      <c r="AL266" s="146"/>
      <c r="AM266" s="146"/>
      <c r="AN266" s="146"/>
      <c r="AO266" s="146"/>
      <c r="AP266" s="146"/>
      <c r="AQ266" s="146"/>
    </row>
    <row r="267" spans="7:43" ht="14.1" customHeight="1" thickBot="1" x14ac:dyDescent="0.3">
      <c r="G267" s="106"/>
      <c r="H267" s="218"/>
      <c r="L267" s="107">
        <v>2019</v>
      </c>
      <c r="M267" s="107">
        <v>2020</v>
      </c>
      <c r="N267" s="107">
        <v>2021</v>
      </c>
      <c r="O267" s="107">
        <v>2022</v>
      </c>
      <c r="P267" s="107">
        <v>2023</v>
      </c>
      <c r="Q267" s="107">
        <v>2024</v>
      </c>
      <c r="R267" s="107">
        <v>2025</v>
      </c>
      <c r="S267" s="107">
        <v>2026</v>
      </c>
      <c r="T267" s="107">
        <v>2027</v>
      </c>
      <c r="U267" s="107">
        <v>2028</v>
      </c>
      <c r="V267" s="107">
        <v>2029</v>
      </c>
      <c r="W267" s="107">
        <v>2030</v>
      </c>
      <c r="X267" s="107">
        <v>2031</v>
      </c>
      <c r="Y267" s="107">
        <v>2032</v>
      </c>
      <c r="Z267" s="107">
        <v>2033</v>
      </c>
      <c r="AA267" s="107">
        <v>2034</v>
      </c>
      <c r="AB267" s="107">
        <v>2035</v>
      </c>
      <c r="AC267" s="107">
        <v>2036</v>
      </c>
      <c r="AD267" s="107">
        <v>2037</v>
      </c>
      <c r="AE267" s="107">
        <v>2038</v>
      </c>
      <c r="AF267" s="107">
        <v>2039</v>
      </c>
      <c r="AG267" s="107">
        <v>2040</v>
      </c>
      <c r="AH267" s="107">
        <v>2041</v>
      </c>
      <c r="AI267" s="107">
        <v>2042</v>
      </c>
      <c r="AJ267" s="107">
        <v>2043</v>
      </c>
      <c r="AK267" s="107">
        <v>2044</v>
      </c>
      <c r="AL267" s="107">
        <v>2045</v>
      </c>
      <c r="AM267" s="107">
        <v>2046</v>
      </c>
      <c r="AN267" s="107">
        <v>2047</v>
      </c>
      <c r="AO267" s="107">
        <v>2048</v>
      </c>
      <c r="AP267" s="107">
        <v>2049</v>
      </c>
      <c r="AQ267" s="107">
        <v>2050</v>
      </c>
    </row>
    <row r="268" spans="7:43" ht="14.1" hidden="1" customHeight="1" x14ac:dyDescent="0.25">
      <c r="G268" s="106"/>
      <c r="H268" s="218"/>
      <c r="J268" s="209" t="s">
        <v>139</v>
      </c>
      <c r="K268" s="119" t="s">
        <v>95</v>
      </c>
      <c r="L268" s="139">
        <f t="shared" ref="L268:AQ268" si="111">(L312+L489)*($N$43-1)</f>
        <v>245.94531697646966</v>
      </c>
      <c r="M268" s="139">
        <f t="shared" si="111"/>
        <v>226.33581478182126</v>
      </c>
      <c r="N268" s="139">
        <f t="shared" si="111"/>
        <v>211.74394550882963</v>
      </c>
      <c r="O268" s="139">
        <f t="shared" si="111"/>
        <v>199.90145866235008</v>
      </c>
      <c r="P268" s="139">
        <f t="shared" si="111"/>
        <v>189.79801498529682</v>
      </c>
      <c r="Q268" s="139">
        <f t="shared" si="111"/>
        <v>180.89466874937597</v>
      </c>
      <c r="R268" s="139">
        <f t="shared" si="111"/>
        <v>172.86971738342069</v>
      </c>
      <c r="S268" s="139">
        <f t="shared" si="111"/>
        <v>165.5156561328796</v>
      </c>
      <c r="T268" s="139">
        <f t="shared" si="111"/>
        <v>158.69080220805674</v>
      </c>
      <c r="U268" s="139">
        <f t="shared" si="111"/>
        <v>152.29409904171288</v>
      </c>
      <c r="V268" s="139">
        <f t="shared" si="111"/>
        <v>146.25093020211904</v>
      </c>
      <c r="W268" s="139">
        <f t="shared" si="111"/>
        <v>140.50463114844729</v>
      </c>
      <c r="X268" s="139">
        <f t="shared" si="111"/>
        <v>137.34758396619819</v>
      </c>
      <c r="Y268" s="139">
        <f t="shared" si="111"/>
        <v>134.40844335563952</v>
      </c>
      <c r="Z268" s="139">
        <f t="shared" si="111"/>
        <v>131.65906092912738</v>
      </c>
      <c r="AA268" s="139">
        <f t="shared" si="111"/>
        <v>129.07641312595334</v>
      </c>
      <c r="AB268" s="139">
        <f t="shared" si="111"/>
        <v>126.64142800747067</v>
      </c>
      <c r="AC268" s="139">
        <f t="shared" si="111"/>
        <v>124.33812967663393</v>
      </c>
      <c r="AD268" s="139">
        <f t="shared" si="111"/>
        <v>122.15300241153227</v>
      </c>
      <c r="AE268" s="139">
        <f t="shared" si="111"/>
        <v>120.07451010043428</v>
      </c>
      <c r="AF268" s="139">
        <f t="shared" si="111"/>
        <v>118.09272757407285</v>
      </c>
      <c r="AG268" s="139">
        <f t="shared" si="111"/>
        <v>116.19905395581276</v>
      </c>
      <c r="AH268" s="139">
        <f t="shared" si="111"/>
        <v>114.38598706336344</v>
      </c>
      <c r="AI268" s="139">
        <f t="shared" si="111"/>
        <v>112.64694389393721</v>
      </c>
      <c r="AJ268" s="139">
        <f t="shared" si="111"/>
        <v>110.97611633857615</v>
      </c>
      <c r="AK268" s="139">
        <f t="shared" si="111"/>
        <v>109.36835414170677</v>
      </c>
      <c r="AL268" s="139">
        <f t="shared" si="111"/>
        <v>107.81906915632705</v>
      </c>
      <c r="AM268" s="139">
        <f t="shared" si="111"/>
        <v>106.32415640791487</v>
      </c>
      <c r="AN268" s="139">
        <f t="shared" si="111"/>
        <v>104.87992854576837</v>
      </c>
      <c r="AO268" s="139">
        <f t="shared" si="111"/>
        <v>103.4830610463441</v>
      </c>
      <c r="AP268" s="139">
        <f t="shared" si="111"/>
        <v>102.13054611925624</v>
      </c>
      <c r="AQ268" s="139">
        <f t="shared" si="111"/>
        <v>100.81965370830896</v>
      </c>
    </row>
    <row r="269" spans="7:43" ht="14.1" hidden="1" customHeight="1" x14ac:dyDescent="0.25">
      <c r="G269" s="106"/>
      <c r="H269" s="218"/>
      <c r="J269" s="210"/>
      <c r="K269" s="7" t="s">
        <v>96</v>
      </c>
      <c r="L269" s="140">
        <f t="shared" ref="L269:AQ269" si="112">(L313+L490)*($N$43-1)</f>
        <v>255.24251161152444</v>
      </c>
      <c r="M269" s="140">
        <f t="shared" si="112"/>
        <v>237.60156749897894</v>
      </c>
      <c r="N269" s="140">
        <f t="shared" si="112"/>
        <v>224.41828755229218</v>
      </c>
      <c r="O269" s="140">
        <f t="shared" si="112"/>
        <v>213.67755844825734</v>
      </c>
      <c r="P269" s="140">
        <f t="shared" si="112"/>
        <v>204.48179497647683</v>
      </c>
      <c r="Q269" s="140">
        <f t="shared" si="112"/>
        <v>196.35219785094003</v>
      </c>
      <c r="R269" s="140">
        <f t="shared" si="112"/>
        <v>189.00296656651921</v>
      </c>
      <c r="S269" s="140">
        <f t="shared" si="112"/>
        <v>182.24975393739052</v>
      </c>
      <c r="T269" s="140">
        <f t="shared" si="112"/>
        <v>175.96668899921343</v>
      </c>
      <c r="U269" s="140">
        <f t="shared" si="112"/>
        <v>170.06399311621755</v>
      </c>
      <c r="V269" s="140">
        <f t="shared" si="112"/>
        <v>164.47537706416307</v>
      </c>
      <c r="W269" s="140">
        <f t="shared" si="112"/>
        <v>159.15050007538562</v>
      </c>
      <c r="X269" s="140">
        <f t="shared" si="112"/>
        <v>156.34577993862626</v>
      </c>
      <c r="Y269" s="140">
        <f t="shared" si="112"/>
        <v>153.73464796012715</v>
      </c>
      <c r="Z269" s="140">
        <f t="shared" si="112"/>
        <v>151.29209711747635</v>
      </c>
      <c r="AA269" s="140">
        <f t="shared" si="112"/>
        <v>148.99767328356987</v>
      </c>
      <c r="AB269" s="140">
        <f t="shared" si="112"/>
        <v>146.83443295161757</v>
      </c>
      <c r="AC269" s="140">
        <f t="shared" si="112"/>
        <v>144.78818313761894</v>
      </c>
      <c r="AD269" s="140">
        <f t="shared" si="112"/>
        <v>142.84691647671133</v>
      </c>
      <c r="AE269" s="140">
        <f t="shared" si="112"/>
        <v>141.00038428935162</v>
      </c>
      <c r="AF269" s="140">
        <f t="shared" si="112"/>
        <v>139.23976905698635</v>
      </c>
      <c r="AG269" s="140">
        <f t="shared" si="112"/>
        <v>137.55742976239264</v>
      </c>
      <c r="AH269" s="140">
        <f t="shared" si="112"/>
        <v>135.94670146820172</v>
      </c>
      <c r="AI269" s="140">
        <f t="shared" si="112"/>
        <v>134.40173583594631</v>
      </c>
      <c r="AJ269" s="140">
        <f t="shared" si="112"/>
        <v>132.91737294269521</v>
      </c>
      <c r="AK269" s="140">
        <f t="shared" si="112"/>
        <v>131.48903730234292</v>
      </c>
      <c r="AL269" s="140">
        <f t="shared" si="112"/>
        <v>130.1126528059358</v>
      </c>
      <c r="AM269" s="140">
        <f t="shared" si="112"/>
        <v>128.78457259486248</v>
      </c>
      <c r="AN269" s="140">
        <f t="shared" si="112"/>
        <v>127.50152082743671</v>
      </c>
      <c r="AO269" s="140">
        <f t="shared" si="112"/>
        <v>126.26054399755328</v>
      </c>
      <c r="AP269" s="140">
        <f t="shared" si="112"/>
        <v>125.0589699847859</v>
      </c>
      <c r="AQ269" s="140">
        <f t="shared" si="112"/>
        <v>123.89437340771175</v>
      </c>
    </row>
    <row r="270" spans="7:43" ht="14.1" hidden="1" customHeight="1" thickBot="1" x14ac:dyDescent="0.3">
      <c r="G270" s="106"/>
      <c r="H270" s="218"/>
      <c r="J270" s="210"/>
      <c r="K270" s="121" t="s">
        <v>97</v>
      </c>
      <c r="L270" s="141">
        <f t="shared" ref="L270:AQ270" si="113">(L314+L491)*($N$43-1)</f>
        <v>270.36169844950541</v>
      </c>
      <c r="M270" s="141">
        <f t="shared" si="113"/>
        <v>258.28689885144473</v>
      </c>
      <c r="N270" s="141">
        <f t="shared" si="113"/>
        <v>249.19182967591135</v>
      </c>
      <c r="O270" s="141">
        <f t="shared" si="113"/>
        <v>241.72948624722952</v>
      </c>
      <c r="P270" s="141">
        <f t="shared" si="113"/>
        <v>235.29987676280669</v>
      </c>
      <c r="Q270" s="141">
        <f t="shared" si="113"/>
        <v>229.58294732317194</v>
      </c>
      <c r="R270" s="141">
        <f t="shared" si="113"/>
        <v>224.38765427222825</v>
      </c>
      <c r="S270" s="141">
        <f t="shared" si="113"/>
        <v>219.59077053465697</v>
      </c>
      <c r="T270" s="141">
        <f t="shared" si="113"/>
        <v>215.10815752850186</v>
      </c>
      <c r="U270" s="141">
        <f t="shared" si="113"/>
        <v>210.87980262778902</v>
      </c>
      <c r="V270" s="141">
        <f t="shared" si="113"/>
        <v>206.86139472903406</v>
      </c>
      <c r="W270" s="141">
        <f t="shared" si="113"/>
        <v>203.01928349176325</v>
      </c>
      <c r="X270" s="141">
        <f t="shared" si="113"/>
        <v>201.14446528939982</v>
      </c>
      <c r="Y270" s="141">
        <f t="shared" si="113"/>
        <v>199.3990513003522</v>
      </c>
      <c r="Z270" s="141">
        <f t="shared" si="113"/>
        <v>197.76632555350068</v>
      </c>
      <c r="AA270" s="141">
        <f t="shared" si="113"/>
        <v>196.23261546550785</v>
      </c>
      <c r="AB270" s="141">
        <f t="shared" si="113"/>
        <v>194.78659513097389</v>
      </c>
      <c r="AC270" s="141">
        <f t="shared" si="113"/>
        <v>193.41877723442613</v>
      </c>
      <c r="AD270" s="141">
        <f t="shared" si="113"/>
        <v>192.12113543986331</v>
      </c>
      <c r="AE270" s="141">
        <f t="shared" si="113"/>
        <v>190.88681900638417</v>
      </c>
      <c r="AF270" s="141">
        <f t="shared" si="113"/>
        <v>189.70993385419547</v>
      </c>
      <c r="AG270" s="141">
        <f t="shared" si="113"/>
        <v>188.58537233708816</v>
      </c>
      <c r="AH270" s="141">
        <f t="shared" si="113"/>
        <v>187.508679270485</v>
      </c>
      <c r="AI270" s="141">
        <f t="shared" si="113"/>
        <v>186.47594532622594</v>
      </c>
      <c r="AJ270" s="141">
        <f t="shared" si="113"/>
        <v>185.48372134825874</v>
      </c>
      <c r="AK270" s="141">
        <f t="shared" si="113"/>
        <v>184.52894884795828</v>
      </c>
      <c r="AL270" s="141">
        <f t="shared" si="113"/>
        <v>183.60890314589531</v>
      </c>
      <c r="AM270" s="141">
        <f t="shared" si="113"/>
        <v>182.72114649549528</v>
      </c>
      <c r="AN270" s="141">
        <f t="shared" si="113"/>
        <v>181.86348915684766</v>
      </c>
      <c r="AO270" s="141">
        <f t="shared" si="113"/>
        <v>181.03395685560889</v>
      </c>
      <c r="AP270" s="141">
        <f t="shared" si="113"/>
        <v>180.23076340999614</v>
      </c>
      <c r="AQ270" s="141">
        <f t="shared" si="113"/>
        <v>179.45228757117985</v>
      </c>
    </row>
    <row r="271" spans="7:43" ht="14.1" hidden="1" customHeight="1" thickTop="1" x14ac:dyDescent="0.25">
      <c r="G271" s="106"/>
      <c r="H271" s="218"/>
      <c r="J271" s="210"/>
      <c r="K271" s="119" t="s">
        <v>98</v>
      </c>
      <c r="L271" s="142">
        <f t="shared" ref="L271:AQ271" si="114">(L315+L492)*($N$43-1)</f>
        <v>248.8592807150925</v>
      </c>
      <c r="M271" s="142">
        <f t="shared" si="114"/>
        <v>229.01744484956924</v>
      </c>
      <c r="N271" s="142">
        <f t="shared" si="114"/>
        <v>214.25269089447448</v>
      </c>
      <c r="O271" s="142">
        <f t="shared" si="114"/>
        <v>202.26989408938303</v>
      </c>
      <c r="P271" s="142">
        <f t="shared" si="114"/>
        <v>192.04674466280753</v>
      </c>
      <c r="Q271" s="142">
        <f t="shared" si="114"/>
        <v>183.03791144952595</v>
      </c>
      <c r="R271" s="142">
        <f t="shared" si="114"/>
        <v>174.91788034156914</v>
      </c>
      <c r="S271" s="142">
        <f t="shared" si="114"/>
        <v>167.47668806499698</v>
      </c>
      <c r="T271" s="142">
        <f t="shared" si="114"/>
        <v>160.57097317033407</v>
      </c>
      <c r="U271" s="142">
        <f t="shared" si="114"/>
        <v>154.09848177064387</v>
      </c>
      <c r="V271" s="142">
        <f t="shared" si="114"/>
        <v>147.98371337761495</v>
      </c>
      <c r="W271" s="142">
        <f t="shared" si="114"/>
        <v>142.16933208810505</v>
      </c>
      <c r="X271" s="142">
        <f t="shared" si="114"/>
        <v>138.97488016433337</v>
      </c>
      <c r="Y271" s="142">
        <f t="shared" si="114"/>
        <v>136.00091657252355</v>
      </c>
      <c r="Z271" s="142">
        <f t="shared" si="114"/>
        <v>133.21895942252021</v>
      </c>
      <c r="AA271" s="142">
        <f t="shared" si="114"/>
        <v>130.60571237012849</v>
      </c>
      <c r="AB271" s="142">
        <f t="shared" si="114"/>
        <v>128.14187751209164</v>
      </c>
      <c r="AC271" s="142">
        <f t="shared" si="114"/>
        <v>125.81128966870064</v>
      </c>
      <c r="AD271" s="142">
        <f t="shared" si="114"/>
        <v>123.60027298357238</v>
      </c>
      <c r="AE271" s="142">
        <f t="shared" si="114"/>
        <v>121.49715466495367</v>
      </c>
      <c r="AF271" s="142">
        <f t="shared" si="114"/>
        <v>119.49189195002576</v>
      </c>
      <c r="AG271" s="142">
        <f t="shared" si="114"/>
        <v>117.5757820588403</v>
      </c>
      <c r="AH271" s="142">
        <f t="shared" si="114"/>
        <v>115.74123392314048</v>
      </c>
      <c r="AI271" s="142">
        <f t="shared" si="114"/>
        <v>113.98158654462459</v>
      </c>
      <c r="AJ271" s="142">
        <f t="shared" si="114"/>
        <v>112.29096299977422</v>
      </c>
      <c r="AK271" s="142">
        <f t="shared" si="114"/>
        <v>110.66415201271195</v>
      </c>
      <c r="AL271" s="142">
        <f t="shared" si="114"/>
        <v>109.0965110760025</v>
      </c>
      <c r="AM271" s="142">
        <f t="shared" si="114"/>
        <v>107.5838865793252</v>
      </c>
      <c r="AN271" s="142">
        <f t="shared" si="114"/>
        <v>106.12254748419268</v>
      </c>
      <c r="AO271" s="142">
        <f t="shared" si="114"/>
        <v>104.70912987805761</v>
      </c>
      <c r="AP271" s="142">
        <f t="shared" si="114"/>
        <v>103.34059033418936</v>
      </c>
      <c r="AQ271" s="142">
        <f t="shared" si="114"/>
        <v>102.01416645064606</v>
      </c>
    </row>
    <row r="272" spans="7:43" ht="14.1" hidden="1" customHeight="1" x14ac:dyDescent="0.25">
      <c r="G272" s="106"/>
      <c r="H272" s="218"/>
      <c r="J272" s="210"/>
      <c r="K272" s="7" t="s">
        <v>99</v>
      </c>
      <c r="L272" s="143">
        <f t="shared" ref="L272:AQ272" si="115">(L316+L493)*($N$43-1)</f>
        <v>258.26662864914289</v>
      </c>
      <c r="M272" s="143">
        <f t="shared" si="115"/>
        <v>240.41667437087852</v>
      </c>
      <c r="N272" s="143">
        <f t="shared" si="115"/>
        <v>227.0771987291771</v>
      </c>
      <c r="O272" s="143">
        <f t="shared" si="115"/>
        <v>216.20921330849308</v>
      </c>
      <c r="P272" s="143">
        <f t="shared" si="115"/>
        <v>206.90449829563372</v>
      </c>
      <c r="Q272" s="143">
        <f t="shared" si="115"/>
        <v>198.67858158359428</v>
      </c>
      <c r="R272" s="143">
        <f t="shared" si="115"/>
        <v>191.24227649865216</v>
      </c>
      <c r="S272" s="143">
        <f t="shared" si="115"/>
        <v>184.40905170681017</v>
      </c>
      <c r="T272" s="143">
        <f t="shared" si="115"/>
        <v>178.05154492268807</v>
      </c>
      <c r="U272" s="143">
        <f t="shared" si="115"/>
        <v>172.07891381191627</v>
      </c>
      <c r="V272" s="143">
        <f t="shared" si="115"/>
        <v>166.42408375454966</v>
      </c>
      <c r="W272" s="143">
        <f t="shared" si="115"/>
        <v>161.036117544767</v>
      </c>
      <c r="X272" s="143">
        <f t="shared" si="115"/>
        <v>158.19816704251025</v>
      </c>
      <c r="Y272" s="143">
        <f t="shared" si="115"/>
        <v>155.55609833386461</v>
      </c>
      <c r="Z272" s="143">
        <f t="shared" si="115"/>
        <v>153.0846081128482</v>
      </c>
      <c r="AA272" s="143">
        <f t="shared" si="115"/>
        <v>150.76299991155784</v>
      </c>
      <c r="AB272" s="143">
        <f t="shared" si="115"/>
        <v>148.57412947628529</v>
      </c>
      <c r="AC272" s="143">
        <f t="shared" si="115"/>
        <v>146.50363566434655</v>
      </c>
      <c r="AD272" s="143">
        <f t="shared" si="115"/>
        <v>144.53936884744323</v>
      </c>
      <c r="AE272" s="143">
        <f t="shared" si="115"/>
        <v>142.6709589195259</v>
      </c>
      <c r="AF272" s="143">
        <f t="shared" si="115"/>
        <v>140.88948389195147</v>
      </c>
      <c r="AG272" s="143">
        <f t="shared" si="115"/>
        <v>139.18721221661244</v>
      </c>
      <c r="AH272" s="143">
        <f t="shared" si="115"/>
        <v>137.55739998986391</v>
      </c>
      <c r="AI272" s="143">
        <f t="shared" si="115"/>
        <v>135.99412958203823</v>
      </c>
      <c r="AJ272" s="143">
        <f t="shared" si="115"/>
        <v>134.49217993536132</v>
      </c>
      <c r="AK272" s="143">
        <f t="shared" si="115"/>
        <v>133.046921353301</v>
      </c>
      <c r="AL272" s="143">
        <f t="shared" si="115"/>
        <v>131.65422943310452</v>
      </c>
      <c r="AM272" s="143">
        <f t="shared" si="115"/>
        <v>130.31041410812611</v>
      </c>
      <c r="AN272" s="143">
        <f t="shared" si="115"/>
        <v>129.01216072445888</v>
      </c>
      <c r="AO272" s="143">
        <f t="shared" si="115"/>
        <v>127.75648078281387</v>
      </c>
      <c r="AP272" s="143">
        <f t="shared" si="115"/>
        <v>126.54067050344251</v>
      </c>
      <c r="AQ272" s="143">
        <f t="shared" si="115"/>
        <v>125.36227576896719</v>
      </c>
    </row>
    <row r="273" spans="7:43" ht="14.1" hidden="1" customHeight="1" thickBot="1" x14ac:dyDescent="0.3">
      <c r="G273" s="106"/>
      <c r="H273" s="218"/>
      <c r="J273" s="210"/>
      <c r="K273" s="121" t="s">
        <v>100</v>
      </c>
      <c r="L273" s="141">
        <f t="shared" ref="L273:AQ273" si="116">(L317+L494)*($N$43-1)</f>
        <v>273.56494783550505</v>
      </c>
      <c r="M273" s="141">
        <f t="shared" si="116"/>
        <v>261.34708583392944</v>
      </c>
      <c r="N273" s="141">
        <f t="shared" si="116"/>
        <v>252.14425814482252</v>
      </c>
      <c r="O273" s="141">
        <f t="shared" si="116"/>
        <v>244.59350076126782</v>
      </c>
      <c r="P273" s="141">
        <f t="shared" si="116"/>
        <v>238.08771316895732</v>
      </c>
      <c r="Q273" s="141">
        <f t="shared" si="116"/>
        <v>232.30304946510415</v>
      </c>
      <c r="R273" s="141">
        <f t="shared" si="116"/>
        <v>227.04620250555968</v>
      </c>
      <c r="S273" s="141">
        <f t="shared" si="116"/>
        <v>222.19248521880149</v>
      </c>
      <c r="T273" s="141">
        <f t="shared" si="116"/>
        <v>217.65676214771489</v>
      </c>
      <c r="U273" s="141">
        <f t="shared" si="116"/>
        <v>213.37830963584935</v>
      </c>
      <c r="V273" s="141">
        <f t="shared" si="116"/>
        <v>209.3122915811137</v>
      </c>
      <c r="W273" s="141">
        <f t="shared" si="116"/>
        <v>205.42465895330457</v>
      </c>
      <c r="X273" s="141">
        <f t="shared" si="116"/>
        <v>203.52762787726107</v>
      </c>
      <c r="Y273" s="141">
        <f t="shared" si="116"/>
        <v>201.76153419755906</v>
      </c>
      <c r="Z273" s="141">
        <f t="shared" si="116"/>
        <v>200.10946389200674</v>
      </c>
      <c r="AA273" s="141">
        <f t="shared" si="116"/>
        <v>198.55758238429792</v>
      </c>
      <c r="AB273" s="141">
        <f t="shared" si="116"/>
        <v>197.09442957953868</v>
      </c>
      <c r="AC273" s="141">
        <f t="shared" si="116"/>
        <v>195.71040575640291</v>
      </c>
      <c r="AD273" s="141">
        <f t="shared" si="116"/>
        <v>194.39738948274226</v>
      </c>
      <c r="AE273" s="141">
        <f t="shared" si="116"/>
        <v>193.14844884997615</v>
      </c>
      <c r="AF273" s="141">
        <f t="shared" si="116"/>
        <v>191.95761994516729</v>
      </c>
      <c r="AG273" s="141">
        <f t="shared" si="116"/>
        <v>190.81973460663909</v>
      </c>
      <c r="AH273" s="141">
        <f t="shared" si="116"/>
        <v>189.7302848647218</v>
      </c>
      <c r="AI273" s="141">
        <f t="shared" si="116"/>
        <v>188.68531507347771</v>
      </c>
      <c r="AJ273" s="141">
        <f t="shared" si="116"/>
        <v>187.68133521120282</v>
      </c>
      <c r="AK273" s="141">
        <f t="shared" si="116"/>
        <v>186.71525055225374</v>
      </c>
      <c r="AL273" s="141">
        <f t="shared" si="116"/>
        <v>185.78430413515935</v>
      </c>
      <c r="AM273" s="141">
        <f t="shared" si="116"/>
        <v>184.88602933088754</v>
      </c>
      <c r="AN273" s="141">
        <f t="shared" si="116"/>
        <v>184.01821045545728</v>
      </c>
      <c r="AO273" s="141">
        <f t="shared" si="116"/>
        <v>183.17884984329336</v>
      </c>
      <c r="AP273" s="141">
        <f t="shared" si="116"/>
        <v>182.36614014990494</v>
      </c>
      <c r="AQ273" s="141">
        <f t="shared" si="116"/>
        <v>181.5784409178824</v>
      </c>
    </row>
    <row r="274" spans="7:43" ht="14.1" hidden="1" customHeight="1" thickTop="1" x14ac:dyDescent="0.25">
      <c r="G274" s="106"/>
      <c r="H274" s="218"/>
      <c r="J274" s="210"/>
      <c r="K274" s="119" t="s">
        <v>101</v>
      </c>
      <c r="L274" s="142">
        <f t="shared" ref="L274:AQ274" si="117">(L318+L495)*($N$43-1)</f>
        <v>258.78159759783864</v>
      </c>
      <c r="M274" s="142">
        <f t="shared" si="117"/>
        <v>238.14864402745241</v>
      </c>
      <c r="N274" s="142">
        <f t="shared" si="117"/>
        <v>222.7952016898418</v>
      </c>
      <c r="O274" s="142">
        <f t="shared" si="117"/>
        <v>210.33463645795101</v>
      </c>
      <c r="P274" s="142">
        <f t="shared" si="117"/>
        <v>199.70387784815082</v>
      </c>
      <c r="Q274" s="142">
        <f t="shared" si="117"/>
        <v>190.33585169004868</v>
      </c>
      <c r="R274" s="142">
        <f t="shared" si="117"/>
        <v>181.89206523923551</v>
      </c>
      <c r="S274" s="142">
        <f t="shared" si="117"/>
        <v>174.15418373515521</v>
      </c>
      <c r="T274" s="142">
        <f t="shared" si="117"/>
        <v>166.97312973604002</v>
      </c>
      <c r="U274" s="142">
        <f t="shared" si="117"/>
        <v>160.24257237029846</v>
      </c>
      <c r="V274" s="142">
        <f t="shared" si="117"/>
        <v>153.88400085493518</v>
      </c>
      <c r="W274" s="142">
        <f t="shared" si="117"/>
        <v>147.83779323583914</v>
      </c>
      <c r="X274" s="142">
        <f t="shared" si="117"/>
        <v>144.51597469683298</v>
      </c>
      <c r="Y274" s="142">
        <f t="shared" si="117"/>
        <v>141.42343562304438</v>
      </c>
      <c r="Z274" s="142">
        <f t="shared" si="117"/>
        <v>138.53055851732458</v>
      </c>
      <c r="AA274" s="142">
        <f t="shared" si="117"/>
        <v>135.81311818239894</v>
      </c>
      <c r="AB274" s="142">
        <f t="shared" si="117"/>
        <v>133.25104728454895</v>
      </c>
      <c r="AC274" s="142">
        <f t="shared" si="117"/>
        <v>130.82753611903487</v>
      </c>
      <c r="AD274" s="142">
        <f t="shared" si="117"/>
        <v>128.52836355673844</v>
      </c>
      <c r="AE274" s="142">
        <f t="shared" si="117"/>
        <v>126.34139139775147</v>
      </c>
      <c r="AF274" s="142">
        <f t="shared" si="117"/>
        <v>124.2561764623016</v>
      </c>
      <c r="AG274" s="142">
        <f t="shared" si="117"/>
        <v>122.26366898020503</v>
      </c>
      <c r="AH274" s="142">
        <f t="shared" si="117"/>
        <v>120.355975218243</v>
      </c>
      <c r="AI274" s="142">
        <f t="shared" si="117"/>
        <v>118.52616859615235</v>
      </c>
      <c r="AJ274" s="142">
        <f t="shared" si="117"/>
        <v>116.76813787045167</v>
      </c>
      <c r="AK274" s="142">
        <f t="shared" si="117"/>
        <v>115.07646398546741</v>
      </c>
      <c r="AL274" s="142">
        <f t="shared" si="117"/>
        <v>113.44631933144552</v>
      </c>
      <c r="AM274" s="142">
        <f t="shared" si="117"/>
        <v>111.8733846886587</v>
      </c>
      <c r="AN274" s="142">
        <f t="shared" si="117"/>
        <v>110.35378025765692</v>
      </c>
      <c r="AO274" s="142">
        <f t="shared" si="117"/>
        <v>108.88400800268005</v>
      </c>
      <c r="AP274" s="142">
        <f t="shared" si="117"/>
        <v>107.4609031519371</v>
      </c>
      <c r="AQ274" s="142">
        <f t="shared" si="117"/>
        <v>106.08159316322008</v>
      </c>
    </row>
    <row r="275" spans="7:43" ht="14.1" hidden="1" customHeight="1" x14ac:dyDescent="0.25">
      <c r="G275" s="106"/>
      <c r="H275" s="218"/>
      <c r="J275" s="210"/>
      <c r="K275" s="7" t="s">
        <v>102</v>
      </c>
      <c r="L275" s="144">
        <f t="shared" ref="L275:AP275" si="118">(L319+L496)*($N$43-1)</f>
        <v>268.56402773480983</v>
      </c>
      <c r="M275" s="144">
        <f t="shared" si="118"/>
        <v>250.00237445065528</v>
      </c>
      <c r="N275" s="144">
        <f t="shared" si="118"/>
        <v>236.13103797585049</v>
      </c>
      <c r="O275" s="144">
        <f t="shared" si="118"/>
        <v>224.82973299034563</v>
      </c>
      <c r="P275" s="144">
        <f t="shared" si="118"/>
        <v>215.15402787176888</v>
      </c>
      <c r="Q275" s="144">
        <f t="shared" si="118"/>
        <v>206.60013403131614</v>
      </c>
      <c r="R275" s="144">
        <f t="shared" si="118"/>
        <v>198.8673345770359</v>
      </c>
      <c r="S275" s="144">
        <f t="shared" si="118"/>
        <v>191.76166094775911</v>
      </c>
      <c r="T275" s="144">
        <f t="shared" si="118"/>
        <v>185.15067277160287</v>
      </c>
      <c r="U275" s="144">
        <f t="shared" si="118"/>
        <v>178.93990572177935</v>
      </c>
      <c r="V275" s="144">
        <f t="shared" si="118"/>
        <v>173.0596108330991</v>
      </c>
      <c r="W275" s="144">
        <f t="shared" si="118"/>
        <v>167.4568199724801</v>
      </c>
      <c r="X275" s="144">
        <f t="shared" si="118"/>
        <v>164.50571699264634</v>
      </c>
      <c r="Y275" s="144">
        <f t="shared" si="118"/>
        <v>161.75830584759314</v>
      </c>
      <c r="Z275" s="144">
        <f t="shared" si="118"/>
        <v>159.18827435829425</v>
      </c>
      <c r="AA275" s="144">
        <f t="shared" si="118"/>
        <v>156.7741008639411</v>
      </c>
      <c r="AB275" s="144">
        <f t="shared" si="118"/>
        <v>154.49795754894453</v>
      </c>
      <c r="AC275" s="144">
        <f t="shared" si="118"/>
        <v>152.34491067470174</v>
      </c>
      <c r="AD275" s="144">
        <f t="shared" si="118"/>
        <v>150.30232619271646</v>
      </c>
      <c r="AE275" s="144">
        <f t="shared" si="118"/>
        <v>148.35942052841997</v>
      </c>
      <c r="AF275" s="144">
        <f t="shared" si="118"/>
        <v>146.50691596282107</v>
      </c>
      <c r="AG275" s="144">
        <f t="shared" si="118"/>
        <v>144.73677268175086</v>
      </c>
      <c r="AH275" s="144">
        <f t="shared" si="118"/>
        <v>143.04197789406788</v>
      </c>
      <c r="AI275" s="144">
        <f t="shared" si="118"/>
        <v>141.41637802713865</v>
      </c>
      <c r="AJ275" s="144">
        <f t="shared" si="118"/>
        <v>139.85454385337709</v>
      </c>
      <c r="AK275" s="144">
        <f t="shared" si="118"/>
        <v>138.35166108471819</v>
      </c>
      <c r="AL275" s="144">
        <f t="shared" si="118"/>
        <v>136.9034408735433</v>
      </c>
      <c r="AM275" s="144">
        <f t="shared" si="118"/>
        <v>135.50604602584019</v>
      </c>
      <c r="AN275" s="144">
        <f t="shared" si="118"/>
        <v>134.15602972849007</v>
      </c>
      <c r="AO275" s="144">
        <f t="shared" si="118"/>
        <v>132.85028432716635</v>
      </c>
      <c r="AP275" s="144">
        <f t="shared" si="118"/>
        <v>131.58599823919121</v>
      </c>
      <c r="AQ275" s="144">
        <f t="shared" ref="AQ275" si="119">(AQ319+AQ496)*($N$43-1)</f>
        <v>130.36061949859473</v>
      </c>
    </row>
    <row r="276" spans="7:43" ht="14.1" hidden="1" customHeight="1" thickBot="1" x14ac:dyDescent="0.3">
      <c r="G276" s="106"/>
      <c r="H276" s="218"/>
      <c r="J276" s="210"/>
      <c r="K276" s="121" t="s">
        <v>103</v>
      </c>
      <c r="L276" s="141">
        <f t="shared" ref="L276:AP276" si="120">(L320+L497)*($N$43-1)</f>
        <v>284.47230918701268</v>
      </c>
      <c r="M276" s="141">
        <f t="shared" si="120"/>
        <v>271.76730642837578</v>
      </c>
      <c r="N276" s="141">
        <f t="shared" si="120"/>
        <v>262.19755100289404</v>
      </c>
      <c r="O276" s="141">
        <f t="shared" si="120"/>
        <v>254.34573590009714</v>
      </c>
      <c r="P276" s="141">
        <f t="shared" si="120"/>
        <v>247.58055478275006</v>
      </c>
      <c r="Q276" s="141">
        <f t="shared" si="120"/>
        <v>241.56524962496027</v>
      </c>
      <c r="R276" s="141">
        <f t="shared" si="120"/>
        <v>236.09880589576022</v>
      </c>
      <c r="S276" s="141">
        <f t="shared" si="120"/>
        <v>231.05156510109791</v>
      </c>
      <c r="T276" s="141">
        <f t="shared" si="120"/>
        <v>226.33499733145564</v>
      </c>
      <c r="U276" s="141">
        <f t="shared" si="120"/>
        <v>221.88595780564179</v>
      </c>
      <c r="V276" s="141">
        <f t="shared" si="120"/>
        <v>217.65782275260042</v>
      </c>
      <c r="W276" s="141">
        <f t="shared" si="120"/>
        <v>213.61518556660894</v>
      </c>
      <c r="X276" s="141">
        <f t="shared" si="120"/>
        <v>211.64251759481118</v>
      </c>
      <c r="Y276" s="141">
        <f t="shared" si="120"/>
        <v>209.80600764980349</v>
      </c>
      <c r="Z276" s="141">
        <f t="shared" si="120"/>
        <v>208.08806732711875</v>
      </c>
      <c r="AA276" s="141">
        <f t="shared" si="120"/>
        <v>206.47431044936258</v>
      </c>
      <c r="AB276" s="141">
        <f t="shared" si="120"/>
        <v>204.95281999396406</v>
      </c>
      <c r="AC276" s="141">
        <f t="shared" si="120"/>
        <v>203.51361348723711</v>
      </c>
      <c r="AD276" s="141">
        <f t="shared" si="120"/>
        <v>202.14824568582941</v>
      </c>
      <c r="AE276" s="141">
        <f t="shared" si="120"/>
        <v>200.84950829768243</v>
      </c>
      <c r="AF276" s="141">
        <f t="shared" si="120"/>
        <v>199.61119962152367</v>
      </c>
      <c r="AG276" s="141">
        <f t="shared" si="120"/>
        <v>198.42794543489518</v>
      </c>
      <c r="AH276" s="141">
        <f t="shared" si="120"/>
        <v>197.29505802998995</v>
      </c>
      <c r="AI276" s="141">
        <f t="shared" si="120"/>
        <v>196.20842404454007</v>
      </c>
      <c r="AJ276" s="141">
        <f t="shared" si="120"/>
        <v>195.16441430550606</v>
      </c>
      <c r="AK276" s="141">
        <f t="shared" si="120"/>
        <v>194.15981069683528</v>
      </c>
      <c r="AL276" s="141">
        <f t="shared" si="120"/>
        <v>193.19174633370838</v>
      </c>
      <c r="AM276" s="141">
        <f t="shared" si="120"/>
        <v>192.25765623964648</v>
      </c>
      <c r="AN276" s="141">
        <f t="shared" si="120"/>
        <v>191.3552363887006</v>
      </c>
      <c r="AO276" s="141">
        <f t="shared" si="120"/>
        <v>190.48240946598222</v>
      </c>
      <c r="AP276" s="141">
        <f t="shared" si="120"/>
        <v>189.63729606601586</v>
      </c>
      <c r="AQ276" s="141">
        <f t="shared" ref="AQ276:AQ282" si="121">(AQ320+AQ497)*($N$43-1)</f>
        <v>188.81819032439495</v>
      </c>
    </row>
    <row r="277" spans="7:43" ht="14.1" hidden="1" customHeight="1" thickTop="1" x14ac:dyDescent="0.25">
      <c r="G277" s="106"/>
      <c r="H277" s="218"/>
      <c r="J277" s="210"/>
      <c r="K277" s="119" t="s">
        <v>104</v>
      </c>
      <c r="L277" s="142">
        <f t="shared" ref="L277:AP277" si="122">(L321+L498)*($N$43-1)</f>
        <v>268.71922028463956</v>
      </c>
      <c r="M277" s="142">
        <f t="shared" si="122"/>
        <v>247.2939286600791</v>
      </c>
      <c r="N277" s="142">
        <f t="shared" si="122"/>
        <v>231.3508898507292</v>
      </c>
      <c r="O277" s="142">
        <f t="shared" si="122"/>
        <v>218.41181920389295</v>
      </c>
      <c r="P277" s="142">
        <f t="shared" si="122"/>
        <v>207.37282264781183</v>
      </c>
      <c r="Q277" s="142">
        <f t="shared" si="122"/>
        <v>197.64504946695578</v>
      </c>
      <c r="R277" s="142">
        <f t="shared" si="122"/>
        <v>188.87700826010507</v>
      </c>
      <c r="S277" s="142">
        <f t="shared" si="122"/>
        <v>180.8419798665376</v>
      </c>
      <c r="T277" s="142">
        <f t="shared" si="122"/>
        <v>173.38516203491196</v>
      </c>
      <c r="U277" s="142">
        <f t="shared" si="122"/>
        <v>166.39614061997418</v>
      </c>
      <c r="V277" s="142">
        <f t="shared" si="122"/>
        <v>159.79338990047395</v>
      </c>
      <c r="W277" s="142">
        <f t="shared" si="122"/>
        <v>153.51499834495283</v>
      </c>
      <c r="X277" s="142">
        <f t="shared" si="122"/>
        <v>150.06561671961794</v>
      </c>
      <c r="Y277" s="142">
        <f t="shared" si="122"/>
        <v>146.8543192536377</v>
      </c>
      <c r="Z277" s="142">
        <f t="shared" si="122"/>
        <v>143.85035109112411</v>
      </c>
      <c r="AA277" s="142">
        <f t="shared" si="122"/>
        <v>141.0285567489079</v>
      </c>
      <c r="AB277" s="142">
        <f t="shared" si="122"/>
        <v>138.36809827591347</v>
      </c>
      <c r="AC277" s="142">
        <f t="shared" si="122"/>
        <v>135.85152044814947</v>
      </c>
      <c r="AD277" s="142">
        <f t="shared" si="122"/>
        <v>133.46405602264471</v>
      </c>
      <c r="AE277" s="142">
        <f t="shared" si="122"/>
        <v>131.19310067341431</v>
      </c>
      <c r="AF277" s="142">
        <f t="shared" si="122"/>
        <v>129.02781018606376</v>
      </c>
      <c r="AG277" s="142">
        <f t="shared" si="122"/>
        <v>126.95878726491937</v>
      </c>
      <c r="AH277" s="142">
        <f t="shared" si="122"/>
        <v>124.97783504492044</v>
      </c>
      <c r="AI277" s="142">
        <f t="shared" si="122"/>
        <v>123.07776095416533</v>
      </c>
      <c r="AJ277" s="142">
        <f t="shared" si="122"/>
        <v>121.2522190677562</v>
      </c>
      <c r="AK277" s="142">
        <f t="shared" si="122"/>
        <v>119.49558222970984</v>
      </c>
      <c r="AL277" s="142">
        <f t="shared" si="122"/>
        <v>117.80283744242131</v>
      </c>
      <c r="AM277" s="142">
        <f t="shared" si="122"/>
        <v>116.16949962129372</v>
      </c>
      <c r="AN277" s="142">
        <f t="shared" si="122"/>
        <v>114.59153997644108</v>
      </c>
      <c r="AO277" s="142">
        <f t="shared" si="122"/>
        <v>113.06532614199692</v>
      </c>
      <c r="AP277" s="142">
        <f t="shared" si="122"/>
        <v>111.58757181392747</v>
      </c>
      <c r="AQ277" s="142">
        <f t="shared" si="121"/>
        <v>110.15529413986016</v>
      </c>
    </row>
    <row r="278" spans="7:43" ht="14.1" hidden="1" customHeight="1" x14ac:dyDescent="0.25">
      <c r="G278" s="106"/>
      <c r="H278" s="218"/>
      <c r="J278" s="210"/>
      <c r="K278" s="7" t="s">
        <v>105</v>
      </c>
      <c r="L278" s="140">
        <f t="shared" ref="L278:AP278" si="123">(L322+L499)*($N$43-1)</f>
        <v>278.8773112126546</v>
      </c>
      <c r="M278" s="140">
        <f t="shared" si="123"/>
        <v>259.6028610816864</v>
      </c>
      <c r="N278" s="140">
        <f t="shared" si="123"/>
        <v>245.19884334465948</v>
      </c>
      <c r="O278" s="140">
        <f t="shared" si="123"/>
        <v>233.46355037138071</v>
      </c>
      <c r="P278" s="140">
        <f t="shared" si="123"/>
        <v>223.41628287128336</v>
      </c>
      <c r="Q278" s="140">
        <f t="shared" si="123"/>
        <v>214.53390597686374</v>
      </c>
      <c r="R278" s="140">
        <f t="shared" si="123"/>
        <v>206.50415479184738</v>
      </c>
      <c r="S278" s="140">
        <f t="shared" si="123"/>
        <v>199.1256120554981</v>
      </c>
      <c r="T278" s="140">
        <f t="shared" si="123"/>
        <v>192.26075147615947</v>
      </c>
      <c r="U278" s="140">
        <f t="shared" si="123"/>
        <v>185.81148114747191</v>
      </c>
      <c r="V278" s="140">
        <f t="shared" si="123"/>
        <v>179.7053736336542</v>
      </c>
      <c r="W278" s="140">
        <f t="shared" si="123"/>
        <v>173.8874267415294</v>
      </c>
      <c r="X278" s="140">
        <f t="shared" si="123"/>
        <v>170.82299673923458</v>
      </c>
      <c r="Y278" s="140">
        <f t="shared" si="123"/>
        <v>167.97008066037426</v>
      </c>
      <c r="Z278" s="140">
        <f t="shared" si="123"/>
        <v>165.30135589662726</v>
      </c>
      <c r="AA278" s="140">
        <f t="shared" si="123"/>
        <v>162.79447432136706</v>
      </c>
      <c r="AB278" s="140">
        <f t="shared" si="123"/>
        <v>160.430923502686</v>
      </c>
      <c r="AC278" s="140">
        <f t="shared" si="123"/>
        <v>158.19519622279674</v>
      </c>
      <c r="AD278" s="140">
        <f t="shared" si="123"/>
        <v>156.0741732657564</v>
      </c>
      <c r="AE278" s="140">
        <f t="shared" si="123"/>
        <v>154.05665695067543</v>
      </c>
      <c r="AF278" s="140">
        <f t="shared" si="123"/>
        <v>152.13301327947786</v>
      </c>
      <c r="AG278" s="140">
        <f t="shared" si="123"/>
        <v>150.29489369641351</v>
      </c>
      <c r="AH278" s="140">
        <f t="shared" si="123"/>
        <v>148.53501610806811</v>
      </c>
      <c r="AI278" s="140">
        <f t="shared" si="123"/>
        <v>146.84699063488554</v>
      </c>
      <c r="AJ278" s="140">
        <f t="shared" si="123"/>
        <v>145.22517955835241</v>
      </c>
      <c r="AK278" s="140">
        <f t="shared" si="123"/>
        <v>143.66458371412685</v>
      </c>
      <c r="AL278" s="140">
        <f t="shared" si="123"/>
        <v>142.16074955605757</v>
      </c>
      <c r="AM278" s="140">
        <f t="shared" si="123"/>
        <v>140.70969253581256</v>
      </c>
      <c r="AN278" s="140">
        <f t="shared" si="123"/>
        <v>139.30783347719725</v>
      </c>
      <c r="AO278" s="140">
        <f t="shared" si="123"/>
        <v>137.95194538704314</v>
      </c>
      <c r="AP278" s="140">
        <f t="shared" si="123"/>
        <v>136.63910871345024</v>
      </c>
      <c r="AQ278" s="140">
        <f t="shared" si="121"/>
        <v>135.36667349091877</v>
      </c>
    </row>
    <row r="279" spans="7:43" ht="14.1" hidden="1" customHeight="1" thickBot="1" x14ac:dyDescent="0.3">
      <c r="G279" s="106"/>
      <c r="H279" s="218"/>
      <c r="J279" s="210"/>
      <c r="K279" s="121" t="s">
        <v>106</v>
      </c>
      <c r="L279" s="141">
        <f t="shared" ref="L279:AP279" si="124">(L323+L500)*($N$43-1)</f>
        <v>295.39649583623799</v>
      </c>
      <c r="M279" s="141">
        <f t="shared" si="124"/>
        <v>282.20360087497886</v>
      </c>
      <c r="N279" s="141">
        <f t="shared" si="124"/>
        <v>272.26635170378194</v>
      </c>
      <c r="O279" s="141">
        <f t="shared" si="124"/>
        <v>264.11301448108765</v>
      </c>
      <c r="P279" s="141">
        <f t="shared" si="124"/>
        <v>257.08803970771504</v>
      </c>
      <c r="Q279" s="141">
        <f t="shared" si="124"/>
        <v>250.84173731689569</v>
      </c>
      <c r="R279" s="141">
        <f t="shared" si="124"/>
        <v>245.16537350170927</v>
      </c>
      <c r="S279" s="141">
        <f t="shared" si="124"/>
        <v>239.92431067683935</v>
      </c>
      <c r="T279" s="141">
        <f t="shared" si="124"/>
        <v>235.02661924420664</v>
      </c>
      <c r="U279" s="141">
        <f t="shared" si="124"/>
        <v>230.40672956313986</v>
      </c>
      <c r="V279" s="141">
        <f t="shared" si="124"/>
        <v>226.01622743602522</v>
      </c>
      <c r="W279" s="141">
        <f t="shared" si="124"/>
        <v>221.81834658747451</v>
      </c>
      <c r="X279" s="141">
        <f t="shared" si="124"/>
        <v>219.76992504520641</v>
      </c>
      <c r="Y279" s="141">
        <f t="shared" si="124"/>
        <v>217.86289021333096</v>
      </c>
      <c r="Z279" s="141">
        <f t="shared" si="124"/>
        <v>216.07897826482829</v>
      </c>
      <c r="AA279" s="141">
        <f t="shared" si="124"/>
        <v>214.40325057033621</v>
      </c>
      <c r="AB279" s="141">
        <f t="shared" si="124"/>
        <v>212.82333247476666</v>
      </c>
      <c r="AC279" s="141">
        <f t="shared" si="124"/>
        <v>211.32885816165401</v>
      </c>
      <c r="AD279" s="141">
        <f t="shared" si="124"/>
        <v>209.91105807694231</v>
      </c>
      <c r="AE279" s="141">
        <f t="shared" si="124"/>
        <v>208.56244711875618</v>
      </c>
      <c r="AF279" s="141">
        <f t="shared" si="124"/>
        <v>207.27658543068432</v>
      </c>
      <c r="AG279" s="141">
        <f t="shared" si="124"/>
        <v>206.04789241162558</v>
      </c>
      <c r="AH279" s="141">
        <f t="shared" si="124"/>
        <v>204.87150033837801</v>
      </c>
      <c r="AI279" s="141">
        <f t="shared" si="124"/>
        <v>203.7431378890563</v>
      </c>
      <c r="AJ279" s="141">
        <f t="shared" si="124"/>
        <v>202.65903652463564</v>
      </c>
      <c r="AK279" s="141">
        <f t="shared" si="124"/>
        <v>201.61585454831643</v>
      </c>
      <c r="AL279" s="141">
        <f t="shared" si="124"/>
        <v>200.61061498236754</v>
      </c>
      <c r="AM279" s="141">
        <f t="shared" si="124"/>
        <v>199.64065435115612</v>
      </c>
      <c r="AN279" s="141">
        <f t="shared" si="124"/>
        <v>198.70358015049206</v>
      </c>
      <c r="AO279" s="141">
        <f t="shared" si="124"/>
        <v>197.79723529330931</v>
      </c>
      <c r="AP279" s="141">
        <f t="shared" si="124"/>
        <v>196.9196682019894</v>
      </c>
      <c r="AQ279" s="141">
        <f t="shared" si="121"/>
        <v>196.06910750423413</v>
      </c>
    </row>
    <row r="280" spans="7:43" ht="14.1" hidden="1" customHeight="1" thickTop="1" x14ac:dyDescent="0.25">
      <c r="G280" s="106"/>
      <c r="H280" s="218"/>
      <c r="J280" s="210"/>
      <c r="K280" s="119" t="s">
        <v>107</v>
      </c>
      <c r="L280" s="142">
        <f t="shared" ref="L280:AP280" si="125">(L324+L501)*($N$43-1)</f>
        <v>281.97375553830562</v>
      </c>
      <c r="M280" s="142">
        <f t="shared" si="125"/>
        <v>259.4916646164823</v>
      </c>
      <c r="N280" s="142">
        <f t="shared" si="125"/>
        <v>242.76223780807064</v>
      </c>
      <c r="O280" s="142">
        <f t="shared" si="125"/>
        <v>229.18494944142813</v>
      </c>
      <c r="P280" s="142">
        <f t="shared" si="125"/>
        <v>217.60145603520473</v>
      </c>
      <c r="Q280" s="142">
        <f t="shared" si="125"/>
        <v>207.39386190060841</v>
      </c>
      <c r="R280" s="142">
        <f t="shared" si="125"/>
        <v>198.19333837575044</v>
      </c>
      <c r="S280" s="142">
        <f t="shared" si="125"/>
        <v>189.76198341129631</v>
      </c>
      <c r="T280" s="142">
        <f t="shared" si="125"/>
        <v>181.93735915806542</v>
      </c>
      <c r="U280" s="142">
        <f t="shared" si="125"/>
        <v>174.6036053096426</v>
      </c>
      <c r="V280" s="142">
        <f t="shared" si="125"/>
        <v>167.67517490079945</v>
      </c>
      <c r="W280" s="142">
        <f t="shared" si="125"/>
        <v>161.08710262307014</v>
      </c>
      <c r="X280" s="142">
        <f t="shared" si="125"/>
        <v>157.46758076620313</v>
      </c>
      <c r="Y280" s="142">
        <f t="shared" si="125"/>
        <v>154.097886534157</v>
      </c>
      <c r="Z280" s="142">
        <f t="shared" si="125"/>
        <v>150.94574809238776</v>
      </c>
      <c r="AA280" s="142">
        <f t="shared" si="125"/>
        <v>147.9847691672903</v>
      </c>
      <c r="AB280" s="142">
        <f t="shared" si="125"/>
        <v>145.19308397897615</v>
      </c>
      <c r="AC280" s="142">
        <f t="shared" si="125"/>
        <v>142.55237632714764</v>
      </c>
      <c r="AD280" s="142">
        <f t="shared" si="125"/>
        <v>140.04715057678786</v>
      </c>
      <c r="AE280" s="142">
        <f t="shared" si="125"/>
        <v>137.66418069542243</v>
      </c>
      <c r="AF280" s="142">
        <f t="shared" si="125"/>
        <v>135.39208757940762</v>
      </c>
      <c r="AG280" s="142">
        <f t="shared" si="125"/>
        <v>133.22101041286942</v>
      </c>
      <c r="AH280" s="142">
        <f t="shared" si="125"/>
        <v>131.14234802160701</v>
      </c>
      <c r="AI280" s="142">
        <f t="shared" si="125"/>
        <v>129.14855306118795</v>
      </c>
      <c r="AJ280" s="142">
        <f t="shared" si="125"/>
        <v>127.23296659492026</v>
      </c>
      <c r="AK280" s="142">
        <f t="shared" si="125"/>
        <v>125.38968390819547</v>
      </c>
      <c r="AL280" s="142">
        <f t="shared" si="125"/>
        <v>123.6134447380533</v>
      </c>
      <c r="AM280" s="142">
        <f t="shared" si="125"/>
        <v>121.89954277377154</v>
      </c>
      <c r="AN280" s="142">
        <f t="shared" si="125"/>
        <v>120.24375050600713</v>
      </c>
      <c r="AO280" s="142">
        <f t="shared" si="125"/>
        <v>118.64225640299176</v>
      </c>
      <c r="AP280" s="142">
        <f t="shared" si="125"/>
        <v>117.09161206423789</v>
      </c>
      <c r="AQ280" s="142">
        <f t="shared" si="121"/>
        <v>115.58868750862689</v>
      </c>
    </row>
    <row r="281" spans="7:43" ht="14.1" hidden="1" customHeight="1" x14ac:dyDescent="0.25">
      <c r="G281" s="106"/>
      <c r="H281" s="218"/>
      <c r="J281" s="210"/>
      <c r="K281" s="7" t="s">
        <v>108</v>
      </c>
      <c r="L281" s="140">
        <f t="shared" ref="L281:AP281" si="126">(L325+L502)*($N$43-1)</f>
        <v>292.63289277842551</v>
      </c>
      <c r="M281" s="140">
        <f t="shared" si="126"/>
        <v>272.40773328440793</v>
      </c>
      <c r="N281" s="140">
        <f t="shared" si="126"/>
        <v>257.29323953197866</v>
      </c>
      <c r="O281" s="140">
        <f t="shared" si="126"/>
        <v>244.97910499216937</v>
      </c>
      <c r="P281" s="140">
        <f t="shared" si="126"/>
        <v>234.43625752893431</v>
      </c>
      <c r="Q281" s="140">
        <f t="shared" si="126"/>
        <v>225.11575872585948</v>
      </c>
      <c r="R281" s="140">
        <f t="shared" si="126"/>
        <v>216.68994126747705</v>
      </c>
      <c r="S281" s="140">
        <f t="shared" si="126"/>
        <v>208.94745301686194</v>
      </c>
      <c r="T281" s="140">
        <f t="shared" si="126"/>
        <v>201.74398421863981</v>
      </c>
      <c r="U281" s="140">
        <f t="shared" si="126"/>
        <v>194.97660459787605</v>
      </c>
      <c r="V281" s="140">
        <f t="shared" si="126"/>
        <v>188.56931424637801</v>
      </c>
      <c r="W281" s="140">
        <f t="shared" si="126"/>
        <v>182.46439799603635</v>
      </c>
      <c r="X281" s="140">
        <f t="shared" si="126"/>
        <v>179.24881544330324</v>
      </c>
      <c r="Y281" s="140">
        <f t="shared" si="126"/>
        <v>176.25517970656753</v>
      </c>
      <c r="Z281" s="140">
        <f t="shared" si="126"/>
        <v>173.45482049394874</v>
      </c>
      <c r="AA281" s="140">
        <f t="shared" si="126"/>
        <v>170.82428736082508</v>
      </c>
      <c r="AB281" s="140">
        <f t="shared" si="126"/>
        <v>168.34415475236042</v>
      </c>
      <c r="AC281" s="140">
        <f t="shared" si="126"/>
        <v>165.9981505595749</v>
      </c>
      <c r="AD281" s="140">
        <f t="shared" si="126"/>
        <v>163.77250846316616</v>
      </c>
      <c r="AE281" s="140">
        <f t="shared" si="126"/>
        <v>161.65547845831352</v>
      </c>
      <c r="AF281" s="140">
        <f t="shared" si="126"/>
        <v>159.63695135143033</v>
      </c>
      <c r="AG281" s="140">
        <f t="shared" si="126"/>
        <v>157.70816679550552</v>
      </c>
      <c r="AH281" s="140">
        <f t="shared" si="126"/>
        <v>155.86148350895905</v>
      </c>
      <c r="AI281" s="140">
        <f t="shared" si="126"/>
        <v>154.09019643238358</v>
      </c>
      <c r="AJ281" s="140">
        <f t="shared" si="126"/>
        <v>152.38838976764535</v>
      </c>
      <c r="AK281" s="140">
        <f t="shared" si="126"/>
        <v>150.75081776737068</v>
      </c>
      <c r="AL281" s="140">
        <f t="shared" si="126"/>
        <v>149.17280721491221</v>
      </c>
      <c r="AM281" s="140">
        <f t="shared" si="126"/>
        <v>147.65017702468873</v>
      </c>
      <c r="AN281" s="140">
        <f t="shared" si="126"/>
        <v>146.17917147817647</v>
      </c>
      <c r="AO281" s="140">
        <f t="shared" si="126"/>
        <v>144.7564044112527</v>
      </c>
      <c r="AP281" s="140">
        <f t="shared" si="126"/>
        <v>143.37881226555771</v>
      </c>
      <c r="AQ281" s="140">
        <f t="shared" si="121"/>
        <v>142.04361436644066</v>
      </c>
    </row>
    <row r="282" spans="7:43" ht="14.1" hidden="1" customHeight="1" thickBot="1" x14ac:dyDescent="0.3">
      <c r="G282" s="106"/>
      <c r="H282" s="218"/>
      <c r="J282" s="210"/>
      <c r="K282" s="121" t="s">
        <v>109</v>
      </c>
      <c r="L282" s="141">
        <f t="shared" ref="L282:AP282" si="127">(L326+L503)*($N$43-1)</f>
        <v>309.96688370698098</v>
      </c>
      <c r="M282" s="141">
        <f t="shared" si="127"/>
        <v>296.12325117966054</v>
      </c>
      <c r="N282" s="141">
        <f t="shared" si="127"/>
        <v>285.6958486829048</v>
      </c>
      <c r="O282" s="141">
        <f t="shared" si="127"/>
        <v>277.14034932406423</v>
      </c>
      <c r="P282" s="141">
        <f t="shared" si="127"/>
        <v>269.76886872319204</v>
      </c>
      <c r="Q282" s="141">
        <f t="shared" si="127"/>
        <v>263.21446840340246</v>
      </c>
      <c r="R282" s="141">
        <f t="shared" si="127"/>
        <v>257.25811879404279</v>
      </c>
      <c r="S282" s="141">
        <f t="shared" si="127"/>
        <v>251.75854133108578</v>
      </c>
      <c r="T282" s="141">
        <f t="shared" si="127"/>
        <v>246.61927200280931</v>
      </c>
      <c r="U282" s="141">
        <f t="shared" si="127"/>
        <v>241.77150695584618</v>
      </c>
      <c r="V282" s="141">
        <f t="shared" si="127"/>
        <v>237.16444396954367</v>
      </c>
      <c r="W282" s="141">
        <f t="shared" si="127"/>
        <v>232.75950327749212</v>
      </c>
      <c r="X282" s="141">
        <f t="shared" si="127"/>
        <v>230.61004364975472</v>
      </c>
      <c r="Y282" s="141">
        <f t="shared" si="127"/>
        <v>228.60894461070311</v>
      </c>
      <c r="Z282" s="141">
        <f t="shared" si="127"/>
        <v>226.73704147278792</v>
      </c>
      <c r="AA282" s="141">
        <f t="shared" si="127"/>
        <v>224.97865876099308</v>
      </c>
      <c r="AB282" s="141">
        <f t="shared" si="127"/>
        <v>223.32081144222383</v>
      </c>
      <c r="AC282" s="141">
        <f t="shared" si="127"/>
        <v>221.75262240767117</v>
      </c>
      <c r="AD282" s="141">
        <f t="shared" si="127"/>
        <v>220.26488954634024</v>
      </c>
      <c r="AE282" s="141">
        <f t="shared" si="127"/>
        <v>218.84975855482776</v>
      </c>
      <c r="AF282" s="141">
        <f t="shared" si="127"/>
        <v>217.50047193177053</v>
      </c>
      <c r="AG282" s="141">
        <f t="shared" si="127"/>
        <v>216.21117381375453</v>
      </c>
      <c r="AH282" s="141">
        <f t="shared" si="127"/>
        <v>214.97675637786091</v>
      </c>
      <c r="AI282" s="141">
        <f t="shared" si="127"/>
        <v>213.79273761989253</v>
      </c>
      <c r="AJ282" s="141">
        <f t="shared" si="127"/>
        <v>212.65516311820224</v>
      </c>
      <c r="AK282" s="141">
        <f t="shared" si="127"/>
        <v>211.56052634729687</v>
      </c>
      <c r="AL282" s="141">
        <f t="shared" si="127"/>
        <v>210.5057034904649</v>
      </c>
      <c r="AM282" s="141">
        <f t="shared" si="127"/>
        <v>209.4878996965372</v>
      </c>
      <c r="AN282" s="141">
        <f t="shared" si="127"/>
        <v>208.50460445141326</v>
      </c>
      <c r="AO282" s="141">
        <f t="shared" si="127"/>
        <v>207.55355427003087</v>
      </c>
      <c r="AP282" s="141">
        <f t="shared" si="127"/>
        <v>206.63270131349802</v>
      </c>
      <c r="AQ282" s="141">
        <f t="shared" si="121"/>
        <v>205.74018683684361</v>
      </c>
    </row>
    <row r="283" spans="7:43" ht="14.1" hidden="1" customHeight="1" thickTop="1" x14ac:dyDescent="0.25">
      <c r="G283" s="106"/>
      <c r="H283" s="218"/>
      <c r="J283" s="210"/>
      <c r="K283" s="119" t="s">
        <v>110</v>
      </c>
      <c r="L283" s="142">
        <f t="shared" ref="L283:AP283" si="128">(L327+L504)*($N$43-1)</f>
        <v>279.97664241781519</v>
      </c>
      <c r="M283" s="142">
        <f t="shared" si="128"/>
        <v>257.65378361555679</v>
      </c>
      <c r="N283" s="142">
        <f t="shared" si="128"/>
        <v>241.04284498954198</v>
      </c>
      <c r="O283" s="142">
        <f t="shared" si="128"/>
        <v>227.56171940473689</v>
      </c>
      <c r="P283" s="142">
        <f t="shared" si="128"/>
        <v>216.06026748715669</v>
      </c>
      <c r="Q283" s="142">
        <f t="shared" si="128"/>
        <v>205.92496986872354</v>
      </c>
      <c r="R283" s="142">
        <f t="shared" si="128"/>
        <v>196.78961016101508</v>
      </c>
      <c r="S283" s="142">
        <f t="shared" si="128"/>
        <v>188.41797128464466</v>
      </c>
      <c r="T283" s="142">
        <f t="shared" si="128"/>
        <v>180.64876587608322</v>
      </c>
      <c r="U283" s="142">
        <f t="shared" si="128"/>
        <v>173.36695422350476</v>
      </c>
      <c r="V283" s="142">
        <f t="shared" si="128"/>
        <v>166.48759525837622</v>
      </c>
      <c r="W283" s="142">
        <f t="shared" si="128"/>
        <v>159.94618379686179</v>
      </c>
      <c r="X283" s="142">
        <f t="shared" si="128"/>
        <v>156.35229763994303</v>
      </c>
      <c r="Y283" s="142">
        <f t="shared" si="128"/>
        <v>153.00646967357116</v>
      </c>
      <c r="Z283" s="142">
        <f t="shared" si="128"/>
        <v>149.87665663236146</v>
      </c>
      <c r="AA283" s="142">
        <f t="shared" si="128"/>
        <v>146.93664919749904</v>
      </c>
      <c r="AB283" s="142">
        <f t="shared" si="128"/>
        <v>144.16473645611782</v>
      </c>
      <c r="AC283" s="142">
        <f t="shared" si="128"/>
        <v>141.54273193461708</v>
      </c>
      <c r="AD283" s="142">
        <f t="shared" si="128"/>
        <v>139.05524974768318</v>
      </c>
      <c r="AE283" s="142">
        <f t="shared" si="128"/>
        <v>136.68915753781141</v>
      </c>
      <c r="AF283" s="142">
        <f t="shared" si="128"/>
        <v>134.43315679523153</v>
      </c>
      <c r="AG283" s="142">
        <f t="shared" si="128"/>
        <v>132.27745654448685</v>
      </c>
      <c r="AH283" s="142">
        <f t="shared" si="128"/>
        <v>130.21351653022981</v>
      </c>
      <c r="AI283" s="142">
        <f t="shared" si="128"/>
        <v>128.23384286300495</v>
      </c>
      <c r="AJ283" s="142">
        <f t="shared" si="128"/>
        <v>126.33182376884218</v>
      </c>
      <c r="AK283" s="142">
        <f t="shared" si="128"/>
        <v>124.5015963539862</v>
      </c>
      <c r="AL283" s="142">
        <f t="shared" si="128"/>
        <v>122.73793761192341</v>
      </c>
      <c r="AM283" s="142">
        <f t="shared" si="128"/>
        <v>121.03617456494472</v>
      </c>
      <c r="AN283" s="142">
        <f t="shared" si="128"/>
        <v>119.39210964555159</v>
      </c>
      <c r="AO283" s="142">
        <f t="shared" si="128"/>
        <v>117.80195831760906</v>
      </c>
      <c r="AP283" s="142">
        <f t="shared" si="128"/>
        <v>116.26229660434187</v>
      </c>
      <c r="AQ283" s="142">
        <f t="shared" ref="AQ283" si="129">(AQ327+AQ504)*($N$43-1)</f>
        <v>114.77001669309995</v>
      </c>
    </row>
    <row r="284" spans="7:43" ht="14.1" hidden="1" customHeight="1" x14ac:dyDescent="0.25">
      <c r="G284" s="106"/>
      <c r="H284" s="218"/>
      <c r="J284" s="210"/>
      <c r="K284" s="7" t="s">
        <v>111</v>
      </c>
      <c r="L284" s="140">
        <f t="shared" ref="L284:AP284" si="130">(L328+L505)*($N$43-1)</f>
        <v>290.56028503328571</v>
      </c>
      <c r="M284" s="140">
        <f t="shared" si="130"/>
        <v>270.47837266988279</v>
      </c>
      <c r="N284" s="140">
        <f t="shared" si="130"/>
        <v>255.47092914177287</v>
      </c>
      <c r="O284" s="140">
        <f t="shared" si="130"/>
        <v>243.24401094452702</v>
      </c>
      <c r="P284" s="140">
        <f t="shared" si="130"/>
        <v>232.77583446957587</v>
      </c>
      <c r="Q284" s="140">
        <f t="shared" si="130"/>
        <v>223.52134922302372</v>
      </c>
      <c r="R284" s="140">
        <f t="shared" si="130"/>
        <v>215.15520863267062</v>
      </c>
      <c r="S284" s="140">
        <f t="shared" si="130"/>
        <v>207.46755748858345</v>
      </c>
      <c r="T284" s="140">
        <f t="shared" si="130"/>
        <v>200.31510812662947</v>
      </c>
      <c r="U284" s="140">
        <f t="shared" si="130"/>
        <v>193.59565928795627</v>
      </c>
      <c r="V284" s="140">
        <f t="shared" si="130"/>
        <v>187.23374934288412</v>
      </c>
      <c r="W284" s="140">
        <f t="shared" si="130"/>
        <v>181.17207189794044</v>
      </c>
      <c r="X284" s="140">
        <f t="shared" si="130"/>
        <v>177.97926409633206</v>
      </c>
      <c r="Y284" s="140">
        <f t="shared" si="130"/>
        <v>175.00683114563711</v>
      </c>
      <c r="Z284" s="140">
        <f t="shared" si="130"/>
        <v>172.22630581477421</v>
      </c>
      <c r="AA284" s="140">
        <f t="shared" si="130"/>
        <v>169.61440374972287</v>
      </c>
      <c r="AB284" s="140">
        <f t="shared" si="130"/>
        <v>167.1518369794812</v>
      </c>
      <c r="AC284" s="140">
        <f t="shared" si="130"/>
        <v>164.82244864424317</v>
      </c>
      <c r="AD284" s="140">
        <f t="shared" si="130"/>
        <v>162.61256992632249</v>
      </c>
      <c r="AE284" s="140">
        <f t="shared" si="130"/>
        <v>160.51053404172438</v>
      </c>
      <c r="AF284" s="140">
        <f t="shared" si="130"/>
        <v>158.50630339644459</v>
      </c>
      <c r="AG284" s="140">
        <f t="shared" si="130"/>
        <v>156.59117968968599</v>
      </c>
      <c r="AH284" s="140">
        <f t="shared" si="130"/>
        <v>154.75757576016659</v>
      </c>
      <c r="AI284" s="140">
        <f t="shared" si="130"/>
        <v>152.99883403787075</v>
      </c>
      <c r="AJ284" s="140">
        <f t="shared" si="130"/>
        <v>151.30908062401821</v>
      </c>
      <c r="AK284" s="140">
        <f t="shared" si="130"/>
        <v>149.68310692487358</v>
      </c>
      <c r="AL284" s="140">
        <f t="shared" si="130"/>
        <v>148.11627282240977</v>
      </c>
      <c r="AM284" s="140">
        <f t="shared" si="130"/>
        <v>146.60442684408838</v>
      </c>
      <c r="AN284" s="140">
        <f t="shared" si="130"/>
        <v>145.14383987171485</v>
      </c>
      <c r="AO284" s="140">
        <f t="shared" si="130"/>
        <v>143.73114972408214</v>
      </c>
      <c r="AP284" s="140">
        <f t="shared" si="130"/>
        <v>142.363314540852</v>
      </c>
      <c r="AQ284" s="140">
        <f t="shared" ref="AQ284:AQ290" si="131">(AQ328+AQ505)*($N$43-1)</f>
        <v>141.037573341837</v>
      </c>
    </row>
    <row r="285" spans="7:43" ht="14.1" hidden="1" customHeight="1" thickBot="1" x14ac:dyDescent="0.3">
      <c r="G285" s="106"/>
      <c r="H285" s="218"/>
      <c r="J285" s="210"/>
      <c r="K285" s="121" t="s">
        <v>112</v>
      </c>
      <c r="L285" s="141">
        <f t="shared" ref="L285:AP285" si="132">(L329+L506)*($N$43-1)</f>
        <v>307.77150588117246</v>
      </c>
      <c r="M285" s="141">
        <f t="shared" si="132"/>
        <v>294.02592255031993</v>
      </c>
      <c r="N285" s="141">
        <f t="shared" si="132"/>
        <v>283.67237338895404</v>
      </c>
      <c r="O285" s="141">
        <f t="shared" si="132"/>
        <v>275.17746938583826</v>
      </c>
      <c r="P285" s="141">
        <f t="shared" si="132"/>
        <v>267.85819818508321</v>
      </c>
      <c r="Q285" s="141">
        <f t="shared" si="132"/>
        <v>261.35022019580668</v>
      </c>
      <c r="R285" s="141">
        <f t="shared" si="132"/>
        <v>255.43605715069785</v>
      </c>
      <c r="S285" s="141">
        <f t="shared" si="132"/>
        <v>249.97543110819294</v>
      </c>
      <c r="T285" s="141">
        <f t="shared" si="132"/>
        <v>244.8725612745632</v>
      </c>
      <c r="U285" s="141">
        <f t="shared" si="132"/>
        <v>240.0591311080284</v>
      </c>
      <c r="V285" s="141">
        <f t="shared" si="132"/>
        <v>235.48469820078878</v>
      </c>
      <c r="W285" s="141">
        <f t="shared" si="132"/>
        <v>231.11095603228168</v>
      </c>
      <c r="X285" s="141">
        <f t="shared" si="132"/>
        <v>228.97672021151283</v>
      </c>
      <c r="Y285" s="141">
        <f t="shared" si="132"/>
        <v>226.98979419767298</v>
      </c>
      <c r="Z285" s="141">
        <f t="shared" si="132"/>
        <v>225.13114903942287</v>
      </c>
      <c r="AA285" s="141">
        <f t="shared" si="132"/>
        <v>223.38522028518827</v>
      </c>
      <c r="AB285" s="141">
        <f t="shared" si="132"/>
        <v>221.73911486993677</v>
      </c>
      <c r="AC285" s="141">
        <f t="shared" si="132"/>
        <v>220.1820327232941</v>
      </c>
      <c r="AD285" s="141">
        <f t="shared" si="132"/>
        <v>218.70483690932591</v>
      </c>
      <c r="AE285" s="141">
        <f t="shared" si="132"/>
        <v>217.29972875367969</v>
      </c>
      <c r="AF285" s="141">
        <f t="shared" si="132"/>
        <v>215.95999861581049</v>
      </c>
      <c r="AG285" s="141">
        <f t="shared" si="132"/>
        <v>214.67983210716289</v>
      </c>
      <c r="AH285" s="141">
        <f t="shared" si="132"/>
        <v>213.4541575815897</v>
      </c>
      <c r="AI285" s="141">
        <f t="shared" si="132"/>
        <v>212.27852477922892</v>
      </c>
      <c r="AJ285" s="141">
        <f t="shared" si="132"/>
        <v>211.14900728610144</v>
      </c>
      <c r="AK285" s="141">
        <f t="shared" si="132"/>
        <v>210.06212341210363</v>
      </c>
      <c r="AL285" s="141">
        <f t="shared" si="132"/>
        <v>209.01477146533261</v>
      </c>
      <c r="AM285" s="141">
        <f t="shared" si="132"/>
        <v>208.00417638948954</v>
      </c>
      <c r="AN285" s="141">
        <f t="shared" si="132"/>
        <v>207.02784545149271</v>
      </c>
      <c r="AO285" s="141">
        <f t="shared" si="132"/>
        <v>206.08353119768577</v>
      </c>
      <c r="AP285" s="141">
        <f t="shared" si="132"/>
        <v>205.1692002932426</v>
      </c>
      <c r="AQ285" s="141">
        <f t="shared" si="131"/>
        <v>204.28300715797738</v>
      </c>
    </row>
    <row r="286" spans="7:43" ht="14.1" hidden="1" customHeight="1" thickTop="1" x14ac:dyDescent="0.25">
      <c r="G286" s="106"/>
      <c r="H286" s="218"/>
      <c r="J286" s="210"/>
      <c r="K286" s="119" t="s">
        <v>113</v>
      </c>
      <c r="L286" s="142">
        <f t="shared" ref="L286:AP286" si="133">(L330+L507)*($N$43-1)</f>
        <v>282.49804629569672</v>
      </c>
      <c r="M286" s="142">
        <f t="shared" si="133"/>
        <v>259.97415307048306</v>
      </c>
      <c r="N286" s="142">
        <f t="shared" si="133"/>
        <v>243.21362023294697</v>
      </c>
      <c r="O286" s="142">
        <f t="shared" si="133"/>
        <v>229.61108679770763</v>
      </c>
      <c r="P286" s="142">
        <f t="shared" si="133"/>
        <v>218.00605550573459</v>
      </c>
      <c r="Q286" s="142">
        <f t="shared" si="133"/>
        <v>207.77948177763054</v>
      </c>
      <c r="R286" s="142">
        <f t="shared" si="133"/>
        <v>198.56185116619974</v>
      </c>
      <c r="S286" s="142">
        <f t="shared" si="133"/>
        <v>190.11481927652363</v>
      </c>
      <c r="T286" s="142">
        <f t="shared" si="133"/>
        <v>182.27564622896188</v>
      </c>
      <c r="U286" s="142">
        <f t="shared" si="133"/>
        <v>174.92825629106554</v>
      </c>
      <c r="V286" s="142">
        <f t="shared" si="133"/>
        <v>167.98694343499017</v>
      </c>
      <c r="W286" s="142">
        <f t="shared" si="133"/>
        <v>161.38662155836593</v>
      </c>
      <c r="X286" s="142">
        <f t="shared" si="133"/>
        <v>157.76036970688611</v>
      </c>
      <c r="Y286" s="142">
        <f t="shared" si="133"/>
        <v>154.38440999975091</v>
      </c>
      <c r="Z286" s="142">
        <f t="shared" si="133"/>
        <v>151.22641059745405</v>
      </c>
      <c r="AA286" s="142">
        <f t="shared" si="133"/>
        <v>148.2599261462118</v>
      </c>
      <c r="AB286" s="142">
        <f t="shared" si="133"/>
        <v>145.4630502097765</v>
      </c>
      <c r="AC286" s="142">
        <f t="shared" si="133"/>
        <v>142.81743253143796</v>
      </c>
      <c r="AD286" s="142">
        <f t="shared" si="133"/>
        <v>140.30754866421339</v>
      </c>
      <c r="AE286" s="142">
        <f t="shared" si="133"/>
        <v>137.92014798367109</v>
      </c>
      <c r="AF286" s="142">
        <f t="shared" si="133"/>
        <v>135.64383022831569</v>
      </c>
      <c r="AG286" s="142">
        <f t="shared" si="133"/>
        <v>133.46871624746538</v>
      </c>
      <c r="AH286" s="142">
        <f t="shared" si="133"/>
        <v>131.386188874239</v>
      </c>
      <c r="AI286" s="142">
        <f t="shared" si="133"/>
        <v>129.38868673097278</v>
      </c>
      <c r="AJ286" s="142">
        <f t="shared" si="133"/>
        <v>127.46953849961339</v>
      </c>
      <c r="AK286" s="142">
        <f t="shared" si="133"/>
        <v>125.62282848656146</v>
      </c>
      <c r="AL286" s="142">
        <f t="shared" si="133"/>
        <v>123.84328664813359</v>
      </c>
      <c r="AM286" s="142">
        <f t="shared" si="133"/>
        <v>122.12619792288102</v>
      </c>
      <c r="AN286" s="142">
        <f t="shared" si="133"/>
        <v>120.46732694099835</v>
      </c>
      <c r="AO286" s="142">
        <f t="shared" si="133"/>
        <v>118.86285508370717</v>
      </c>
      <c r="AP286" s="142">
        <f t="shared" si="133"/>
        <v>117.3093275387015</v>
      </c>
      <c r="AQ286" s="142">
        <f t="shared" si="131"/>
        <v>115.80360850510066</v>
      </c>
    </row>
    <row r="287" spans="7:43" ht="14.1" hidden="1" customHeight="1" x14ac:dyDescent="0.25">
      <c r="G287" s="106"/>
      <c r="H287" s="218"/>
      <c r="J287" s="210"/>
      <c r="K287" s="7" t="s">
        <v>114</v>
      </c>
      <c r="L287" s="140">
        <f t="shared" ref="L287:AP287" si="134">(L331+L508)*($N$43-1)</f>
        <v>293.17700271056958</v>
      </c>
      <c r="M287" s="140">
        <f t="shared" si="134"/>
        <v>272.91423736146373</v>
      </c>
      <c r="N287" s="140">
        <f t="shared" si="134"/>
        <v>257.7716403220391</v>
      </c>
      <c r="O287" s="140">
        <f t="shared" si="134"/>
        <v>245.43460937149052</v>
      </c>
      <c r="P287" s="140">
        <f t="shared" si="134"/>
        <v>234.87215895807662</v>
      </c>
      <c r="Q287" s="140">
        <f t="shared" si="134"/>
        <v>225.53432999118075</v>
      </c>
      <c r="R287" s="140">
        <f t="shared" si="134"/>
        <v>217.09284590379431</v>
      </c>
      <c r="S287" s="140">
        <f t="shared" si="134"/>
        <v>209.33596157925641</v>
      </c>
      <c r="T287" s="140">
        <f t="shared" si="134"/>
        <v>202.11909893838802</v>
      </c>
      <c r="U287" s="140">
        <f t="shared" si="134"/>
        <v>195.33913632180554</v>
      </c>
      <c r="V287" s="140">
        <f t="shared" si="134"/>
        <v>188.91993251011758</v>
      </c>
      <c r="W287" s="140">
        <f t="shared" si="134"/>
        <v>182.80366502193255</v>
      </c>
      <c r="X287" s="140">
        <f t="shared" si="134"/>
        <v>179.58210354322171</v>
      </c>
      <c r="Y287" s="140">
        <f t="shared" si="134"/>
        <v>176.58290155956783</v>
      </c>
      <c r="Z287" s="140">
        <f t="shared" si="134"/>
        <v>173.77733547069295</v>
      </c>
      <c r="AA287" s="140">
        <f t="shared" si="134"/>
        <v>171.14191122915361</v>
      </c>
      <c r="AB287" s="140">
        <f t="shared" si="134"/>
        <v>168.65716716101164</v>
      </c>
      <c r="AC287" s="140">
        <f t="shared" si="134"/>
        <v>166.30680090157662</v>
      </c>
      <c r="AD287" s="140">
        <f t="shared" si="134"/>
        <v>164.07702053500094</v>
      </c>
      <c r="AE287" s="140">
        <f t="shared" si="134"/>
        <v>161.95605420897348</v>
      </c>
      <c r="AF287" s="140">
        <f t="shared" si="134"/>
        <v>159.9337739332762</v>
      </c>
      <c r="AG287" s="140">
        <f t="shared" si="134"/>
        <v>158.00140307225803</v>
      </c>
      <c r="AH287" s="140">
        <f t="shared" si="134"/>
        <v>156.15128613644475</v>
      </c>
      <c r="AI287" s="140">
        <f t="shared" si="134"/>
        <v>154.37670559930888</v>
      </c>
      <c r="AJ287" s="140">
        <f t="shared" si="134"/>
        <v>152.67173466311749</v>
      </c>
      <c r="AK287" s="140">
        <f t="shared" si="134"/>
        <v>151.03111782676345</v>
      </c>
      <c r="AL287" s="140">
        <f t="shared" si="134"/>
        <v>149.45017318440662</v>
      </c>
      <c r="AM287" s="140">
        <f t="shared" si="134"/>
        <v>147.92471187632208</v>
      </c>
      <c r="AN287" s="140">
        <f t="shared" si="134"/>
        <v>146.45097120075272</v>
      </c>
      <c r="AO287" s="140">
        <f t="shared" si="134"/>
        <v>145.02555869747735</v>
      </c>
      <c r="AP287" s="140">
        <f t="shared" si="134"/>
        <v>143.64540511187789</v>
      </c>
      <c r="AQ287" s="140">
        <f t="shared" si="131"/>
        <v>142.30772459902801</v>
      </c>
    </row>
    <row r="288" spans="7:43" ht="14.1" hidden="1" customHeight="1" thickBot="1" x14ac:dyDescent="0.3">
      <c r="G288" s="106"/>
      <c r="H288" s="218"/>
      <c r="J288" s="210"/>
      <c r="K288" s="121" t="s">
        <v>115</v>
      </c>
      <c r="L288" s="141">
        <f t="shared" ref="L288:AP288" si="135">(L332+L509)*($N$43-1)</f>
        <v>310.54322377066762</v>
      </c>
      <c r="M288" s="141">
        <f t="shared" si="135"/>
        <v>296.6738509450384</v>
      </c>
      <c r="N288" s="141">
        <f t="shared" si="135"/>
        <v>286.22706015187111</v>
      </c>
      <c r="O288" s="141">
        <f t="shared" si="135"/>
        <v>277.65565303867186</v>
      </c>
      <c r="P288" s="141">
        <f t="shared" si="135"/>
        <v>270.27046620070701</v>
      </c>
      <c r="Q288" s="141">
        <f t="shared" si="135"/>
        <v>263.70387889031844</v>
      </c>
      <c r="R288" s="141">
        <f t="shared" si="135"/>
        <v>257.73645428200354</v>
      </c>
      <c r="S288" s="141">
        <f t="shared" si="135"/>
        <v>252.22665112400668</v>
      </c>
      <c r="T288" s="141">
        <f t="shared" si="135"/>
        <v>247.07782604326871</v>
      </c>
      <c r="U288" s="141">
        <f t="shared" si="135"/>
        <v>242.22104725528106</v>
      </c>
      <c r="V288" s="141">
        <f t="shared" si="135"/>
        <v>237.60541807976773</v>
      </c>
      <c r="W288" s="141">
        <f t="shared" si="135"/>
        <v>233.19228701663963</v>
      </c>
      <c r="X288" s="141">
        <f t="shared" si="135"/>
        <v>231.03883076937979</v>
      </c>
      <c r="Y288" s="141">
        <f t="shared" si="135"/>
        <v>229.03401096656845</v>
      </c>
      <c r="Z288" s="141">
        <f t="shared" si="135"/>
        <v>227.15862728660039</v>
      </c>
      <c r="AA288" s="141">
        <f t="shared" si="135"/>
        <v>225.39697510810652</v>
      </c>
      <c r="AB288" s="141">
        <f t="shared" si="135"/>
        <v>223.73604525413913</v>
      </c>
      <c r="AC288" s="141">
        <f t="shared" si="135"/>
        <v>222.16494039142685</v>
      </c>
      <c r="AD288" s="141">
        <f t="shared" si="135"/>
        <v>220.6744412989367</v>
      </c>
      <c r="AE288" s="141">
        <f t="shared" si="135"/>
        <v>219.25667906928669</v>
      </c>
      <c r="AF288" s="141">
        <f t="shared" si="135"/>
        <v>217.90488363648512</v>
      </c>
      <c r="AG288" s="141">
        <f t="shared" si="135"/>
        <v>216.61318824895912</v>
      </c>
      <c r="AH288" s="141">
        <f t="shared" si="135"/>
        <v>215.37647558650735</v>
      </c>
      <c r="AI288" s="141">
        <f t="shared" si="135"/>
        <v>214.19025531127301</v>
      </c>
      <c r="AJ288" s="141">
        <f t="shared" si="135"/>
        <v>213.05056564891484</v>
      </c>
      <c r="AK288" s="141">
        <f t="shared" si="135"/>
        <v>211.95389355404609</v>
      </c>
      <c r="AL288" s="141">
        <f t="shared" si="135"/>
        <v>210.897109401655</v>
      </c>
      <c r="AM288" s="141">
        <f t="shared" si="135"/>
        <v>209.87741314393764</v>
      </c>
      <c r="AN288" s="141">
        <f t="shared" si="135"/>
        <v>208.8922895988436</v>
      </c>
      <c r="AO288" s="141">
        <f t="shared" si="135"/>
        <v>207.93947107267695</v>
      </c>
      <c r="AP288" s="141">
        <f t="shared" si="135"/>
        <v>207.01690591887561</v>
      </c>
      <c r="AQ288" s="141">
        <f t="shared" si="131"/>
        <v>206.12273193639211</v>
      </c>
    </row>
    <row r="289" spans="7:43" ht="14.1" customHeight="1" thickTop="1" x14ac:dyDescent="0.25">
      <c r="G289" s="106"/>
      <c r="H289" s="218"/>
      <c r="J289" s="210"/>
      <c r="K289" s="119" t="s">
        <v>116</v>
      </c>
      <c r="L289" s="142">
        <f t="shared" ref="L289:AP289" si="136">(L333+L510)*($N$43-1)</f>
        <v>351.21599454639477</v>
      </c>
      <c r="M289" s="142">
        <f t="shared" si="136"/>
        <v>326.99600839161047</v>
      </c>
      <c r="N289" s="142">
        <f t="shared" si="136"/>
        <v>308.95701366746459</v>
      </c>
      <c r="O289" s="142">
        <f t="shared" si="136"/>
        <v>294.30485681750406</v>
      </c>
      <c r="P289" s="142">
        <f t="shared" si="136"/>
        <v>281.79494733708179</v>
      </c>
      <c r="Q289" s="142">
        <f t="shared" si="136"/>
        <v>270.76338274864128</v>
      </c>
      <c r="R289" s="142">
        <f t="shared" si="136"/>
        <v>260.81387243733616</v>
      </c>
      <c r="S289" s="142">
        <f t="shared" si="136"/>
        <v>251.69080083109787</v>
      </c>
      <c r="T289" s="142">
        <f t="shared" si="136"/>
        <v>243.2196354117745</v>
      </c>
      <c r="U289" s="142">
        <f t="shared" si="136"/>
        <v>235.27588923784032</v>
      </c>
      <c r="V289" s="142">
        <f t="shared" si="136"/>
        <v>227.76764575575243</v>
      </c>
      <c r="W289" s="142">
        <f t="shared" si="136"/>
        <v>220.62510252146208</v>
      </c>
      <c r="X289" s="142">
        <f t="shared" si="136"/>
        <v>216.73608116731322</v>
      </c>
      <c r="Y289" s="142">
        <f t="shared" si="136"/>
        <v>213.11548890579195</v>
      </c>
      <c r="Z289" s="142">
        <f t="shared" si="136"/>
        <v>209.72865103160788</v>
      </c>
      <c r="AA289" s="142">
        <f t="shared" si="136"/>
        <v>206.54720587828143</v>
      </c>
      <c r="AB289" s="142">
        <f t="shared" si="136"/>
        <v>203.54765960096944</v>
      </c>
      <c r="AC289" s="142">
        <f t="shared" si="136"/>
        <v>200.71033222621099</v>
      </c>
      <c r="AD289" s="142">
        <f t="shared" si="136"/>
        <v>198.01857435724591</v>
      </c>
      <c r="AE289" s="142">
        <f t="shared" si="136"/>
        <v>195.45817518812871</v>
      </c>
      <c r="AF289" s="142">
        <f t="shared" si="136"/>
        <v>193.01690835891145</v>
      </c>
      <c r="AG289" s="142">
        <f t="shared" si="136"/>
        <v>190.68417884488656</v>
      </c>
      <c r="AH289" s="142">
        <f t="shared" si="136"/>
        <v>188.45074505242337</v>
      </c>
      <c r="AI289" s="142">
        <f t="shared" si="136"/>
        <v>186.30849768288391</v>
      </c>
      <c r="AJ289" s="142">
        <f t="shared" si="136"/>
        <v>184.25028199373153</v>
      </c>
      <c r="AK289" s="142">
        <f t="shared" si="136"/>
        <v>182.26975362178496</v>
      </c>
      <c r="AL289" s="142">
        <f t="shared" si="136"/>
        <v>180.36126063958272</v>
      </c>
      <c r="AM289" s="142">
        <f t="shared" si="136"/>
        <v>178.51974631763883</v>
      </c>
      <c r="AN289" s="142">
        <f t="shared" si="136"/>
        <v>176.74066837806143</v>
      </c>
      <c r="AO289" s="142">
        <f t="shared" si="136"/>
        <v>175.01993149306264</v>
      </c>
      <c r="AP289" s="142">
        <f t="shared" si="136"/>
        <v>173.35383050387736</v>
      </c>
      <c r="AQ289" s="142">
        <f t="shared" si="131"/>
        <v>171.73900237972697</v>
      </c>
    </row>
    <row r="290" spans="7:43" ht="14.1" customHeight="1" x14ac:dyDescent="0.25">
      <c r="G290" s="106"/>
      <c r="H290" s="218"/>
      <c r="J290" s="210"/>
      <c r="K290" s="7" t="s">
        <v>117</v>
      </c>
      <c r="L290" s="140">
        <f t="shared" ref="L290:AP290" si="137">(L334+L511)*($N$43-1)</f>
        <v>362.73064966795204</v>
      </c>
      <c r="M290" s="140">
        <f t="shared" si="137"/>
        <v>341.42653075345697</v>
      </c>
      <c r="N290" s="140">
        <f t="shared" si="137"/>
        <v>325.53278787590494</v>
      </c>
      <c r="O290" s="140">
        <f t="shared" si="137"/>
        <v>312.60362870326827</v>
      </c>
      <c r="P290" s="140">
        <f t="shared" si="137"/>
        <v>301.54963210987614</v>
      </c>
      <c r="Q290" s="140">
        <f t="shared" si="137"/>
        <v>291.78966769039516</v>
      </c>
      <c r="R290" s="140">
        <f t="shared" si="137"/>
        <v>282.97685238079094</v>
      </c>
      <c r="S290" s="140">
        <f t="shared" si="137"/>
        <v>274.8874394923148</v>
      </c>
      <c r="T290" s="140">
        <f t="shared" si="137"/>
        <v>267.3686563566211</v>
      </c>
      <c r="U290" s="140">
        <f t="shared" si="137"/>
        <v>260.31153644740192</v>
      </c>
      <c r="V290" s="140">
        <f t="shared" si="137"/>
        <v>253.63562291169583</v>
      </c>
      <c r="W290" s="140">
        <f t="shared" si="137"/>
        <v>247.27981592840678</v>
      </c>
      <c r="X290" s="140">
        <f t="shared" si="137"/>
        <v>243.87565849221488</v>
      </c>
      <c r="Y290" s="140">
        <f t="shared" si="137"/>
        <v>240.70646373905981</v>
      </c>
      <c r="Z290" s="140">
        <f t="shared" si="137"/>
        <v>237.7418800341438</v>
      </c>
      <c r="AA290" s="140">
        <f t="shared" si="137"/>
        <v>234.95708170307287</v>
      </c>
      <c r="AB290" s="140">
        <f t="shared" si="137"/>
        <v>232.3315039972008</v>
      </c>
      <c r="AC290" s="140">
        <f t="shared" si="137"/>
        <v>229.84792054467215</v>
      </c>
      <c r="AD290" s="140">
        <f t="shared" si="137"/>
        <v>227.49175771304095</v>
      </c>
      <c r="AE290" s="140">
        <f t="shared" si="137"/>
        <v>225.25057642925307</v>
      </c>
      <c r="AF290" s="140">
        <f t="shared" si="137"/>
        <v>223.11367465535486</v>
      </c>
      <c r="AG290" s="140">
        <f t="shared" si="137"/>
        <v>221.07177830183633</v>
      </c>
      <c r="AH290" s="140">
        <f t="shared" si="137"/>
        <v>219.116797971182</v>
      </c>
      <c r="AI290" s="140">
        <f t="shared" si="137"/>
        <v>217.24163539193808</v>
      </c>
      <c r="AJ290" s="140">
        <f t="shared" si="137"/>
        <v>215.44002783942608</v>
      </c>
      <c r="AK290" s="140">
        <f t="shared" si="137"/>
        <v>213.70642193423905</v>
      </c>
      <c r="AL290" s="140">
        <f t="shared" si="137"/>
        <v>212.03587040323421</v>
      </c>
      <c r="AM290" s="140">
        <f t="shared" si="137"/>
        <v>210.42394696490916</v>
      </c>
      <c r="AN290" s="140">
        <f t="shared" si="137"/>
        <v>208.86667565007909</v>
      </c>
      <c r="AO290" s="140">
        <f t="shared" si="137"/>
        <v>207.36047171613851</v>
      </c>
      <c r="AP290" s="140">
        <f t="shared" si="137"/>
        <v>205.90209194516311</v>
      </c>
      <c r="AQ290" s="140">
        <f t="shared" si="131"/>
        <v>204.4885925923931</v>
      </c>
    </row>
    <row r="291" spans="7:43" ht="14.1" customHeight="1" thickBot="1" x14ac:dyDescent="0.3">
      <c r="G291" s="106"/>
      <c r="H291" s="218"/>
      <c r="J291" s="210"/>
      <c r="K291" s="121" t="s">
        <v>118</v>
      </c>
      <c r="L291" s="141">
        <f t="shared" ref="L291:AP291" si="138">(L335+L512)*($N$43-1)</f>
        <v>380.932122739948</v>
      </c>
      <c r="M291" s="141">
        <f t="shared" si="138"/>
        <v>367.04728316705092</v>
      </c>
      <c r="N291" s="141">
        <f t="shared" si="138"/>
        <v>356.56862162593052</v>
      </c>
      <c r="O291" s="141">
        <f t="shared" si="138"/>
        <v>347.95635528915352</v>
      </c>
      <c r="P291" s="141">
        <f t="shared" si="138"/>
        <v>340.5246238245964</v>
      </c>
      <c r="Q291" s="141">
        <f t="shared" si="138"/>
        <v>333.90756844412135</v>
      </c>
      <c r="R291" s="141">
        <f t="shared" si="138"/>
        <v>327.88680405503897</v>
      </c>
      <c r="S291" s="141">
        <f t="shared" si="138"/>
        <v>322.32146779482582</v>
      </c>
      <c r="T291" s="141">
        <f t="shared" si="138"/>
        <v>317.11537948982618</v>
      </c>
      <c r="U291" s="141">
        <f t="shared" si="138"/>
        <v>312.19993773681421</v>
      </c>
      <c r="V291" s="141">
        <f t="shared" si="138"/>
        <v>307.52448979683192</v>
      </c>
      <c r="W291" s="141">
        <f t="shared" si="138"/>
        <v>303.0505694215197</v>
      </c>
      <c r="X291" s="141">
        <f t="shared" si="138"/>
        <v>300.90743441635698</v>
      </c>
      <c r="Y291" s="141">
        <f t="shared" si="138"/>
        <v>298.9122234600556</v>
      </c>
      <c r="Z291" s="141">
        <f t="shared" si="138"/>
        <v>297.04582825571157</v>
      </c>
      <c r="AA291" s="141">
        <f t="shared" si="138"/>
        <v>295.29261945220998</v>
      </c>
      <c r="AB291" s="141">
        <f t="shared" si="138"/>
        <v>293.63965022393489</v>
      </c>
      <c r="AC291" s="141">
        <f t="shared" si="138"/>
        <v>292.0760754671482</v>
      </c>
      <c r="AD291" s="141">
        <f t="shared" si="138"/>
        <v>290.59272014737161</v>
      </c>
      <c r="AE291" s="141">
        <f t="shared" si="138"/>
        <v>289.18175307189625</v>
      </c>
      <c r="AF291" s="141">
        <f t="shared" si="138"/>
        <v>287.8364366227961</v>
      </c>
      <c r="AG291" s="141">
        <f t="shared" si="138"/>
        <v>286.55093216709287</v>
      </c>
      <c r="AH291" s="141">
        <f t="shared" si="138"/>
        <v>285.3201469112509</v>
      </c>
      <c r="AI291" s="141">
        <f t="shared" si="138"/>
        <v>284.1396120390317</v>
      </c>
      <c r="AJ291" s="141">
        <f t="shared" si="138"/>
        <v>283.00538476437504</v>
      </c>
      <c r="AK291" s="141">
        <f t="shared" si="138"/>
        <v>281.91396887947417</v>
      </c>
      <c r="AL291" s="141">
        <f t="shared" si="138"/>
        <v>280.86224975921226</v>
      </c>
      <c r="AM291" s="141">
        <f t="shared" si="138"/>
        <v>279.8474407760587</v>
      </c>
      <c r="AN291" s="141">
        <f t="shared" si="138"/>
        <v>278.86703880291094</v>
      </c>
      <c r="AO291" s="141">
        <f t="shared" si="138"/>
        <v>277.91878701484063</v>
      </c>
      <c r="AP291" s="141">
        <f t="shared" si="138"/>
        <v>277.00064359856691</v>
      </c>
      <c r="AQ291" s="141">
        <f t="shared" ref="AQ291" si="139">(AQ335+AQ512)*($N$43-1)</f>
        <v>276.11075527833538</v>
      </c>
    </row>
    <row r="292" spans="7:43" ht="14.1" hidden="1" customHeight="1" thickTop="1" x14ac:dyDescent="0.25">
      <c r="G292" s="106"/>
      <c r="H292" s="218"/>
      <c r="J292" s="210"/>
      <c r="K292" s="119" t="s">
        <v>119</v>
      </c>
      <c r="L292" s="142">
        <f t="shared" ref="L292:AP292" si="140">(L336+L513)*($N$43-1)</f>
        <v>324.41917056407613</v>
      </c>
      <c r="M292" s="142">
        <f t="shared" si="140"/>
        <v>299.72661504623483</v>
      </c>
      <c r="N292" s="142">
        <f t="shared" si="140"/>
        <v>281.3356516548692</v>
      </c>
      <c r="O292" s="142">
        <f t="shared" si="140"/>
        <v>266.39760857913848</v>
      </c>
      <c r="P292" s="142">
        <f t="shared" si="140"/>
        <v>253.64361143007412</v>
      </c>
      <c r="Q292" s="142">
        <f t="shared" si="140"/>
        <v>242.39680396668865</v>
      </c>
      <c r="R292" s="142">
        <f t="shared" si="140"/>
        <v>232.25316333175354</v>
      </c>
      <c r="S292" s="142">
        <f t="shared" si="140"/>
        <v>222.95208649832259</v>
      </c>
      <c r="T292" s="142">
        <f t="shared" si="140"/>
        <v>214.31563554906637</v>
      </c>
      <c r="U292" s="142">
        <f t="shared" si="140"/>
        <v>206.21689460982915</v>
      </c>
      <c r="V292" s="142">
        <f t="shared" si="140"/>
        <v>198.56215369304692</v>
      </c>
      <c r="W292" s="142">
        <f t="shared" si="140"/>
        <v>191.28024840110444</v>
      </c>
      <c r="X292" s="142">
        <f t="shared" si="140"/>
        <v>187.31534622966279</v>
      </c>
      <c r="Y292" s="142">
        <f t="shared" si="140"/>
        <v>183.62411061731618</v>
      </c>
      <c r="Z292" s="142">
        <f t="shared" si="140"/>
        <v>180.17119030168271</v>
      </c>
      <c r="AA292" s="142">
        <f t="shared" si="140"/>
        <v>176.92767023633522</v>
      </c>
      <c r="AB292" s="142">
        <f t="shared" si="140"/>
        <v>173.86959817520687</v>
      </c>
      <c r="AC292" s="142">
        <f t="shared" si="140"/>
        <v>170.97691015813822</v>
      </c>
      <c r="AD292" s="142">
        <f t="shared" si="140"/>
        <v>168.23263193290569</v>
      </c>
      <c r="AE292" s="142">
        <f t="shared" si="140"/>
        <v>165.62227541877647</v>
      </c>
      <c r="AF292" s="142">
        <f t="shared" si="140"/>
        <v>163.1333757006235</v>
      </c>
      <c r="AG292" s="142">
        <f t="shared" si="140"/>
        <v>160.755131028432</v>
      </c>
      <c r="AH292" s="142">
        <f t="shared" si="140"/>
        <v>158.47811949079636</v>
      </c>
      <c r="AI292" s="142">
        <f t="shared" si="140"/>
        <v>156.29407356412872</v>
      </c>
      <c r="AJ292" s="142">
        <f t="shared" si="140"/>
        <v>154.1956989058076</v>
      </c>
      <c r="AK292" s="142">
        <f t="shared" si="140"/>
        <v>152.17652736432055</v>
      </c>
      <c r="AL292" s="142">
        <f t="shared" si="140"/>
        <v>150.23079673436601</v>
      </c>
      <c r="AM292" s="142">
        <f t="shared" si="140"/>
        <v>148.35335162185024</v>
      </c>
      <c r="AN292" s="142">
        <f t="shared" si="140"/>
        <v>146.53956112201936</v>
      </c>
      <c r="AO292" s="142">
        <f t="shared" si="140"/>
        <v>144.78525000091099</v>
      </c>
      <c r="AP292" s="142">
        <f t="shared" si="140"/>
        <v>143.08664080638584</v>
      </c>
      <c r="AQ292" s="142">
        <f t="shared" ref="AQ292:AQ298" si="141">(AQ336+AQ513)*($N$43-1)</f>
        <v>141.44030488973721</v>
      </c>
    </row>
    <row r="293" spans="7:43" ht="14.1" hidden="1" customHeight="1" x14ac:dyDescent="0.25">
      <c r="G293" s="106"/>
      <c r="H293" s="218"/>
      <c r="J293" s="210"/>
      <c r="K293" s="7" t="s">
        <v>120</v>
      </c>
      <c r="L293" s="140">
        <f t="shared" ref="L293:AP293" si="142">(L337+L514)*($N$43-1)</f>
        <v>336.15849440351957</v>
      </c>
      <c r="M293" s="140">
        <f t="shared" si="142"/>
        <v>314.43869920244151</v>
      </c>
      <c r="N293" s="140">
        <f t="shared" si="142"/>
        <v>298.2348448367888</v>
      </c>
      <c r="O293" s="140">
        <f t="shared" si="142"/>
        <v>285.05341778604395</v>
      </c>
      <c r="P293" s="140">
        <f t="shared" si="142"/>
        <v>273.78374063462047</v>
      </c>
      <c r="Q293" s="140">
        <f t="shared" si="142"/>
        <v>263.83334422481147</v>
      </c>
      <c r="R293" s="140">
        <f t="shared" si="142"/>
        <v>254.84857726787831</v>
      </c>
      <c r="S293" s="140">
        <f t="shared" si="142"/>
        <v>246.60132743136339</v>
      </c>
      <c r="T293" s="140">
        <f t="shared" si="142"/>
        <v>238.93584121604388</v>
      </c>
      <c r="U293" s="140">
        <f t="shared" si="142"/>
        <v>231.74102599027066</v>
      </c>
      <c r="V293" s="140">
        <f t="shared" si="142"/>
        <v>224.93485506353099</v>
      </c>
      <c r="W293" s="140">
        <f t="shared" si="142"/>
        <v>218.45503646278635</v>
      </c>
      <c r="X293" s="140">
        <f t="shared" si="142"/>
        <v>214.98445865372196</v>
      </c>
      <c r="Y293" s="140">
        <f t="shared" si="142"/>
        <v>211.7534280127868</v>
      </c>
      <c r="Z293" s="140">
        <f t="shared" si="142"/>
        <v>208.73100069787827</v>
      </c>
      <c r="AA293" s="140">
        <f t="shared" si="142"/>
        <v>205.89186664732568</v>
      </c>
      <c r="AB293" s="140">
        <f t="shared" si="142"/>
        <v>203.21505986245288</v>
      </c>
      <c r="AC293" s="140">
        <f t="shared" si="142"/>
        <v>200.68301785826526</v>
      </c>
      <c r="AD293" s="140">
        <f t="shared" si="142"/>
        <v>198.2808826482237</v>
      </c>
      <c r="AE293" s="140">
        <f t="shared" si="142"/>
        <v>195.99597245373337</v>
      </c>
      <c r="AF293" s="140">
        <f t="shared" si="142"/>
        <v>193.81737642353986</v>
      </c>
      <c r="AG293" s="140">
        <f t="shared" si="142"/>
        <v>191.73563951631317</v>
      </c>
      <c r="AH293" s="140">
        <f t="shared" si="142"/>
        <v>189.74251449788969</v>
      </c>
      <c r="AI293" s="140">
        <f t="shared" si="142"/>
        <v>187.83076459856895</v>
      </c>
      <c r="AJ293" s="140">
        <f t="shared" si="142"/>
        <v>185.99400489823455</v>
      </c>
      <c r="AK293" s="140">
        <f t="shared" si="142"/>
        <v>184.22657366246429</v>
      </c>
      <c r="AL293" s="140">
        <f t="shared" si="142"/>
        <v>182.52342708917018</v>
      </c>
      <c r="AM293" s="140">
        <f t="shared" si="142"/>
        <v>180.88005253325667</v>
      </c>
      <c r="AN293" s="140">
        <f t="shared" si="142"/>
        <v>179.29239644823502</v>
      </c>
      <c r="AO293" s="140">
        <f t="shared" si="142"/>
        <v>177.75680414763116</v>
      </c>
      <c r="AP293" s="140">
        <f t="shared" si="142"/>
        <v>176.26996913332653</v>
      </c>
      <c r="AQ293" s="140">
        <f t="shared" si="141"/>
        <v>174.8288902235513</v>
      </c>
    </row>
    <row r="294" spans="7:43" ht="14.1" hidden="1" customHeight="1" thickBot="1" x14ac:dyDescent="0.3">
      <c r="G294" s="106"/>
      <c r="H294" s="218"/>
      <c r="J294" s="210"/>
      <c r="K294" s="121" t="s">
        <v>121</v>
      </c>
      <c r="L294" s="141">
        <f t="shared" ref="L294:AP294" si="143">(L338+L515)*($N$43-1)</f>
        <v>354.71510634642016</v>
      </c>
      <c r="M294" s="141">
        <f t="shared" si="143"/>
        <v>340.55935209375485</v>
      </c>
      <c r="N294" s="141">
        <f t="shared" si="143"/>
        <v>329.87623567068152</v>
      </c>
      <c r="O294" s="141">
        <f t="shared" si="143"/>
        <v>321.09593070699367</v>
      </c>
      <c r="P294" s="141">
        <f t="shared" si="143"/>
        <v>313.51919467545741</v>
      </c>
      <c r="Q294" s="141">
        <f t="shared" si="143"/>
        <v>306.77303031752541</v>
      </c>
      <c r="R294" s="141">
        <f t="shared" si="143"/>
        <v>300.63479150982522</v>
      </c>
      <c r="S294" s="141">
        <f t="shared" si="143"/>
        <v>294.96086693767495</v>
      </c>
      <c r="T294" s="141">
        <f t="shared" si="143"/>
        <v>289.65319980357981</v>
      </c>
      <c r="U294" s="141">
        <f t="shared" si="143"/>
        <v>284.6418501849102</v>
      </c>
      <c r="V294" s="141">
        <f t="shared" si="143"/>
        <v>279.87517702948458</v>
      </c>
      <c r="W294" s="141">
        <f t="shared" si="143"/>
        <v>275.31396355298648</v>
      </c>
      <c r="X294" s="141">
        <f t="shared" si="143"/>
        <v>273.12901267155269</v>
      </c>
      <c r="Y294" s="141">
        <f t="shared" si="143"/>
        <v>271.09487206579746</v>
      </c>
      <c r="Z294" s="141">
        <f t="shared" si="143"/>
        <v>269.1920606064113</v>
      </c>
      <c r="AA294" s="141">
        <f t="shared" si="143"/>
        <v>267.40464398948313</v>
      </c>
      <c r="AB294" s="141">
        <f t="shared" si="143"/>
        <v>265.71942277681933</v>
      </c>
      <c r="AC294" s="141">
        <f t="shared" si="143"/>
        <v>264.1253402599462</v>
      </c>
      <c r="AD294" s="141">
        <f t="shared" si="143"/>
        <v>262.61304238528231</v>
      </c>
      <c r="AE294" s="141">
        <f t="shared" si="143"/>
        <v>261.17454516144556</v>
      </c>
      <c r="AF294" s="141">
        <f t="shared" si="143"/>
        <v>259.80297950917088</v>
      </c>
      <c r="AG294" s="141">
        <f t="shared" si="143"/>
        <v>258.49239287472665</v>
      </c>
      <c r="AH294" s="141">
        <f t="shared" si="143"/>
        <v>257.23759309630418</v>
      </c>
      <c r="AI294" s="141">
        <f t="shared" si="143"/>
        <v>256.03402416415344</v>
      </c>
      <c r="AJ294" s="141">
        <f t="shared" si="143"/>
        <v>254.87766636236432</v>
      </c>
      <c r="AK294" s="141">
        <f t="shared" si="143"/>
        <v>253.76495526671218</v>
      </c>
      <c r="AL294" s="141">
        <f t="shared" si="143"/>
        <v>252.69271548093047</v>
      </c>
      <c r="AM294" s="141">
        <f t="shared" si="143"/>
        <v>251.6581060060785</v>
      </c>
      <c r="AN294" s="141">
        <f t="shared" si="143"/>
        <v>250.65857487517525</v>
      </c>
      <c r="AO294" s="141">
        <f t="shared" si="143"/>
        <v>249.69182122914995</v>
      </c>
      <c r="AP294" s="141">
        <f t="shared" si="143"/>
        <v>248.75576341578909</v>
      </c>
      <c r="AQ294" s="141">
        <f t="shared" si="141"/>
        <v>247.84851199906379</v>
      </c>
    </row>
    <row r="295" spans="7:43" ht="14.1" hidden="1" customHeight="1" thickTop="1" x14ac:dyDescent="0.25">
      <c r="G295" s="106"/>
      <c r="H295" s="218"/>
      <c r="J295" s="210"/>
      <c r="K295" s="119" t="s">
        <v>122</v>
      </c>
      <c r="L295" s="142">
        <f t="shared" ref="L295:AP295" si="144">(L339+L516)*($N$43-1)</f>
        <v>331.40260024911822</v>
      </c>
      <c r="M295" s="142">
        <f t="shared" si="144"/>
        <v>306.17851410408542</v>
      </c>
      <c r="N295" s="142">
        <f t="shared" si="144"/>
        <v>287.39166782003974</v>
      </c>
      <c r="O295" s="142">
        <f t="shared" si="144"/>
        <v>272.13206922935552</v>
      </c>
      <c r="P295" s="142">
        <f t="shared" si="144"/>
        <v>259.10353022094654</v>
      </c>
      <c r="Q295" s="142">
        <f t="shared" si="144"/>
        <v>247.6146245826437</v>
      </c>
      <c r="R295" s="142">
        <f t="shared" si="144"/>
        <v>237.25263248283915</v>
      </c>
      <c r="S295" s="142">
        <f t="shared" si="144"/>
        <v>227.75134116779017</v>
      </c>
      <c r="T295" s="142">
        <f t="shared" si="144"/>
        <v>218.92898243809179</v>
      </c>
      <c r="U295" s="142">
        <f t="shared" si="144"/>
        <v>210.65590843528074</v>
      </c>
      <c r="V295" s="142">
        <f t="shared" si="144"/>
        <v>202.83639197562101</v>
      </c>
      <c r="W295" s="142">
        <f t="shared" si="144"/>
        <v>195.39773678048689</v>
      </c>
      <c r="X295" s="142">
        <f t="shared" si="144"/>
        <v>191.34748633731957</v>
      </c>
      <c r="Y295" s="142">
        <f t="shared" si="144"/>
        <v>187.57679338493688</v>
      </c>
      <c r="Z295" s="142">
        <f t="shared" si="144"/>
        <v>184.0495456915767</v>
      </c>
      <c r="AA295" s="142">
        <f t="shared" si="144"/>
        <v>180.73620578707175</v>
      </c>
      <c r="AB295" s="142">
        <f t="shared" si="144"/>
        <v>177.61230583058955</v>
      </c>
      <c r="AC295" s="142">
        <f t="shared" si="144"/>
        <v>174.65734996623911</v>
      </c>
      <c r="AD295" s="142">
        <f t="shared" si="144"/>
        <v>171.85399855495297</v>
      </c>
      <c r="AE295" s="142">
        <f t="shared" si="144"/>
        <v>169.18745164634851</v>
      </c>
      <c r="AF295" s="142">
        <f t="shared" si="144"/>
        <v>166.64497600620359</v>
      </c>
      <c r="AG295" s="142">
        <f t="shared" si="144"/>
        <v>164.21553736661119</v>
      </c>
      <c r="AH295" s="142">
        <f t="shared" si="144"/>
        <v>161.88951100060564</v>
      </c>
      <c r="AI295" s="142">
        <f t="shared" si="144"/>
        <v>159.65845141832926</v>
      </c>
      <c r="AJ295" s="142">
        <f t="shared" si="144"/>
        <v>157.51490725953198</v>
      </c>
      <c r="AK295" s="142">
        <f t="shared" si="144"/>
        <v>155.45227113961852</v>
      </c>
      <c r="AL295" s="142">
        <f t="shared" si="144"/>
        <v>153.46465681636468</v>
      </c>
      <c r="AM295" s="142">
        <f t="shared" si="144"/>
        <v>151.54679792093964</v>
      </c>
      <c r="AN295" s="142">
        <f t="shared" si="144"/>
        <v>149.69396386398193</v>
      </c>
      <c r="AO295" s="142">
        <f t="shared" si="144"/>
        <v>147.9018895356665</v>
      </c>
      <c r="AP295" s="142">
        <f t="shared" si="144"/>
        <v>146.16671617062178</v>
      </c>
      <c r="AQ295" s="142">
        <f t="shared" si="141"/>
        <v>144.48494131523256</v>
      </c>
    </row>
    <row r="296" spans="7:43" ht="14.1" hidden="1" customHeight="1" x14ac:dyDescent="0.25">
      <c r="G296" s="106"/>
      <c r="H296" s="218"/>
      <c r="J296" s="210"/>
      <c r="K296" s="7" t="s">
        <v>123</v>
      </c>
      <c r="L296" s="140">
        <f t="shared" ref="L296:AP296" si="145">(L340+L517)*($N$43-1)</f>
        <v>343.39462414460377</v>
      </c>
      <c r="M296" s="140">
        <f t="shared" si="145"/>
        <v>321.20728979564939</v>
      </c>
      <c r="N296" s="140">
        <f t="shared" si="145"/>
        <v>304.65463212903137</v>
      </c>
      <c r="O296" s="140">
        <f t="shared" si="145"/>
        <v>291.18946238577752</v>
      </c>
      <c r="P296" s="140">
        <f t="shared" si="145"/>
        <v>279.67719476775727</v>
      </c>
      <c r="Q296" s="140">
        <f t="shared" si="145"/>
        <v>269.51260665791591</v>
      </c>
      <c r="R296" s="140">
        <f t="shared" si="145"/>
        <v>260.3344340888201</v>
      </c>
      <c r="S296" s="140">
        <f t="shared" si="145"/>
        <v>251.90965439416479</v>
      </c>
      <c r="T296" s="140">
        <f t="shared" si="145"/>
        <v>244.07916133324713</v>
      </c>
      <c r="U296" s="140">
        <f t="shared" si="145"/>
        <v>236.7294709003809</v>
      </c>
      <c r="V296" s="140">
        <f t="shared" si="145"/>
        <v>229.77679070290785</v>
      </c>
      <c r="W296" s="140">
        <f t="shared" si="145"/>
        <v>223.15748787411516</v>
      </c>
      <c r="X296" s="140">
        <f t="shared" si="145"/>
        <v>219.61220259306654</v>
      </c>
      <c r="Y296" s="140">
        <f t="shared" si="145"/>
        <v>216.3116209596547</v>
      </c>
      <c r="Z296" s="140">
        <f t="shared" si="145"/>
        <v>213.22413303628977</v>
      </c>
      <c r="AA296" s="140">
        <f t="shared" si="145"/>
        <v>210.32388393826955</v>
      </c>
      <c r="AB296" s="140">
        <f t="shared" si="145"/>
        <v>207.58945635395355</v>
      </c>
      <c r="AC296" s="140">
        <f t="shared" si="145"/>
        <v>205.0029097492361</v>
      </c>
      <c r="AD296" s="140">
        <f t="shared" si="145"/>
        <v>202.54906630535575</v>
      </c>
      <c r="AE296" s="140">
        <f t="shared" si="145"/>
        <v>200.21497125643128</v>
      </c>
      <c r="AF296" s="140">
        <f t="shared" si="145"/>
        <v>197.98947888480851</v>
      </c>
      <c r="AG296" s="140">
        <f t="shared" si="145"/>
        <v>195.86293062044436</v>
      </c>
      <c r="AH296" s="140">
        <f t="shared" si="145"/>
        <v>193.82690169965454</v>
      </c>
      <c r="AI296" s="140">
        <f t="shared" si="145"/>
        <v>191.87399957442165</v>
      </c>
      <c r="AJ296" s="140">
        <f t="shared" si="145"/>
        <v>189.99770188318089</v>
      </c>
      <c r="AK296" s="140">
        <f t="shared" si="145"/>
        <v>188.19222501731829</v>
      </c>
      <c r="AL296" s="140">
        <f t="shared" si="145"/>
        <v>186.45241660213227</v>
      </c>
      <c r="AM296" s="140">
        <f t="shared" si="145"/>
        <v>184.77366685357075</v>
      </c>
      <c r="AN296" s="140">
        <f t="shared" si="145"/>
        <v>183.15183496872046</v>
      </c>
      <c r="AO296" s="140">
        <f t="shared" si="145"/>
        <v>181.58318759052199</v>
      </c>
      <c r="AP296" s="140">
        <f t="shared" si="145"/>
        <v>180.06434704535556</v>
      </c>
      <c r="AQ296" s="140">
        <f t="shared" si="141"/>
        <v>178.59224754817328</v>
      </c>
    </row>
    <row r="297" spans="7:43" ht="14.1" hidden="1" customHeight="1" thickBot="1" x14ac:dyDescent="0.3">
      <c r="G297" s="106"/>
      <c r="H297" s="218"/>
      <c r="J297" s="210"/>
      <c r="K297" s="121" t="s">
        <v>124</v>
      </c>
      <c r="L297" s="145">
        <f t="shared" ref="L297:AP297" si="146">(L341+L518)*($N$43-1)</f>
        <v>362.35068472203028</v>
      </c>
      <c r="M297" s="145">
        <f t="shared" si="146"/>
        <v>347.89021446170631</v>
      </c>
      <c r="N297" s="145">
        <f t="shared" si="146"/>
        <v>336.97713384684999</v>
      </c>
      <c r="O297" s="145">
        <f t="shared" si="146"/>
        <v>328.00782450891234</v>
      </c>
      <c r="P297" s="145">
        <f t="shared" si="146"/>
        <v>320.26799206347926</v>
      </c>
      <c r="Q297" s="145">
        <f t="shared" si="146"/>
        <v>313.3766101329993</v>
      </c>
      <c r="R297" s="145">
        <f t="shared" si="146"/>
        <v>307.10623992557612</v>
      </c>
      <c r="S297" s="145">
        <f t="shared" si="146"/>
        <v>301.3101787570622</v>
      </c>
      <c r="T297" s="145">
        <f t="shared" si="146"/>
        <v>295.88825906459289</v>
      </c>
      <c r="U297" s="145">
        <f t="shared" si="146"/>
        <v>290.76903540251112</v>
      </c>
      <c r="V297" s="145">
        <f t="shared" si="146"/>
        <v>285.89975509611293</v>
      </c>
      <c r="W297" s="145">
        <f t="shared" si="146"/>
        <v>281.2403571826834</v>
      </c>
      <c r="X297" s="145">
        <f t="shared" si="146"/>
        <v>279.00837316563297</v>
      </c>
      <c r="Y297" s="145">
        <f t="shared" si="146"/>
        <v>276.93044575817584</v>
      </c>
      <c r="Z297" s="145">
        <f t="shared" si="146"/>
        <v>274.98667448125673</v>
      </c>
      <c r="AA297" s="145">
        <f t="shared" si="146"/>
        <v>273.16078202999211</v>
      </c>
      <c r="AB297" s="145">
        <f t="shared" si="146"/>
        <v>271.43928483578901</v>
      </c>
      <c r="AC297" s="145">
        <f t="shared" si="146"/>
        <v>269.81088818405948</v>
      </c>
      <c r="AD297" s="145">
        <f t="shared" si="146"/>
        <v>268.26603666636584</v>
      </c>
      <c r="AE297" s="145">
        <f t="shared" si="146"/>
        <v>266.7965744283552</v>
      </c>
      <c r="AF297" s="145">
        <f t="shared" si="146"/>
        <v>265.39548452733032</v>
      </c>
      <c r="AG297" s="145">
        <f t="shared" si="146"/>
        <v>264.0566862752068</v>
      </c>
      <c r="AH297" s="145">
        <f t="shared" si="146"/>
        <v>262.7748757439789</v>
      </c>
      <c r="AI297" s="145">
        <f t="shared" si="146"/>
        <v>261.545398851475</v>
      </c>
      <c r="AJ297" s="145">
        <f t="shared" si="146"/>
        <v>260.36414935359562</v>
      </c>
      <c r="AK297" s="145">
        <f t="shared" si="146"/>
        <v>259.22748609851118</v>
      </c>
      <c r="AL297" s="145">
        <f t="shared" si="146"/>
        <v>258.1321653365452</v>
      </c>
      <c r="AM297" s="145">
        <f t="shared" si="146"/>
        <v>257.07528491356595</v>
      </c>
      <c r="AN297" s="145">
        <f t="shared" si="146"/>
        <v>256.054237929088</v>
      </c>
      <c r="AO297" s="145">
        <f t="shared" si="146"/>
        <v>255.06667399587155</v>
      </c>
      <c r="AP297" s="145">
        <f t="shared" si="146"/>
        <v>254.11046665216892</v>
      </c>
      <c r="AQ297" s="145">
        <f t="shared" si="141"/>
        <v>253.18368579005249</v>
      </c>
    </row>
    <row r="298" spans="7:43" ht="14.1" hidden="1" customHeight="1" thickTop="1" x14ac:dyDescent="0.25">
      <c r="G298" s="106"/>
      <c r="H298" s="218"/>
      <c r="J298" s="211"/>
      <c r="K298" s="119" t="s">
        <v>125</v>
      </c>
      <c r="L298" s="142">
        <f t="shared" ref="L298:AP298" si="147">(L342+L519)*($N$43-1)</f>
        <v>355.86376167430416</v>
      </c>
      <c r="M298" s="142">
        <f t="shared" si="147"/>
        <v>328.77786019489372</v>
      </c>
      <c r="N298" s="142">
        <f t="shared" si="147"/>
        <v>308.60433776745396</v>
      </c>
      <c r="O298" s="142">
        <f t="shared" si="147"/>
        <v>292.21841275648927</v>
      </c>
      <c r="P298" s="142">
        <f t="shared" si="147"/>
        <v>278.22822409421673</v>
      </c>
      <c r="Q298" s="142">
        <f t="shared" si="147"/>
        <v>265.89131069977077</v>
      </c>
      <c r="R298" s="142">
        <f t="shared" si="147"/>
        <v>254.76448947294884</v>
      </c>
      <c r="S298" s="142">
        <f t="shared" si="147"/>
        <v>244.5618982271497</v>
      </c>
      <c r="T298" s="142">
        <f t="shared" si="147"/>
        <v>235.08835226815432</v>
      </c>
      <c r="U298" s="142">
        <f t="shared" si="147"/>
        <v>226.20463429781506</v>
      </c>
      <c r="V298" s="142">
        <f t="shared" si="147"/>
        <v>217.80795141205354</v>
      </c>
      <c r="W298" s="142">
        <f t="shared" si="147"/>
        <v>209.82024154632336</v>
      </c>
      <c r="X298" s="142">
        <f t="shared" si="147"/>
        <v>205.47103801760906</v>
      </c>
      <c r="Y298" s="142">
        <f t="shared" si="147"/>
        <v>201.4220264010888</v>
      </c>
      <c r="Z298" s="142">
        <f t="shared" si="147"/>
        <v>197.63442898461531</v>
      </c>
      <c r="AA298" s="142">
        <f t="shared" si="147"/>
        <v>194.07652810744545</v>
      </c>
      <c r="AB298" s="142">
        <f t="shared" si="147"/>
        <v>190.7220499326445</v>
      </c>
      <c r="AC298" s="142">
        <f t="shared" si="147"/>
        <v>187.54898578444886</v>
      </c>
      <c r="AD298" s="142">
        <f t="shared" si="147"/>
        <v>184.53871616747739</v>
      </c>
      <c r="AE298" s="142">
        <f t="shared" si="147"/>
        <v>181.67534873202681</v>
      </c>
      <c r="AF298" s="142">
        <f t="shared" si="147"/>
        <v>178.94521039096634</v>
      </c>
      <c r="AG298" s="142">
        <f t="shared" si="147"/>
        <v>176.33645242590407</v>
      </c>
      <c r="AH298" s="142">
        <f t="shared" si="147"/>
        <v>173.83873969903308</v>
      </c>
      <c r="AI298" s="142">
        <f t="shared" si="147"/>
        <v>171.44300335033947</v>
      </c>
      <c r="AJ298" s="142">
        <f t="shared" si="147"/>
        <v>169.14124202712969</v>
      </c>
      <c r="AK298" s="142">
        <f t="shared" si="147"/>
        <v>166.9263606470623</v>
      </c>
      <c r="AL298" s="142">
        <f t="shared" si="147"/>
        <v>164.79203849841551</v>
      </c>
      <c r="AM298" s="142">
        <f t="shared" si="147"/>
        <v>162.73262049634354</v>
      </c>
      <c r="AN298" s="142">
        <f t="shared" si="147"/>
        <v>160.74302688189519</v>
      </c>
      <c r="AO298" s="142">
        <f t="shared" si="147"/>
        <v>158.81867773317126</v>
      </c>
      <c r="AP298" s="142">
        <f t="shared" si="147"/>
        <v>156.9554294654217</v>
      </c>
      <c r="AQ298" s="142">
        <f t="shared" si="141"/>
        <v>155.14952110538414</v>
      </c>
    </row>
    <row r="299" spans="7:43" ht="14.1" hidden="1" customHeight="1" x14ac:dyDescent="0.25">
      <c r="G299" s="106"/>
      <c r="H299" s="218"/>
      <c r="J299" s="211"/>
      <c r="K299" s="7" t="s">
        <v>126</v>
      </c>
      <c r="L299" s="140">
        <f t="shared" ref="L299:AP299" si="148">(L343+L520)*($N$43-1)</f>
        <v>368.74092899383544</v>
      </c>
      <c r="M299" s="140">
        <f t="shared" si="148"/>
        <v>344.91592503487698</v>
      </c>
      <c r="N299" s="140">
        <f t="shared" si="148"/>
        <v>327.14149894853432</v>
      </c>
      <c r="O299" s="140">
        <f t="shared" si="148"/>
        <v>312.68245139484787</v>
      </c>
      <c r="P299" s="140">
        <f t="shared" si="148"/>
        <v>300.32045164931066</v>
      </c>
      <c r="Q299" s="140">
        <f t="shared" si="148"/>
        <v>289.40560500079619</v>
      </c>
      <c r="R299" s="140">
        <f t="shared" si="148"/>
        <v>279.54998222270353</v>
      </c>
      <c r="S299" s="140">
        <f t="shared" si="148"/>
        <v>270.50336100982332</v>
      </c>
      <c r="T299" s="140">
        <f t="shared" si="148"/>
        <v>262.09489132875274</v>
      </c>
      <c r="U299" s="140">
        <f t="shared" si="148"/>
        <v>254.20271280445826</v>
      </c>
      <c r="V299" s="140">
        <f t="shared" si="148"/>
        <v>246.73684824295111</v>
      </c>
      <c r="W299" s="140">
        <f t="shared" si="148"/>
        <v>239.62896797120661</v>
      </c>
      <c r="X299" s="140">
        <f t="shared" si="148"/>
        <v>235.82200159443673</v>
      </c>
      <c r="Y299" s="140">
        <f t="shared" si="148"/>
        <v>232.27780068926543</v>
      </c>
      <c r="Z299" s="140">
        <f t="shared" si="148"/>
        <v>228.96242215660848</v>
      </c>
      <c r="AA299" s="140">
        <f t="shared" si="148"/>
        <v>225.84810273654912</v>
      </c>
      <c r="AB299" s="140">
        <f t="shared" si="148"/>
        <v>222.91184428399265</v>
      </c>
      <c r="AC299" s="140">
        <f t="shared" si="148"/>
        <v>220.13438205584856</v>
      </c>
      <c r="AD299" s="140">
        <f t="shared" si="148"/>
        <v>217.49941794318721</v>
      </c>
      <c r="AE299" s="140">
        <f t="shared" si="148"/>
        <v>214.99304097574259</v>
      </c>
      <c r="AF299" s="140">
        <f t="shared" si="148"/>
        <v>212.60328275915708</v>
      </c>
      <c r="AG299" s="140">
        <f t="shared" si="148"/>
        <v>210.3197718145546</v>
      </c>
      <c r="AH299" s="140">
        <f t="shared" si="148"/>
        <v>208.13346153791434</v>
      </c>
      <c r="AI299" s="140">
        <f t="shared" si="148"/>
        <v>206.03641372976585</v>
      </c>
      <c r="AJ299" s="140">
        <f t="shared" si="148"/>
        <v>204.02162460643424</v>
      </c>
      <c r="AK299" s="140">
        <f t="shared" si="148"/>
        <v>202.08288366529851</v>
      </c>
      <c r="AL299" s="140">
        <f t="shared" si="148"/>
        <v>200.21465822966434</v>
      </c>
      <c r="AM299" s="140">
        <f t="shared" si="148"/>
        <v>198.41199826265196</v>
      </c>
      <c r="AN299" s="140">
        <f t="shared" si="148"/>
        <v>196.67045732449304</v>
      </c>
      <c r="AO299" s="140">
        <f t="shared" si="148"/>
        <v>194.98602649526416</v>
      </c>
      <c r="AP299" s="140">
        <f t="shared" si="148"/>
        <v>193.35507879183609</v>
      </c>
      <c r="AQ299" s="140">
        <f t="shared" ref="AQ299" si="149">(AQ343+AQ520)*($N$43-1)</f>
        <v>191.774322140463</v>
      </c>
    </row>
    <row r="300" spans="7:43" ht="14.1" hidden="1" customHeight="1" thickBot="1" x14ac:dyDescent="0.3">
      <c r="G300" s="106"/>
      <c r="H300" s="218"/>
      <c r="J300" s="211"/>
      <c r="K300" s="121" t="s">
        <v>127</v>
      </c>
      <c r="L300" s="141">
        <f t="shared" ref="L300:AP300" si="150">(L344+L521)*($N$43-1)</f>
        <v>389.09615559295725</v>
      </c>
      <c r="M300" s="141">
        <f t="shared" si="150"/>
        <v>373.56834338342708</v>
      </c>
      <c r="N300" s="141">
        <f t="shared" si="150"/>
        <v>361.84975724035411</v>
      </c>
      <c r="O300" s="141">
        <f t="shared" si="150"/>
        <v>352.21841409995744</v>
      </c>
      <c r="P300" s="141">
        <f t="shared" si="150"/>
        <v>343.90729678618197</v>
      </c>
      <c r="Q300" s="141">
        <f t="shared" si="150"/>
        <v>336.50725497881109</v>
      </c>
      <c r="R300" s="141">
        <f t="shared" si="150"/>
        <v>329.77406239846698</v>
      </c>
      <c r="S300" s="141">
        <f t="shared" si="150"/>
        <v>323.55018808736844</v>
      </c>
      <c r="T300" s="141">
        <f t="shared" si="150"/>
        <v>317.72807101342966</v>
      </c>
      <c r="U300" s="141">
        <f t="shared" si="150"/>
        <v>312.23099227032048</v>
      </c>
      <c r="V300" s="141">
        <f t="shared" si="150"/>
        <v>307.00230545501211</v>
      </c>
      <c r="W300" s="141">
        <f t="shared" si="150"/>
        <v>301.99899266457533</v>
      </c>
      <c r="X300" s="141">
        <f t="shared" si="150"/>
        <v>299.60226364764117</v>
      </c>
      <c r="Y300" s="141">
        <f t="shared" si="150"/>
        <v>297.37096231461612</v>
      </c>
      <c r="Z300" s="141">
        <f t="shared" si="150"/>
        <v>295.28371931193919</v>
      </c>
      <c r="AA300" s="141">
        <f t="shared" si="150"/>
        <v>293.32305589037486</v>
      </c>
      <c r="AB300" s="141">
        <f t="shared" si="150"/>
        <v>291.47449324548205</v>
      </c>
      <c r="AC300" s="141">
        <f t="shared" si="150"/>
        <v>289.72590298835462</v>
      </c>
      <c r="AD300" s="141">
        <f t="shared" si="150"/>
        <v>288.06702441618449</v>
      </c>
      <c r="AE300" s="141">
        <f t="shared" si="150"/>
        <v>286.4890996827524</v>
      </c>
      <c r="AF300" s="141">
        <f t="shared" si="150"/>
        <v>284.98459391771672</v>
      </c>
      <c r="AG300" s="141">
        <f t="shared" si="150"/>
        <v>283.54697761124982</v>
      </c>
      <c r="AH300" s="141">
        <f t="shared" si="150"/>
        <v>282.17055534705031</v>
      </c>
      <c r="AI300" s="141">
        <f t="shared" si="150"/>
        <v>280.85032952042985</v>
      </c>
      <c r="AJ300" s="141">
        <f t="shared" si="150"/>
        <v>279.58189080125487</v>
      </c>
      <c r="AK300" s="141">
        <f t="shared" si="150"/>
        <v>278.36132928059317</v>
      </c>
      <c r="AL300" s="141">
        <f t="shared" si="150"/>
        <v>277.18516178432071</v>
      </c>
      <c r="AM300" s="141">
        <f t="shared" si="150"/>
        <v>276.05027194737136</v>
      </c>
      <c r="AN300" s="141">
        <f t="shared" si="150"/>
        <v>274.95386045129561</v>
      </c>
      <c r="AO300" s="141">
        <f t="shared" si="150"/>
        <v>273.89340342439215</v>
      </c>
      <c r="AP300" s="141">
        <f t="shared" si="150"/>
        <v>272.86661744861868</v>
      </c>
      <c r="AQ300" s="141">
        <f t="shared" ref="AQ300:AQ306" si="151">(AQ344+AQ521)*($N$43-1)</f>
        <v>271.8714299528279</v>
      </c>
    </row>
    <row r="301" spans="7:43" ht="14.1" hidden="1" customHeight="1" thickTop="1" x14ac:dyDescent="0.25">
      <c r="G301" s="106"/>
      <c r="H301" s="218"/>
      <c r="J301" s="211"/>
      <c r="K301" s="119" t="s">
        <v>128</v>
      </c>
      <c r="L301" s="142">
        <f t="shared" ref="L301:AP301" si="152">(L345+L522)*($N$43-1)</f>
        <v>372.08619622667356</v>
      </c>
      <c r="M301" s="142">
        <f t="shared" si="152"/>
        <v>343.7655546265654</v>
      </c>
      <c r="N301" s="142">
        <f t="shared" si="152"/>
        <v>322.67240035538259</v>
      </c>
      <c r="O301" s="142">
        <f t="shared" si="152"/>
        <v>305.53950522635984</v>
      </c>
      <c r="P301" s="142">
        <f t="shared" si="152"/>
        <v>290.91155867921248</v>
      </c>
      <c r="Q301" s="142">
        <f t="shared" si="152"/>
        <v>278.01225374150278</v>
      </c>
      <c r="R301" s="142">
        <f t="shared" si="152"/>
        <v>266.37820433196629</v>
      </c>
      <c r="S301" s="142">
        <f t="shared" si="152"/>
        <v>255.71051692697739</v>
      </c>
      <c r="T301" s="142">
        <f t="shared" si="152"/>
        <v>245.80510912687851</v>
      </c>
      <c r="U301" s="142">
        <f t="shared" si="152"/>
        <v>236.51641726237966</v>
      </c>
      <c r="V301" s="142">
        <f t="shared" si="152"/>
        <v>227.73696250366766</v>
      </c>
      <c r="W301" s="142">
        <f t="shared" si="152"/>
        <v>219.38512424253562</v>
      </c>
      <c r="X301" s="142">
        <f t="shared" si="152"/>
        <v>214.83765756595952</v>
      </c>
      <c r="Y301" s="142">
        <f t="shared" si="152"/>
        <v>210.60406737464496</v>
      </c>
      <c r="Z301" s="142">
        <f t="shared" si="152"/>
        <v>206.64380823248638</v>
      </c>
      <c r="AA301" s="142">
        <f t="shared" si="152"/>
        <v>202.92371659486329</v>
      </c>
      <c r="AB301" s="142">
        <f t="shared" si="152"/>
        <v>199.41632090356097</v>
      </c>
      <c r="AC301" s="142">
        <f t="shared" si="152"/>
        <v>196.09860919352204</v>
      </c>
      <c r="AD301" s="142">
        <f t="shared" si="152"/>
        <v>192.95111317952563</v>
      </c>
      <c r="AE301" s="142">
        <f t="shared" si="152"/>
        <v>189.95721604191479</v>
      </c>
      <c r="AF301" s="142">
        <f t="shared" si="152"/>
        <v>187.1026213910902</v>
      </c>
      <c r="AG301" s="142">
        <f t="shared" si="152"/>
        <v>184.37494037201395</v>
      </c>
      <c r="AH301" s="142">
        <f t="shared" si="152"/>
        <v>181.76336670844168</v>
      </c>
      <c r="AI301" s="142">
        <f t="shared" si="152"/>
        <v>179.25841812656492</v>
      </c>
      <c r="AJ301" s="142">
        <f t="shared" si="152"/>
        <v>176.85172852337163</v>
      </c>
      <c r="AK301" s="142">
        <f t="shared" si="152"/>
        <v>174.53587937951636</v>
      </c>
      <c r="AL301" s="142">
        <f t="shared" si="152"/>
        <v>172.30426184679558</v>
      </c>
      <c r="AM301" s="142">
        <f t="shared" si="152"/>
        <v>170.15096304720328</v>
      </c>
      <c r="AN301" s="142">
        <f t="shared" si="152"/>
        <v>168.07067165548096</v>
      </c>
      <c r="AO301" s="142">
        <f t="shared" si="152"/>
        <v>166.05859896903519</v>
      </c>
      <c r="AP301" s="142">
        <f t="shared" si="152"/>
        <v>164.11041251332242</v>
      </c>
      <c r="AQ301" s="142">
        <f t="shared" si="151"/>
        <v>162.2221798670455</v>
      </c>
    </row>
    <row r="302" spans="7:43" ht="14.1" hidden="1" customHeight="1" x14ac:dyDescent="0.25">
      <c r="G302" s="106"/>
      <c r="H302" s="218"/>
      <c r="J302" s="211"/>
      <c r="K302" s="7" t="s">
        <v>129</v>
      </c>
      <c r="L302" s="140">
        <f t="shared" ref="L302:AP302" si="153">(L346+L523)*($N$43-1)</f>
        <v>385.5503831490949</v>
      </c>
      <c r="M302" s="140">
        <f t="shared" si="153"/>
        <v>360.63929061057519</v>
      </c>
      <c r="N302" s="140">
        <f t="shared" si="153"/>
        <v>342.05459808256114</v>
      </c>
      <c r="O302" s="140">
        <f t="shared" si="153"/>
        <v>326.93641920421919</v>
      </c>
      <c r="P302" s="140">
        <f t="shared" si="153"/>
        <v>314.01088432696514</v>
      </c>
      <c r="Q302" s="140">
        <f t="shared" si="153"/>
        <v>302.59847258620414</v>
      </c>
      <c r="R302" s="140">
        <f t="shared" si="153"/>
        <v>292.2935705818756</v>
      </c>
      <c r="S302" s="140">
        <f t="shared" si="153"/>
        <v>282.83454935429438</v>
      </c>
      <c r="T302" s="140">
        <f t="shared" si="153"/>
        <v>274.04277048645804</v>
      </c>
      <c r="U302" s="140">
        <f t="shared" si="153"/>
        <v>265.79081846630777</v>
      </c>
      <c r="V302" s="140">
        <f t="shared" si="153"/>
        <v>257.98461439212849</v>
      </c>
      <c r="W302" s="140">
        <f t="shared" si="153"/>
        <v>250.55271370883113</v>
      </c>
      <c r="X302" s="140">
        <f t="shared" si="153"/>
        <v>246.57220265136755</v>
      </c>
      <c r="Y302" s="140">
        <f t="shared" si="153"/>
        <v>242.86643551378734</v>
      </c>
      <c r="Z302" s="140">
        <f t="shared" si="153"/>
        <v>239.39992186411453</v>
      </c>
      <c r="AA302" s="140">
        <f t="shared" si="153"/>
        <v>236.14363282419447</v>
      </c>
      <c r="AB302" s="140">
        <f t="shared" si="153"/>
        <v>233.07352185360887</v>
      </c>
      <c r="AC302" s="140">
        <f t="shared" si="153"/>
        <v>230.16944600511249</v>
      </c>
      <c r="AD302" s="140">
        <f t="shared" si="153"/>
        <v>227.41436420284893</v>
      </c>
      <c r="AE302" s="140">
        <f t="shared" si="153"/>
        <v>224.79373132992345</v>
      </c>
      <c r="AF302" s="140">
        <f t="shared" si="153"/>
        <v>222.29503339977404</v>
      </c>
      <c r="AG302" s="140">
        <f t="shared" si="153"/>
        <v>219.90742613844029</v>
      </c>
      <c r="AH302" s="140">
        <f t="shared" si="153"/>
        <v>217.62145054267032</v>
      </c>
      <c r="AI302" s="140">
        <f t="shared" si="153"/>
        <v>215.42880654158321</v>
      </c>
      <c r="AJ302" s="140">
        <f t="shared" si="153"/>
        <v>213.32217107644851</v>
      </c>
      <c r="AK302" s="140">
        <f t="shared" si="153"/>
        <v>211.29505053216468</v>
      </c>
      <c r="AL302" s="140">
        <f t="shared" si="153"/>
        <v>209.34166001898492</v>
      </c>
      <c r="AM302" s="140">
        <f t="shared" si="153"/>
        <v>207.45682384724338</v>
      </c>
      <c r="AN302" s="140">
        <f t="shared" si="153"/>
        <v>205.63589288140471</v>
      </c>
      <c r="AO302" s="140">
        <f t="shared" si="153"/>
        <v>203.8746754505938</v>
      </c>
      <c r="AP302" s="140">
        <f t="shared" si="153"/>
        <v>202.16937923173185</v>
      </c>
      <c r="AQ302" s="140">
        <f t="shared" si="151"/>
        <v>200.51656207832994</v>
      </c>
    </row>
    <row r="303" spans="7:43" ht="14.1" hidden="1" customHeight="1" thickBot="1" x14ac:dyDescent="0.3">
      <c r="G303" s="106"/>
      <c r="H303" s="218"/>
      <c r="J303" s="211"/>
      <c r="K303" s="121" t="s">
        <v>130</v>
      </c>
      <c r="L303" s="141">
        <f t="shared" ref="L303:AP303" si="154">(L347+L524)*($N$43-1)</f>
        <v>406.83352477319499</v>
      </c>
      <c r="M303" s="141">
        <f t="shared" si="154"/>
        <v>390.59786044597399</v>
      </c>
      <c r="N303" s="141">
        <f t="shared" si="154"/>
        <v>378.34506987630289</v>
      </c>
      <c r="O303" s="141">
        <f t="shared" si="154"/>
        <v>368.27467153958213</v>
      </c>
      <c r="P303" s="141">
        <f t="shared" si="154"/>
        <v>359.58468295202078</v>
      </c>
      <c r="Q303" s="141">
        <f t="shared" si="154"/>
        <v>351.84730223343269</v>
      </c>
      <c r="R303" s="141">
        <f t="shared" si="154"/>
        <v>344.80716978528858</v>
      </c>
      <c r="S303" s="141">
        <f t="shared" si="154"/>
        <v>338.29957343067844</v>
      </c>
      <c r="T303" s="141">
        <f t="shared" si="154"/>
        <v>332.21204885150831</v>
      </c>
      <c r="U303" s="141">
        <f t="shared" si="154"/>
        <v>326.46437982710796</v>
      </c>
      <c r="V303" s="141">
        <f t="shared" si="154"/>
        <v>320.99733766688581</v>
      </c>
      <c r="W303" s="141">
        <f t="shared" si="154"/>
        <v>315.76594345027064</v>
      </c>
      <c r="X303" s="141">
        <f t="shared" si="154"/>
        <v>313.25995694829771</v>
      </c>
      <c r="Y303" s="141">
        <f t="shared" si="154"/>
        <v>310.92693933016596</v>
      </c>
      <c r="Z303" s="141">
        <f t="shared" si="154"/>
        <v>308.74454709721471</v>
      </c>
      <c r="AA303" s="141">
        <f t="shared" si="154"/>
        <v>306.69450471251605</v>
      </c>
      <c r="AB303" s="141">
        <f t="shared" si="154"/>
        <v>304.76167333966492</v>
      </c>
      <c r="AC303" s="141">
        <f t="shared" si="154"/>
        <v>302.93337170402651</v>
      </c>
      <c r="AD303" s="141">
        <f t="shared" si="154"/>
        <v>301.19887135755505</v>
      </c>
      <c r="AE303" s="141">
        <f t="shared" si="154"/>
        <v>299.54901521813701</v>
      </c>
      <c r="AF303" s="141">
        <f t="shared" si="154"/>
        <v>297.97592493021511</v>
      </c>
      <c r="AG303" s="141">
        <f t="shared" si="154"/>
        <v>296.47277332919236</v>
      </c>
      <c r="AH303" s="141">
        <f t="shared" si="154"/>
        <v>295.03360536705401</v>
      </c>
      <c r="AI303" s="141">
        <f t="shared" si="154"/>
        <v>293.65319561789545</v>
      </c>
      <c r="AJ303" s="141">
        <f t="shared" si="154"/>
        <v>292.32693374749914</v>
      </c>
      <c r="AK303" s="141">
        <f t="shared" si="154"/>
        <v>291.05073160950423</v>
      </c>
      <c r="AL303" s="141">
        <f t="shared" si="154"/>
        <v>289.82094724552621</v>
      </c>
      <c r="AM303" s="141">
        <f t="shared" si="154"/>
        <v>288.634322227626</v>
      </c>
      <c r="AN303" s="141">
        <f t="shared" si="154"/>
        <v>287.48792962739435</v>
      </c>
      <c r="AO303" s="141">
        <f t="shared" si="154"/>
        <v>286.37913051970804</v>
      </c>
      <c r="AP303" s="141">
        <f t="shared" si="154"/>
        <v>285.30553739444315</v>
      </c>
      <c r="AQ303" s="141">
        <f t="shared" si="151"/>
        <v>284.26498320005436</v>
      </c>
    </row>
    <row r="304" spans="7:43" ht="14.1" hidden="1" customHeight="1" thickTop="1" x14ac:dyDescent="0.25">
      <c r="G304" s="106"/>
      <c r="H304" s="218"/>
      <c r="J304" s="211"/>
      <c r="K304" s="119" t="s">
        <v>131</v>
      </c>
      <c r="L304" s="142">
        <f t="shared" ref="L304:AP304" si="155">(L348+L525)*($N$43-1)</f>
        <v>382.85913623671695</v>
      </c>
      <c r="M304" s="142">
        <f t="shared" si="155"/>
        <v>353.71853255229104</v>
      </c>
      <c r="N304" s="142">
        <f t="shared" si="155"/>
        <v>332.01467224608075</v>
      </c>
      <c r="O304" s="142">
        <f t="shared" si="155"/>
        <v>314.38573170259474</v>
      </c>
      <c r="P304" s="142">
        <f t="shared" si="155"/>
        <v>299.33426503505427</v>
      </c>
      <c r="Q304" s="142">
        <f t="shared" si="155"/>
        <v>286.06148900469339</v>
      </c>
      <c r="R304" s="142">
        <f t="shared" si="155"/>
        <v>274.09060120224194</v>
      </c>
      <c r="S304" s="142">
        <f t="shared" si="155"/>
        <v>263.11405429742405</v>
      </c>
      <c r="T304" s="142">
        <f t="shared" si="155"/>
        <v>252.92185713215218</v>
      </c>
      <c r="U304" s="142">
        <f t="shared" si="155"/>
        <v>243.36423156024139</v>
      </c>
      <c r="V304" s="142">
        <f t="shared" si="155"/>
        <v>234.33058693800953</v>
      </c>
      <c r="W304" s="142">
        <f t="shared" si="155"/>
        <v>225.73693951149275</v>
      </c>
      <c r="X304" s="142">
        <f t="shared" si="155"/>
        <v>221.05781090765021</v>
      </c>
      <c r="Y304" s="142">
        <f t="shared" si="155"/>
        <v>216.70164639452355</v>
      </c>
      <c r="Z304" s="142">
        <f t="shared" si="155"/>
        <v>212.62672663180086</v>
      </c>
      <c r="AA304" s="142">
        <f t="shared" si="155"/>
        <v>208.79892789713844</v>
      </c>
      <c r="AB304" s="142">
        <f t="shared" si="155"/>
        <v>205.18998325358515</v>
      </c>
      <c r="AC304" s="142">
        <f t="shared" si="155"/>
        <v>201.77621447508912</v>
      </c>
      <c r="AD304" s="142">
        <f t="shared" si="155"/>
        <v>198.53758961491542</v>
      </c>
      <c r="AE304" s="142">
        <f t="shared" si="155"/>
        <v>195.45701074982637</v>
      </c>
      <c r="AF304" s="142">
        <f t="shared" si="155"/>
        <v>192.51976756960676</v>
      </c>
      <c r="AG304" s="142">
        <f t="shared" si="155"/>
        <v>189.71311252708369</v>
      </c>
      <c r="AH304" s="142">
        <f t="shared" si="155"/>
        <v>187.02592647397699</v>
      </c>
      <c r="AI304" s="142">
        <f t="shared" si="155"/>
        <v>184.44845259803</v>
      </c>
      <c r="AJ304" s="142">
        <f t="shared" si="155"/>
        <v>181.97208257406083</v>
      </c>
      <c r="AK304" s="142">
        <f t="shared" si="155"/>
        <v>179.58918309576131</v>
      </c>
      <c r="AL304" s="142">
        <f t="shared" si="155"/>
        <v>177.29295397021832</v>
      </c>
      <c r="AM304" s="142">
        <f t="shared" si="155"/>
        <v>175.07731112500718</v>
      </c>
      <c r="AN304" s="142">
        <f t="shared" si="155"/>
        <v>172.93678945709161</v>
      </c>
      <c r="AO304" s="142">
        <f t="shared" si="155"/>
        <v>170.86646161749383</v>
      </c>
      <c r="AP304" s="142">
        <f t="shared" si="155"/>
        <v>168.86186969436892</v>
      </c>
      <c r="AQ304" s="142">
        <f t="shared" si="151"/>
        <v>166.91896741178292</v>
      </c>
    </row>
    <row r="305" spans="7:78" ht="14.1" hidden="1" customHeight="1" x14ac:dyDescent="0.25">
      <c r="G305" s="106"/>
      <c r="H305" s="218"/>
      <c r="J305" s="211"/>
      <c r="K305" s="7" t="s">
        <v>132</v>
      </c>
      <c r="L305" s="140">
        <f t="shared" ref="L305:AP305" si="156">(L349+L526)*($N$43-1)</f>
        <v>396.71314917114893</v>
      </c>
      <c r="M305" s="140">
        <f t="shared" si="156"/>
        <v>371.08081056592846</v>
      </c>
      <c r="N305" s="140">
        <f t="shared" si="156"/>
        <v>351.95803901283989</v>
      </c>
      <c r="O305" s="140">
        <f t="shared" si="156"/>
        <v>336.40214641179301</v>
      </c>
      <c r="P305" s="140">
        <f t="shared" si="156"/>
        <v>323.10238101149758</v>
      </c>
      <c r="Q305" s="140">
        <f t="shared" si="156"/>
        <v>311.35954791057895</v>
      </c>
      <c r="R305" s="140">
        <f t="shared" si="156"/>
        <v>300.7562900622878</v>
      </c>
      <c r="S305" s="140">
        <f t="shared" si="156"/>
        <v>291.02340361403498</v>
      </c>
      <c r="T305" s="140">
        <f t="shared" si="156"/>
        <v>281.97707806511983</v>
      </c>
      <c r="U305" s="140">
        <f t="shared" si="156"/>
        <v>273.48620886669107</v>
      </c>
      <c r="V305" s="140">
        <f t="shared" si="156"/>
        <v>265.45399326870336</v>
      </c>
      <c r="W305" s="140">
        <f t="shared" si="156"/>
        <v>257.80691819561758</v>
      </c>
      <c r="X305" s="140">
        <f t="shared" si="156"/>
        <v>253.71116016778467</v>
      </c>
      <c r="Y305" s="140">
        <f t="shared" si="156"/>
        <v>249.8981006676573</v>
      </c>
      <c r="Z305" s="140">
        <f t="shared" si="156"/>
        <v>246.33122171561465</v>
      </c>
      <c r="AA305" s="140">
        <f t="shared" si="156"/>
        <v>242.98065396598125</v>
      </c>
      <c r="AB305" s="140">
        <f t="shared" si="156"/>
        <v>239.82165466348297</v>
      </c>
      <c r="AC305" s="140">
        <f t="shared" si="156"/>
        <v>236.83349766600091</v>
      </c>
      <c r="AD305" s="140">
        <f t="shared" si="156"/>
        <v>233.99864851068975</v>
      </c>
      <c r="AE305" s="140">
        <f t="shared" si="156"/>
        <v>231.30214095868533</v>
      </c>
      <c r="AF305" s="140">
        <f t="shared" si="156"/>
        <v>228.73109870838198</v>
      </c>
      <c r="AG305" s="140">
        <f t="shared" si="156"/>
        <v>226.27436351364264</v>
      </c>
      <c r="AH305" s="140">
        <f t="shared" si="156"/>
        <v>223.92220250651533</v>
      </c>
      <c r="AI305" s="140">
        <f t="shared" si="156"/>
        <v>221.66607530576468</v>
      </c>
      <c r="AJ305" s="140">
        <f t="shared" si="156"/>
        <v>219.49844682955063</v>
      </c>
      <c r="AK305" s="140">
        <f t="shared" si="156"/>
        <v>217.41263545438363</v>
      </c>
      <c r="AL305" s="140">
        <f t="shared" si="156"/>
        <v>215.40268880171772</v>
      </c>
      <c r="AM305" s="140">
        <f t="shared" si="156"/>
        <v>213.46328133114048</v>
      </c>
      <c r="AN305" s="140">
        <f t="shared" si="156"/>
        <v>211.58962930159035</v>
      </c>
      <c r="AO305" s="140">
        <f t="shared" si="156"/>
        <v>209.77741968155237</v>
      </c>
      <c r="AP305" s="140">
        <f t="shared" si="156"/>
        <v>208.02275034954772</v>
      </c>
      <c r="AQ305" s="140">
        <f t="shared" si="151"/>
        <v>206.32207949928269</v>
      </c>
    </row>
    <row r="306" spans="7:78" ht="14.1" hidden="1" customHeight="1" thickBot="1" x14ac:dyDescent="0.3">
      <c r="G306" s="106"/>
      <c r="H306" s="218"/>
      <c r="J306" s="211"/>
      <c r="K306" s="121" t="s">
        <v>133</v>
      </c>
      <c r="L306" s="141">
        <f t="shared" ref="L306:AP306" si="157">(L350+L527)*($N$43-1)</f>
        <v>418.61249749753165</v>
      </c>
      <c r="M306" s="141">
        <f t="shared" si="157"/>
        <v>401.90676510652844</v>
      </c>
      <c r="N306" s="141">
        <f t="shared" si="157"/>
        <v>389.2992218502452</v>
      </c>
      <c r="O306" s="141">
        <f t="shared" si="157"/>
        <v>378.93725720910652</v>
      </c>
      <c r="P306" s="141">
        <f t="shared" si="157"/>
        <v>369.9956690548558</v>
      </c>
      <c r="Q306" s="141">
        <f t="shared" si="157"/>
        <v>362.03426944182456</v>
      </c>
      <c r="R306" s="141">
        <f t="shared" si="157"/>
        <v>354.79030539418625</v>
      </c>
      <c r="S306" s="141">
        <f t="shared" si="157"/>
        <v>348.09429585508082</v>
      </c>
      <c r="T306" s="141">
        <f t="shared" si="157"/>
        <v>341.8305203486629</v>
      </c>
      <c r="U306" s="141">
        <f t="shared" si="157"/>
        <v>335.91644016946725</v>
      </c>
      <c r="V306" s="141">
        <f t="shared" si="157"/>
        <v>330.29111179002581</v>
      </c>
      <c r="W306" s="141">
        <f t="shared" si="157"/>
        <v>324.90825402373838</v>
      </c>
      <c r="X306" s="141">
        <f t="shared" si="157"/>
        <v>322.32971217699458</v>
      </c>
      <c r="Y306" s="141">
        <f t="shared" si="157"/>
        <v>319.92914714888792</v>
      </c>
      <c r="Z306" s="141">
        <f t="shared" si="157"/>
        <v>317.68356853374257</v>
      </c>
      <c r="AA306" s="141">
        <f t="shared" si="157"/>
        <v>315.57417166652783</v>
      </c>
      <c r="AB306" s="141">
        <f t="shared" si="157"/>
        <v>313.58537939902266</v>
      </c>
      <c r="AC306" s="141">
        <f t="shared" si="157"/>
        <v>311.70414329808898</v>
      </c>
      <c r="AD306" s="141">
        <f t="shared" si="157"/>
        <v>309.91942429699014</v>
      </c>
      <c r="AE306" s="141">
        <f t="shared" si="157"/>
        <v>308.22180019037688</v>
      </c>
      <c r="AF306" s="141">
        <f t="shared" si="157"/>
        <v>306.60316452218012</v>
      </c>
      <c r="AG306" s="141">
        <f t="shared" si="157"/>
        <v>305.0564924622206</v>
      </c>
      <c r="AH306" s="141">
        <f t="shared" si="157"/>
        <v>303.57565654712482</v>
      </c>
      <c r="AI306" s="141">
        <f t="shared" si="157"/>
        <v>302.15528006023783</v>
      </c>
      <c r="AJ306" s="141">
        <f t="shared" si="157"/>
        <v>300.79061918522297</v>
      </c>
      <c r="AK306" s="141">
        <f t="shared" si="157"/>
        <v>299.47746741240491</v>
      </c>
      <c r="AL306" s="141">
        <f t="shared" si="157"/>
        <v>298.21207733847905</v>
      </c>
      <c r="AM306" s="141">
        <f t="shared" si="157"/>
        <v>296.99109619486961</v>
      </c>
      <c r="AN306" s="141">
        <f t="shared" si="157"/>
        <v>295.81151231037245</v>
      </c>
      <c r="AO306" s="141">
        <f t="shared" si="157"/>
        <v>294.67061035557316</v>
      </c>
      <c r="AP306" s="141">
        <f t="shared" si="157"/>
        <v>293.56593369522705</v>
      </c>
      <c r="AQ306" s="141">
        <f t="shared" si="151"/>
        <v>292.49525253556237</v>
      </c>
    </row>
    <row r="307" spans="7:78" ht="14.1" customHeight="1" thickTop="1" x14ac:dyDescent="0.25">
      <c r="G307" s="106"/>
      <c r="H307" s="218"/>
      <c r="J307" s="211"/>
      <c r="K307" s="119" t="s">
        <v>134</v>
      </c>
      <c r="L307" s="142">
        <f t="shared" ref="L307:AP307" si="158">(L351+L528)*($N$43-1)</f>
        <v>417.51991565161734</v>
      </c>
      <c r="M307" s="142">
        <f t="shared" si="158"/>
        <v>388.25333114047021</v>
      </c>
      <c r="N307" s="142">
        <f t="shared" si="158"/>
        <v>366.45564057960803</v>
      </c>
      <c r="O307" s="142">
        <f t="shared" si="158"/>
        <v>348.75048649820297</v>
      </c>
      <c r="P307" s="142">
        <f t="shared" si="158"/>
        <v>333.63394924274053</v>
      </c>
      <c r="Q307" s="142">
        <f t="shared" si="158"/>
        <v>320.30379227012816</v>
      </c>
      <c r="R307" s="142">
        <f t="shared" si="158"/>
        <v>308.28115185615661</v>
      </c>
      <c r="S307" s="142">
        <f t="shared" si="158"/>
        <v>297.25715108014958</v>
      </c>
      <c r="T307" s="142">
        <f t="shared" si="158"/>
        <v>287.02089094902806</v>
      </c>
      <c r="U307" s="142">
        <f t="shared" si="158"/>
        <v>277.42194579485744</v>
      </c>
      <c r="V307" s="142">
        <f t="shared" si="158"/>
        <v>268.34924686784382</v>
      </c>
      <c r="W307" s="142">
        <f t="shared" si="158"/>
        <v>259.71844733497164</v>
      </c>
      <c r="X307" s="142">
        <f t="shared" si="158"/>
        <v>255.01908989523301</v>
      </c>
      <c r="Y307" s="142">
        <f t="shared" si="158"/>
        <v>250.64409278643873</v>
      </c>
      <c r="Z307" s="142">
        <f t="shared" si="158"/>
        <v>246.55155630698329</v>
      </c>
      <c r="AA307" s="142">
        <f t="shared" si="158"/>
        <v>242.70720921064867</v>
      </c>
      <c r="AB307" s="142">
        <f t="shared" si="158"/>
        <v>239.08266235669814</v>
      </c>
      <c r="AC307" s="142">
        <f t="shared" si="158"/>
        <v>235.65413515323581</v>
      </c>
      <c r="AD307" s="142">
        <f t="shared" si="158"/>
        <v>232.40150905129846</v>
      </c>
      <c r="AE307" s="142">
        <f t="shared" si="158"/>
        <v>229.30761220980762</v>
      </c>
      <c r="AF307" s="142">
        <f t="shared" si="158"/>
        <v>226.35767072284963</v>
      </c>
      <c r="AG307" s="142">
        <f t="shared" si="158"/>
        <v>223.53888193298187</v>
      </c>
      <c r="AH307" s="142">
        <f t="shared" si="158"/>
        <v>220.84007862155789</v>
      </c>
      <c r="AI307" s="142">
        <f t="shared" si="158"/>
        <v>218.25146179561369</v>
      </c>
      <c r="AJ307" s="142">
        <f t="shared" si="158"/>
        <v>215.76438591440603</v>
      </c>
      <c r="AK307" s="142">
        <f t="shared" si="158"/>
        <v>213.3711846712728</v>
      </c>
      <c r="AL307" s="142">
        <f t="shared" si="158"/>
        <v>211.0650284746674</v>
      </c>
      <c r="AM307" s="142">
        <f t="shared" si="158"/>
        <v>208.839806949468</v>
      </c>
      <c r="AN307" s="142">
        <f t="shared" si="158"/>
        <v>206.69003136587312</v>
      </c>
      <c r="AO307" s="142">
        <f t="shared" si="158"/>
        <v>204.61075307296144</v>
      </c>
      <c r="AP307" s="142">
        <f t="shared" si="158"/>
        <v>202.59749488641765</v>
      </c>
      <c r="AQ307" s="142">
        <f t="shared" ref="AQ307" si="159">(AQ351+AQ528)*($N$43-1)</f>
        <v>200.64619303742427</v>
      </c>
    </row>
    <row r="308" spans="7:78" ht="14.1" customHeight="1" x14ac:dyDescent="0.25">
      <c r="G308" s="106"/>
      <c r="H308" s="218"/>
      <c r="J308" s="211"/>
      <c r="K308" s="7" t="s">
        <v>135</v>
      </c>
      <c r="L308" s="140">
        <f t="shared" ref="L308:AP308" si="160">(L352+L529)*($N$43-1)</f>
        <v>431.43382233505281</v>
      </c>
      <c r="M308" s="140">
        <f t="shared" si="160"/>
        <v>405.69066985503235</v>
      </c>
      <c r="N308" s="140">
        <f t="shared" si="160"/>
        <v>386.48522662514699</v>
      </c>
      <c r="O308" s="140">
        <f t="shared" si="160"/>
        <v>370.86208269905933</v>
      </c>
      <c r="P308" s="140">
        <f t="shared" si="160"/>
        <v>357.5048196759119</v>
      </c>
      <c r="Q308" s="140">
        <f t="shared" si="160"/>
        <v>345.71121989088033</v>
      </c>
      <c r="R308" s="140">
        <f t="shared" si="160"/>
        <v>335.06212197681265</v>
      </c>
      <c r="S308" s="140">
        <f t="shared" si="160"/>
        <v>325.28715825746366</v>
      </c>
      <c r="T308" s="140">
        <f t="shared" si="160"/>
        <v>316.20172358151103</v>
      </c>
      <c r="U308" s="140">
        <f t="shared" si="160"/>
        <v>307.6741466081582</v>
      </c>
      <c r="V308" s="140">
        <f t="shared" si="160"/>
        <v>299.60720608914977</v>
      </c>
      <c r="W308" s="140">
        <f t="shared" si="160"/>
        <v>291.92707113679245</v>
      </c>
      <c r="X308" s="140">
        <f t="shared" si="160"/>
        <v>287.81360630411825</v>
      </c>
      <c r="Y308" s="140">
        <f t="shared" si="160"/>
        <v>283.98406216306284</v>
      </c>
      <c r="Z308" s="140">
        <f t="shared" si="160"/>
        <v>280.40176285926435</v>
      </c>
      <c r="AA308" s="140">
        <f t="shared" si="160"/>
        <v>277.0367099157188</v>
      </c>
      <c r="AB308" s="140">
        <f t="shared" si="160"/>
        <v>273.86405360912926</v>
      </c>
      <c r="AC308" s="140">
        <f t="shared" si="160"/>
        <v>270.86297819399908</v>
      </c>
      <c r="AD308" s="140">
        <f t="shared" si="160"/>
        <v>268.01587340239138</v>
      </c>
      <c r="AE308" s="140">
        <f t="shared" si="160"/>
        <v>265.30770829331163</v>
      </c>
      <c r="AF308" s="140">
        <f t="shared" si="160"/>
        <v>262.72555089825232</v>
      </c>
      <c r="AG308" s="140">
        <f t="shared" si="160"/>
        <v>260.25819473168201</v>
      </c>
      <c r="AH308" s="140">
        <f t="shared" si="160"/>
        <v>257.89586484845773</v>
      </c>
      <c r="AI308" s="140">
        <f t="shared" si="160"/>
        <v>255.62998394551829</v>
      </c>
      <c r="AJ308" s="140">
        <f t="shared" si="160"/>
        <v>253.45298436531425</v>
      </c>
      <c r="AK308" s="140">
        <f t="shared" si="160"/>
        <v>251.35815559832264</v>
      </c>
      <c r="AL308" s="140">
        <f t="shared" si="160"/>
        <v>249.33951953264008</v>
      </c>
      <c r="AM308" s="140">
        <f t="shared" si="160"/>
        <v>247.391727604447</v>
      </c>
      <c r="AN308" s="140">
        <f t="shared" si="160"/>
        <v>245.5099753915847</v>
      </c>
      <c r="AO308" s="140">
        <f t="shared" si="160"/>
        <v>243.68993121641546</v>
      </c>
      <c r="AP308" s="140">
        <f t="shared" si="160"/>
        <v>241.92767608778618</v>
      </c>
      <c r="AQ308" s="140">
        <f>(AQ352+AQ529)*($N$43-1)</f>
        <v>240.21965288744573</v>
      </c>
    </row>
    <row r="309" spans="7:78" ht="14.1" customHeight="1" thickBot="1" x14ac:dyDescent="0.3">
      <c r="G309" s="106"/>
      <c r="H309" s="218"/>
      <c r="J309" s="211"/>
      <c r="K309" s="121" t="s">
        <v>136</v>
      </c>
      <c r="L309" s="141">
        <f t="shared" ref="L309:AP309" si="161">(L353+L530)*($N$43-1)</f>
        <v>453.42784605102901</v>
      </c>
      <c r="M309" s="141">
        <f t="shared" si="161"/>
        <v>436.64989134094168</v>
      </c>
      <c r="N309" s="141">
        <f t="shared" si="161"/>
        <v>423.98784308059089</v>
      </c>
      <c r="O309" s="141">
        <f t="shared" si="161"/>
        <v>413.58108153386712</v>
      </c>
      <c r="P309" s="141">
        <f t="shared" si="161"/>
        <v>404.60083705389047</v>
      </c>
      <c r="Q309" s="141">
        <f t="shared" si="161"/>
        <v>396.60501867191505</v>
      </c>
      <c r="R309" s="141">
        <f t="shared" si="161"/>
        <v>389.32973747692648</v>
      </c>
      <c r="S309" s="141">
        <f t="shared" si="161"/>
        <v>382.60477971057753</v>
      </c>
      <c r="T309" s="141">
        <f t="shared" si="161"/>
        <v>376.31392461359104</v>
      </c>
      <c r="U309" s="141">
        <f t="shared" si="161"/>
        <v>370.37427664869205</v>
      </c>
      <c r="V309" s="141">
        <f t="shared" si="161"/>
        <v>364.72462881700125</v>
      </c>
      <c r="W309" s="141">
        <f t="shared" si="161"/>
        <v>359.31849984882444</v>
      </c>
      <c r="X309" s="141">
        <f t="shared" si="161"/>
        <v>356.72881043502588</v>
      </c>
      <c r="Y309" s="141">
        <f t="shared" si="161"/>
        <v>354.31786727027821</v>
      </c>
      <c r="Z309" s="141">
        <f t="shared" si="161"/>
        <v>352.0625805566504</v>
      </c>
      <c r="AA309" s="141">
        <f t="shared" si="161"/>
        <v>349.94406433267517</v>
      </c>
      <c r="AB309" s="141">
        <f t="shared" si="161"/>
        <v>347.94667410691386</v>
      </c>
      <c r="AC309" s="141">
        <f t="shared" si="161"/>
        <v>346.05730503516673</v>
      </c>
      <c r="AD309" s="141">
        <f t="shared" si="161"/>
        <v>344.26487032653966</v>
      </c>
      <c r="AE309" s="141">
        <f t="shared" si="161"/>
        <v>342.55990704155084</v>
      </c>
      <c r="AF309" s="141">
        <f t="shared" si="161"/>
        <v>340.93427367825313</v>
      </c>
      <c r="AG309" s="141">
        <f t="shared" si="161"/>
        <v>339.3809150366809</v>
      </c>
      <c r="AH309" s="141">
        <f t="shared" si="161"/>
        <v>337.89367716317543</v>
      </c>
      <c r="AI309" s="141">
        <f t="shared" si="161"/>
        <v>336.4671600964291</v>
      </c>
      <c r="AJ309" s="141">
        <f t="shared" si="161"/>
        <v>335.09659951161103</v>
      </c>
      <c r="AK309" s="141">
        <f t="shared" si="161"/>
        <v>333.77777071343883</v>
      </c>
      <c r="AL309" s="141">
        <f t="shared" si="161"/>
        <v>332.50691009781235</v>
      </c>
      <c r="AM309" s="141">
        <f t="shared" si="161"/>
        <v>331.28065040144708</v>
      </c>
      <c r="AN309" s="141">
        <f t="shared" si="161"/>
        <v>330.09596693306469</v>
      </c>
      <c r="AO309" s="141">
        <f t="shared" si="161"/>
        <v>328.95013262432269</v>
      </c>
      <c r="AP309" s="141">
        <f t="shared" si="161"/>
        <v>327.84068021943688</v>
      </c>
      <c r="AQ309" s="141">
        <f>(AQ353+AQ530)*($N$43-1)</f>
        <v>326.7653702847781</v>
      </c>
    </row>
    <row r="310" spans="7:78" ht="14.1" customHeight="1" thickTop="1" x14ac:dyDescent="0.25">
      <c r="G310" s="106"/>
      <c r="H310" s="218"/>
      <c r="I310" s="3" t="s">
        <v>360</v>
      </c>
      <c r="J310" s="129"/>
      <c r="K310" s="109"/>
      <c r="L310" s="146"/>
      <c r="M310" s="146"/>
      <c r="N310" s="146"/>
      <c r="O310" s="146"/>
      <c r="P310" s="146"/>
      <c r="Q310" s="146"/>
      <c r="R310" s="146"/>
      <c r="S310" s="146"/>
      <c r="T310" s="146"/>
      <c r="U310" s="146"/>
      <c r="V310" s="146"/>
      <c r="W310" s="147"/>
      <c r="X310" s="147"/>
      <c r="Y310" s="146"/>
      <c r="Z310" s="146"/>
      <c r="AA310" s="146"/>
      <c r="AB310" s="146"/>
      <c r="AC310" s="146"/>
      <c r="AD310" s="146"/>
      <c r="AE310" s="146"/>
      <c r="AF310" s="146"/>
      <c r="AG310" s="146"/>
      <c r="AH310" s="146"/>
      <c r="AI310" s="146"/>
      <c r="AJ310" s="146"/>
      <c r="AK310" s="146"/>
      <c r="AL310" s="146"/>
      <c r="AM310" s="146"/>
      <c r="AN310" s="146"/>
      <c r="AO310" s="146"/>
      <c r="AP310" s="146"/>
      <c r="AQ310" s="146"/>
    </row>
    <row r="311" spans="7:78" ht="14.1" customHeight="1" thickBot="1" x14ac:dyDescent="0.3">
      <c r="G311" s="106"/>
      <c r="H311" s="218"/>
      <c r="I311" s="3">
        <v>8</v>
      </c>
      <c r="J311" s="129"/>
      <c r="K311" s="7"/>
      <c r="L311" s="107">
        <v>2019</v>
      </c>
      <c r="M311" s="107">
        <v>2020</v>
      </c>
      <c r="N311" s="107">
        <v>2021</v>
      </c>
      <c r="O311" s="107">
        <v>2022</v>
      </c>
      <c r="P311" s="107">
        <v>2023</v>
      </c>
      <c r="Q311" s="107">
        <v>2024</v>
      </c>
      <c r="R311" s="107">
        <v>2025</v>
      </c>
      <c r="S311" s="107">
        <v>2026</v>
      </c>
      <c r="T311" s="107">
        <v>2027</v>
      </c>
      <c r="U311" s="107">
        <v>2028</v>
      </c>
      <c r="V311" s="107">
        <v>2029</v>
      </c>
      <c r="W311" s="107">
        <v>2030</v>
      </c>
      <c r="X311" s="107">
        <v>2031</v>
      </c>
      <c r="Y311" s="107">
        <v>2032</v>
      </c>
      <c r="Z311" s="107">
        <v>2033</v>
      </c>
      <c r="AA311" s="107">
        <v>2034</v>
      </c>
      <c r="AB311" s="107">
        <v>2035</v>
      </c>
      <c r="AC311" s="107">
        <v>2036</v>
      </c>
      <c r="AD311" s="107">
        <v>2037</v>
      </c>
      <c r="AE311" s="107">
        <v>2038</v>
      </c>
      <c r="AF311" s="107">
        <v>2039</v>
      </c>
      <c r="AG311" s="107">
        <v>2040</v>
      </c>
      <c r="AH311" s="107">
        <v>2041</v>
      </c>
      <c r="AI311" s="107">
        <v>2042</v>
      </c>
      <c r="AJ311" s="107">
        <v>2043</v>
      </c>
      <c r="AK311" s="107">
        <v>2044</v>
      </c>
      <c r="AL311" s="107">
        <v>2045</v>
      </c>
      <c r="AM311" s="107">
        <v>2046</v>
      </c>
      <c r="AN311" s="107">
        <v>2047</v>
      </c>
      <c r="AO311" s="107">
        <v>2048</v>
      </c>
      <c r="AP311" s="107">
        <v>2049</v>
      </c>
      <c r="AQ311" s="107">
        <v>2050</v>
      </c>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c r="BS311" s="107"/>
      <c r="BT311" s="107"/>
      <c r="BU311" s="107"/>
      <c r="BV311" s="107"/>
      <c r="BW311" s="107"/>
      <c r="BX311" s="107"/>
      <c r="BY311" s="107"/>
      <c r="BZ311" s="107"/>
    </row>
    <row r="312" spans="7:78" ht="14.1" hidden="1" customHeight="1" x14ac:dyDescent="0.25">
      <c r="G312" s="106"/>
      <c r="H312" s="218"/>
      <c r="J312" s="209" t="s">
        <v>358</v>
      </c>
      <c r="K312" s="119" t="s">
        <v>95</v>
      </c>
      <c r="L312" s="148">
        <v>2409.7899717212231</v>
      </c>
      <c r="M312" s="148">
        <v>2217.6546535129487</v>
      </c>
      <c r="N312" s="148">
        <v>2074.6824649183332</v>
      </c>
      <c r="O312" s="148">
        <v>1958.6489238299407</v>
      </c>
      <c r="P312" s="148">
        <v>1859.6546532655511</v>
      </c>
      <c r="Q312" s="148">
        <v>1772.4190240702344</v>
      </c>
      <c r="R312" s="148">
        <v>1693.789971226428</v>
      </c>
      <c r="S312" s="148">
        <v>1621.7343481682622</v>
      </c>
      <c r="T312" s="148">
        <v>1554.8639366935286</v>
      </c>
      <c r="U312" s="148">
        <v>1492.1885772606527</v>
      </c>
      <c r="V312" s="148">
        <v>1432.9771726846316</v>
      </c>
      <c r="W312" s="148">
        <v>1376.6745197035459</v>
      </c>
      <c r="X312" s="148">
        <v>1345.7415434893148</v>
      </c>
      <c r="Y312" s="148">
        <v>1316.9436315962396</v>
      </c>
      <c r="Z312" s="148">
        <v>1290.004984090016</v>
      </c>
      <c r="AA312" s="148">
        <v>1264.7000144606407</v>
      </c>
      <c r="AB312" s="148">
        <v>1240.8418544763572</v>
      </c>
      <c r="AC312" s="148">
        <v>1218.2739711445365</v>
      </c>
      <c r="AD312" s="148">
        <v>1196.863936446131</v>
      </c>
      <c r="AE312" s="148">
        <v>1176.4987187255479</v>
      </c>
      <c r="AF312" s="148">
        <v>1157.0810704577623</v>
      </c>
      <c r="AG312" s="148">
        <v>1138.5267196325631</v>
      </c>
      <c r="AH312" s="148">
        <v>1120.7621593262486</v>
      </c>
      <c r="AI312" s="148">
        <v>1103.7228888022462</v>
      </c>
      <c r="AJ312" s="148">
        <v>1087.3519997896703</v>
      </c>
      <c r="AK312" s="148">
        <v>1071.5990297125902</v>
      </c>
      <c r="AL312" s="148">
        <v>1056.4190235754393</v>
      </c>
      <c r="AM312" s="148">
        <v>1041.7717605414921</v>
      </c>
      <c r="AN312" s="148">
        <v>1027.6211116823638</v>
      </c>
      <c r="AO312" s="148">
        <v>1013.9345030763625</v>
      </c>
      <c r="AP312" s="148">
        <v>1000.6824641761405</v>
      </c>
      <c r="AQ312" s="148">
        <v>987.8382456939953</v>
      </c>
      <c r="AR312" s="149"/>
      <c r="AS312" s="149"/>
      <c r="AT312" s="149"/>
      <c r="AU312" s="149"/>
      <c r="AV312" s="149"/>
      <c r="AW312" s="149"/>
      <c r="AX312" s="149"/>
      <c r="AY312" s="149"/>
      <c r="AZ312" s="149"/>
      <c r="BA312" s="149"/>
      <c r="BB312" s="149"/>
      <c r="BC312" s="149"/>
      <c r="BD312" s="149"/>
      <c r="BE312" s="149"/>
      <c r="BF312" s="149"/>
      <c r="BG312" s="149"/>
      <c r="BH312" s="149"/>
      <c r="BI312" s="149"/>
      <c r="BJ312" s="149"/>
      <c r="BK312" s="149"/>
      <c r="BL312" s="149"/>
      <c r="BM312" s="149"/>
      <c r="BN312" s="149"/>
      <c r="BO312" s="149"/>
      <c r="BP312" s="149"/>
      <c r="BQ312" s="149"/>
      <c r="BR312" s="149"/>
      <c r="BS312" s="149"/>
      <c r="BT312" s="149"/>
      <c r="BU312" s="149"/>
      <c r="BV312" s="149"/>
      <c r="BW312" s="149"/>
      <c r="BX312" s="149"/>
      <c r="BY312" s="149"/>
      <c r="BZ312" s="149"/>
    </row>
    <row r="313" spans="7:78" ht="14.1" hidden="1" customHeight="1" x14ac:dyDescent="0.25">
      <c r="G313" s="106"/>
      <c r="H313" s="218"/>
      <c r="J313" s="210"/>
      <c r="K313" s="7" t="s">
        <v>96</v>
      </c>
      <c r="L313" s="150">
        <v>2500.8845559650813</v>
      </c>
      <c r="M313" s="150">
        <v>2328.0373119650103</v>
      </c>
      <c r="N313" s="150">
        <v>2198.8665832824281</v>
      </c>
      <c r="O313" s="150">
        <v>2093.6281440957459</v>
      </c>
      <c r="P313" s="150">
        <v>2003.5273897124573</v>
      </c>
      <c r="Q313" s="150">
        <v>1923.8730101613858</v>
      </c>
      <c r="R313" s="150">
        <v>1851.8647114599653</v>
      </c>
      <c r="S313" s="150">
        <v>1785.6962465725758</v>
      </c>
      <c r="T313" s="150">
        <v>1724.1343227033728</v>
      </c>
      <c r="U313" s="150">
        <v>1666.2992822975232</v>
      </c>
      <c r="V313" s="150">
        <v>1611.5416187501842</v>
      </c>
      <c r="W313" s="150">
        <v>1559.3680895854363</v>
      </c>
      <c r="X313" s="150">
        <v>1531.8872391991126</v>
      </c>
      <c r="Y313" s="150">
        <v>1506.3031795634915</v>
      </c>
      <c r="Z313" s="150">
        <v>1482.3708900676024</v>
      </c>
      <c r="AA313" s="150">
        <v>1459.8899596973974</v>
      </c>
      <c r="AB313" s="150">
        <v>1438.694374750113</v>
      </c>
      <c r="AC313" s="150">
        <v>1418.6450713438519</v>
      </c>
      <c r="AD313" s="150">
        <v>1399.6244004508196</v>
      </c>
      <c r="AE313" s="150">
        <v>1381.5319447689512</v>
      </c>
      <c r="AF313" s="150">
        <v>1364.2813096148798</v>
      </c>
      <c r="AG313" s="150">
        <v>1347.7976277502144</v>
      </c>
      <c r="AH313" s="150">
        <v>1332.015595637441</v>
      </c>
      <c r="AI313" s="150">
        <v>1316.877910834037</v>
      </c>
      <c r="AJ313" s="150">
        <v>1302.3340160426033</v>
      </c>
      <c r="AK313" s="150">
        <v>1288.3390803199516</v>
      </c>
      <c r="AL313" s="150">
        <v>1274.8531656562793</v>
      </c>
      <c r="AM313" s="150">
        <v>1261.8405398676286</v>
      </c>
      <c r="AN313" s="150">
        <v>1249.2691060206582</v>
      </c>
      <c r="AO313" s="150">
        <v>1237.109925449322</v>
      </c>
      <c r="AP313" s="150">
        <v>1225.3368165247691</v>
      </c>
      <c r="AQ313" s="150">
        <v>1213.9260151847188</v>
      </c>
      <c r="AR313" s="149"/>
      <c r="AS313" s="149"/>
      <c r="AT313" s="149"/>
      <c r="AU313" s="149"/>
      <c r="AV313" s="149"/>
      <c r="AW313" s="149"/>
      <c r="AX313" s="149"/>
      <c r="AY313" s="149"/>
      <c r="AZ313" s="149"/>
      <c r="BA313" s="149"/>
      <c r="BB313" s="149"/>
      <c r="BC313" s="149"/>
      <c r="BD313" s="149"/>
      <c r="BE313" s="149"/>
      <c r="BF313" s="149"/>
      <c r="BG313" s="149"/>
      <c r="BH313" s="149"/>
      <c r="BI313" s="149"/>
      <c r="BJ313" s="149"/>
      <c r="BK313" s="149"/>
      <c r="BL313" s="149"/>
      <c r="BM313" s="149"/>
      <c r="BN313" s="149"/>
      <c r="BO313" s="149"/>
      <c r="BP313" s="149"/>
      <c r="BQ313" s="149"/>
      <c r="BR313" s="149"/>
      <c r="BS313" s="149"/>
      <c r="BT313" s="149"/>
      <c r="BU313" s="149"/>
      <c r="BV313" s="149"/>
      <c r="BW313" s="149"/>
      <c r="BX313" s="149"/>
      <c r="BY313" s="149"/>
      <c r="BZ313" s="149"/>
    </row>
    <row r="314" spans="7:78" ht="14.1" hidden="1" customHeight="1" thickBot="1" x14ac:dyDescent="0.3">
      <c r="G314" s="106"/>
      <c r="H314" s="218"/>
      <c r="J314" s="210"/>
      <c r="K314" s="121" t="s">
        <v>97</v>
      </c>
      <c r="L314" s="151">
        <v>2649.0234401310759</v>
      </c>
      <c r="M314" s="151">
        <v>2530.7136819309071</v>
      </c>
      <c r="N314" s="151">
        <v>2441.5995375318571</v>
      </c>
      <c r="O314" s="151">
        <v>2368.4829578748527</v>
      </c>
      <c r="P314" s="151">
        <v>2305.4851799617722</v>
      </c>
      <c r="Q314" s="151">
        <v>2249.4702925793558</v>
      </c>
      <c r="R314" s="151">
        <v>2198.5664361927966</v>
      </c>
      <c r="S314" s="151">
        <v>2151.5662230217613</v>
      </c>
      <c r="T314" s="151">
        <v>2107.6452571658706</v>
      </c>
      <c r="U314" s="151">
        <v>2066.2155305832298</v>
      </c>
      <c r="V314" s="151">
        <v>2026.8428798828647</v>
      </c>
      <c r="W314" s="151">
        <v>1989.1975965994332</v>
      </c>
      <c r="X314" s="151">
        <v>1970.8279925004533</v>
      </c>
      <c r="Y314" s="151">
        <v>1953.7263002258601</v>
      </c>
      <c r="Z314" s="151">
        <v>1937.7287354838152</v>
      </c>
      <c r="AA314" s="151">
        <v>1922.7013333156888</v>
      </c>
      <c r="AB314" s="151">
        <v>1908.5331216827008</v>
      </c>
      <c r="AC314" s="151">
        <v>1895.1311431829151</v>
      </c>
      <c r="AD314" s="151">
        <v>1882.4167551967314</v>
      </c>
      <c r="AE314" s="151">
        <v>1870.3228336702102</v>
      </c>
      <c r="AF314" s="151">
        <v>1858.7916279840158</v>
      </c>
      <c r="AG314" s="151">
        <v>1847.773093051846</v>
      </c>
      <c r="AH314" s="151">
        <v>1837.2235766535719</v>
      </c>
      <c r="AI314" s="151">
        <v>1827.1047749096472</v>
      </c>
      <c r="AJ314" s="151">
        <v>1817.3828927400612</v>
      </c>
      <c r="AK314" s="151">
        <v>1808.0279628524577</v>
      </c>
      <c r="AL314" s="151">
        <v>1799.0132886410815</v>
      </c>
      <c r="AM314" s="151">
        <v>1790.3149848890021</v>
      </c>
      <c r="AN314" s="151">
        <v>1781.9115963664881</v>
      </c>
      <c r="AO314" s="151">
        <v>1773.7837789909888</v>
      </c>
      <c r="AP314" s="151">
        <v>1765.9140316244432</v>
      </c>
      <c r="AQ314" s="151">
        <v>1758.2864691537729</v>
      </c>
      <c r="AR314" s="149"/>
      <c r="AS314" s="149"/>
      <c r="AT314" s="149"/>
      <c r="AU314" s="149"/>
      <c r="AV314" s="149"/>
      <c r="AW314" s="149"/>
      <c r="AX314" s="149"/>
      <c r="AY314" s="149"/>
      <c r="AZ314" s="149"/>
      <c r="BA314" s="149"/>
      <c r="BB314" s="149"/>
      <c r="BC314" s="149"/>
      <c r="BD314" s="149"/>
      <c r="BE314" s="149"/>
      <c r="BF314" s="149"/>
      <c r="BG314" s="149"/>
      <c r="BH314" s="149"/>
      <c r="BI314" s="149"/>
      <c r="BJ314" s="149"/>
      <c r="BK314" s="149"/>
      <c r="BL314" s="149"/>
      <c r="BM314" s="149"/>
      <c r="BN314" s="149"/>
      <c r="BO314" s="149"/>
      <c r="BP314" s="149"/>
      <c r="BQ314" s="149"/>
      <c r="BR314" s="149"/>
      <c r="BS314" s="149"/>
      <c r="BT314" s="149"/>
      <c r="BU314" s="149"/>
      <c r="BV314" s="149"/>
      <c r="BW314" s="149"/>
      <c r="BX314" s="149"/>
      <c r="BY314" s="149"/>
      <c r="BZ314" s="149"/>
    </row>
    <row r="315" spans="7:78" ht="14.1" hidden="1" customHeight="1" thickTop="1" x14ac:dyDescent="0.25">
      <c r="G315" s="106"/>
      <c r="H315" s="218"/>
      <c r="J315" s="210"/>
      <c r="K315" s="119" t="s">
        <v>98</v>
      </c>
      <c r="L315" s="152">
        <v>2417.1711576833045</v>
      </c>
      <c r="M315" s="152">
        <v>2224.4473290528686</v>
      </c>
      <c r="N315" s="152">
        <v>2081.0372166873822</v>
      </c>
      <c r="O315" s="152">
        <v>1964.6482648973672</v>
      </c>
      <c r="P315" s="152">
        <v>1865.3507749118698</v>
      </c>
      <c r="Q315" s="152">
        <v>1777.8479430104394</v>
      </c>
      <c r="R315" s="152">
        <v>1698.9780494013078</v>
      </c>
      <c r="S315" s="152">
        <v>1626.7017199912825</v>
      </c>
      <c r="T315" s="152">
        <v>1559.6264844662173</v>
      </c>
      <c r="U315" s="152">
        <v>1496.7591504261586</v>
      </c>
      <c r="V315" s="152">
        <v>1437.3663813356445</v>
      </c>
      <c r="W315" s="152">
        <v>1380.8912733453303</v>
      </c>
      <c r="X315" s="152">
        <v>1349.8635494342138</v>
      </c>
      <c r="Y315" s="152">
        <v>1320.97742954563</v>
      </c>
      <c r="Z315" s="152">
        <v>1293.9562689701581</v>
      </c>
      <c r="AA315" s="152">
        <v>1268.5737902263822</v>
      </c>
      <c r="AB315" s="152">
        <v>1244.6425527052083</v>
      </c>
      <c r="AC315" s="152">
        <v>1222.0055439534972</v>
      </c>
      <c r="AD315" s="152">
        <v>1200.5299303252189</v>
      </c>
      <c r="AE315" s="152">
        <v>1180.1023339488534</v>
      </c>
      <c r="AF315" s="152">
        <v>1160.6252094302358</v>
      </c>
      <c r="AG315" s="152">
        <v>1142.0140266340127</v>
      </c>
      <c r="AH315" s="152">
        <v>1124.1950534847974</v>
      </c>
      <c r="AI315" s="152">
        <v>1107.10359168028</v>
      </c>
      <c r="AJ315" s="152">
        <v>1090.6825586395589</v>
      </c>
      <c r="AK315" s="152">
        <v>1074.8813372198479</v>
      </c>
      <c r="AL315" s="152">
        <v>1059.6548347284424</v>
      </c>
      <c r="AM315" s="152">
        <v>1044.9627071322066</v>
      </c>
      <c r="AN315" s="152">
        <v>1030.7687148398584</v>
      </c>
      <c r="AO315" s="152">
        <v>1017.0401841557936</v>
      </c>
      <c r="AP315" s="152">
        <v>1003.7475542643867</v>
      </c>
      <c r="AQ315" s="152">
        <v>990.86399394487535</v>
      </c>
      <c r="AR315" s="149"/>
      <c r="AS315" s="149"/>
      <c r="AT315" s="149"/>
      <c r="AU315" s="149"/>
      <c r="AV315" s="149"/>
      <c r="AW315" s="149"/>
      <c r="AX315" s="149"/>
      <c r="AY315" s="149"/>
      <c r="AZ315" s="149"/>
      <c r="BA315" s="149"/>
      <c r="BB315" s="149"/>
      <c r="BC315" s="149"/>
      <c r="BD315" s="149"/>
      <c r="BE315" s="149"/>
      <c r="BF315" s="149"/>
      <c r="BG315" s="149"/>
      <c r="BH315" s="149"/>
      <c r="BI315" s="149"/>
      <c r="BJ315" s="149"/>
      <c r="BK315" s="149"/>
      <c r="BL315" s="149"/>
      <c r="BM315" s="149"/>
      <c r="BN315" s="149"/>
      <c r="BO315" s="149"/>
      <c r="BP315" s="149"/>
      <c r="BQ315" s="149"/>
      <c r="BR315" s="149"/>
      <c r="BS315" s="149"/>
      <c r="BT315" s="149"/>
      <c r="BU315" s="149"/>
      <c r="BV315" s="149"/>
      <c r="BW315" s="149"/>
      <c r="BX315" s="149"/>
      <c r="BY315" s="149"/>
      <c r="BZ315" s="149"/>
    </row>
    <row r="316" spans="7:78" ht="14.1" hidden="1" customHeight="1" x14ac:dyDescent="0.25">
      <c r="G316" s="106"/>
      <c r="H316" s="218"/>
      <c r="J316" s="210"/>
      <c r="K316" s="7" t="s">
        <v>99</v>
      </c>
      <c r="L316" s="150">
        <v>2508.5447646114353</v>
      </c>
      <c r="M316" s="150">
        <v>2335.1680895547283</v>
      </c>
      <c r="N316" s="150">
        <v>2205.6017109688555</v>
      </c>
      <c r="O316" s="150">
        <v>2100.0409264744444</v>
      </c>
      <c r="P316" s="150">
        <v>2009.6641935074488</v>
      </c>
      <c r="Q316" s="150">
        <v>1929.7658326156545</v>
      </c>
      <c r="R316" s="150">
        <v>1857.5369725168653</v>
      </c>
      <c r="S316" s="150">
        <v>1791.1658336413311</v>
      </c>
      <c r="T316" s="150">
        <v>1729.4153456177437</v>
      </c>
      <c r="U316" s="150">
        <v>1671.403156500442</v>
      </c>
      <c r="V316" s="150">
        <v>1616.4777702460478</v>
      </c>
      <c r="W316" s="150">
        <v>1564.144433577085</v>
      </c>
      <c r="X316" s="150">
        <v>1536.5794093542536</v>
      </c>
      <c r="Y316" s="150">
        <v>1510.9169857516265</v>
      </c>
      <c r="Z316" s="150">
        <v>1486.9113916601748</v>
      </c>
      <c r="AA316" s="150">
        <v>1464.3616022069748</v>
      </c>
      <c r="AB316" s="150">
        <v>1443.1010951893411</v>
      </c>
      <c r="AC316" s="150">
        <v>1422.9903807727478</v>
      </c>
      <c r="AD316" s="150">
        <v>1403.9114495704637</v>
      </c>
      <c r="AE316" s="150">
        <v>1385.7635767022571</v>
      </c>
      <c r="AF316" s="150">
        <v>1368.4601028578722</v>
      </c>
      <c r="AG316" s="150">
        <v>1351.9259314805893</v>
      </c>
      <c r="AH316" s="150">
        <v>1336.0955590081783</v>
      </c>
      <c r="AI316" s="150">
        <v>1320.9115074807526</v>
      </c>
      <c r="AJ316" s="150">
        <v>1306.3230647439259</v>
      </c>
      <c r="AK316" s="150">
        <v>1292.2852625373448</v>
      </c>
      <c r="AL316" s="150">
        <v>1278.7580405210942</v>
      </c>
      <c r="AM316" s="150">
        <v>1265.7055570635478</v>
      </c>
      <c r="AN316" s="150">
        <v>1253.0956169184672</v>
      </c>
      <c r="AO316" s="150">
        <v>1240.8991927806803</v>
      </c>
      <c r="AP316" s="150">
        <v>1229.0900228270154</v>
      </c>
      <c r="AQ316" s="150">
        <v>1217.6442702058762</v>
      </c>
      <c r="AR316" s="149"/>
      <c r="AS316" s="149"/>
      <c r="AT316" s="149"/>
      <c r="AU316" s="149"/>
      <c r="AV316" s="149"/>
      <c r="AW316" s="149"/>
      <c r="AX316" s="149"/>
      <c r="AY316" s="149"/>
      <c r="AZ316" s="149"/>
      <c r="BA316" s="149"/>
      <c r="BB316" s="149"/>
      <c r="BC316" s="149"/>
      <c r="BD316" s="149"/>
      <c r="BE316" s="149"/>
      <c r="BF316" s="149"/>
      <c r="BG316" s="149"/>
      <c r="BH316" s="149"/>
      <c r="BI316" s="149"/>
      <c r="BJ316" s="149"/>
      <c r="BK316" s="149"/>
      <c r="BL316" s="149"/>
      <c r="BM316" s="149"/>
      <c r="BN316" s="149"/>
      <c r="BO316" s="149"/>
      <c r="BP316" s="149"/>
      <c r="BQ316" s="149"/>
      <c r="BR316" s="149"/>
      <c r="BS316" s="149"/>
      <c r="BT316" s="149"/>
      <c r="BU316" s="149"/>
      <c r="BV316" s="149"/>
      <c r="BW316" s="149"/>
      <c r="BX316" s="149"/>
      <c r="BY316" s="149"/>
      <c r="BZ316" s="149"/>
    </row>
    <row r="317" spans="7:78" ht="14.1" hidden="1" customHeight="1" thickBot="1" x14ac:dyDescent="0.3">
      <c r="G317" s="106"/>
      <c r="H317" s="218"/>
      <c r="J317" s="210"/>
      <c r="K317" s="121" t="s">
        <v>100</v>
      </c>
      <c r="L317" s="151">
        <v>2657.1373981352895</v>
      </c>
      <c r="M317" s="151">
        <v>2538.4652571811657</v>
      </c>
      <c r="N317" s="151">
        <v>2449.0781561844956</v>
      </c>
      <c r="O317" s="151">
        <v>2375.7376204658867</v>
      </c>
      <c r="P317" s="151">
        <v>2312.5468803779154</v>
      </c>
      <c r="Q317" s="151">
        <v>2256.3604194122127</v>
      </c>
      <c r="R317" s="151">
        <v>2205.3006445287783</v>
      </c>
      <c r="S317" s="151">
        <v>2158.1564697188683</v>
      </c>
      <c r="T317" s="151">
        <v>2114.1009739577075</v>
      </c>
      <c r="U317" s="151">
        <v>2072.5443481349444</v>
      </c>
      <c r="V317" s="151">
        <v>2033.0510990172695</v>
      </c>
      <c r="W317" s="151">
        <v>1995.2905082424088</v>
      </c>
      <c r="X317" s="151">
        <v>1976.8646380515722</v>
      </c>
      <c r="Y317" s="151">
        <v>1959.7105632986606</v>
      </c>
      <c r="Z317" s="151">
        <v>1943.6639980205994</v>
      </c>
      <c r="AA317" s="151">
        <v>1928.5905669241299</v>
      </c>
      <c r="AB317" s="151">
        <v>1914.378958063151</v>
      </c>
      <c r="AC317" s="151">
        <v>1900.9359293072318</v>
      </c>
      <c r="AD317" s="151">
        <v>1888.1825971544522</v>
      </c>
      <c r="AE317" s="151">
        <v>1876.0516319499152</v>
      </c>
      <c r="AF317" s="151">
        <v>1864.4851061841555</v>
      </c>
      <c r="AG317" s="151">
        <v>1853.4328214827865</v>
      </c>
      <c r="AH317" s="151">
        <v>1842.8509919189421</v>
      </c>
      <c r="AI317" s="151">
        <v>1832.7011962883048</v>
      </c>
      <c r="AJ317" s="151">
        <v>1822.9495359965433</v>
      </c>
      <c r="AK317" s="151">
        <v>1813.565951961494</v>
      </c>
      <c r="AL317" s="151">
        <v>1804.523665805707</v>
      </c>
      <c r="AM317" s="151">
        <v>1795.7987191518382</v>
      </c>
      <c r="AN317" s="151">
        <v>1787.3695910527949</v>
      </c>
      <c r="AO317" s="151">
        <v>1779.2168781751075</v>
      </c>
      <c r="AP317" s="151">
        <v>1771.3230257747337</v>
      </c>
      <c r="AQ317" s="151">
        <v>1763.6721000824989</v>
      </c>
      <c r="AR317" s="149"/>
      <c r="AS317" s="149"/>
      <c r="AT317" s="149"/>
      <c r="AU317" s="149"/>
      <c r="AV317" s="149"/>
      <c r="AW317" s="149"/>
      <c r="AX317" s="149"/>
      <c r="AY317" s="149"/>
      <c r="AZ317" s="149"/>
      <c r="BA317" s="149"/>
      <c r="BB317" s="149"/>
      <c r="BC317" s="149"/>
      <c r="BD317" s="149"/>
      <c r="BE317" s="149"/>
      <c r="BF317" s="149"/>
      <c r="BG317" s="149"/>
      <c r="BH317" s="149"/>
      <c r="BI317" s="149"/>
      <c r="BJ317" s="149"/>
      <c r="BK317" s="149"/>
      <c r="BL317" s="149"/>
      <c r="BM317" s="149"/>
      <c r="BN317" s="149"/>
      <c r="BO317" s="149"/>
      <c r="BP317" s="149"/>
      <c r="BQ317" s="149"/>
      <c r="BR317" s="149"/>
      <c r="BS317" s="149"/>
      <c r="BT317" s="149"/>
      <c r="BU317" s="149"/>
      <c r="BV317" s="149"/>
      <c r="BW317" s="149"/>
      <c r="BX317" s="149"/>
      <c r="BY317" s="149"/>
      <c r="BZ317" s="149"/>
    </row>
    <row r="318" spans="7:78" ht="14.1" hidden="1" customHeight="1" thickTop="1" x14ac:dyDescent="0.25">
      <c r="G318" s="106"/>
      <c r="H318" s="218"/>
      <c r="J318" s="210"/>
      <c r="K318" s="119" t="s">
        <v>101</v>
      </c>
      <c r="L318" s="152">
        <v>2542.8973752182878</v>
      </c>
      <c r="M318" s="152">
        <v>2340.1492510697021</v>
      </c>
      <c r="N318" s="152">
        <v>2189.2798361526911</v>
      </c>
      <c r="O318" s="152">
        <v>2066.8370546101132</v>
      </c>
      <c r="P318" s="152">
        <v>1962.3747264678675</v>
      </c>
      <c r="Q318" s="152">
        <v>1870.3205412029829</v>
      </c>
      <c r="R318" s="152">
        <v>1787.3483260146186</v>
      </c>
      <c r="S318" s="152">
        <v>1711.3126312468071</v>
      </c>
      <c r="T318" s="152">
        <v>1640.7485589358037</v>
      </c>
      <c r="U318" s="152">
        <v>1574.6112569870841</v>
      </c>
      <c r="V318" s="152">
        <v>1512.1292452573207</v>
      </c>
      <c r="W318" s="152">
        <v>1452.7166532208591</v>
      </c>
      <c r="X318" s="152">
        <v>1420.0750599924359</v>
      </c>
      <c r="Y318" s="152">
        <v>1389.6864637147432</v>
      </c>
      <c r="Z318" s="152">
        <v>1361.2598303403095</v>
      </c>
      <c r="AA318" s="152">
        <v>1334.5571128397648</v>
      </c>
      <c r="AB318" s="152">
        <v>1309.381121108735</v>
      </c>
      <c r="AC318" s="152">
        <v>1285.5666758823197</v>
      </c>
      <c r="AD318" s="152">
        <v>1262.974034333969</v>
      </c>
      <c r="AE318" s="152">
        <v>1241.4839213800876</v>
      </c>
      <c r="AF318" s="152">
        <v>1220.9937179214869</v>
      </c>
      <c r="AG318" s="152">
        <v>1201.4144970906448</v>
      </c>
      <c r="AH318" s="152">
        <v>1182.6686917279608</v>
      </c>
      <c r="AI318" s="152">
        <v>1164.6882383276288</v>
      </c>
      <c r="AJ318" s="152">
        <v>1147.4130852277367</v>
      </c>
      <c r="AK318" s="152">
        <v>1130.7899824963865</v>
      </c>
      <c r="AL318" s="152">
        <v>1114.7714919993134</v>
      </c>
      <c r="AM318" s="152">
        <v>1099.3151712575718</v>
      </c>
      <c r="AN318" s="152">
        <v>1084.3828957216208</v>
      </c>
      <c r="AO318" s="152">
        <v>1069.9402922133233</v>
      </c>
      <c r="AP318" s="152">
        <v>1055.956262347187</v>
      </c>
      <c r="AQ318" s="152">
        <v>1042.4025793091387</v>
      </c>
      <c r="AR318" s="149"/>
      <c r="AS318" s="149"/>
      <c r="AT318" s="149"/>
      <c r="AU318" s="149"/>
      <c r="AV318" s="149"/>
      <c r="AW318" s="149"/>
      <c r="AX318" s="149"/>
      <c r="AY318" s="149"/>
      <c r="AZ318" s="149"/>
      <c r="BA318" s="149"/>
      <c r="BB318" s="149"/>
      <c r="BC318" s="149"/>
      <c r="BD318" s="149"/>
      <c r="BE318" s="149"/>
      <c r="BF318" s="149"/>
      <c r="BG318" s="149"/>
      <c r="BH318" s="149"/>
      <c r="BI318" s="149"/>
      <c r="BJ318" s="149"/>
      <c r="BK318" s="149"/>
      <c r="BL318" s="149"/>
      <c r="BM318" s="149"/>
      <c r="BN318" s="149"/>
      <c r="BO318" s="149"/>
      <c r="BP318" s="149"/>
      <c r="BQ318" s="149"/>
      <c r="BR318" s="149"/>
      <c r="BS318" s="149"/>
      <c r="BT318" s="149"/>
      <c r="BU318" s="149"/>
      <c r="BV318" s="149"/>
      <c r="BW318" s="149"/>
      <c r="BX318" s="149"/>
      <c r="BY318" s="149"/>
      <c r="BZ318" s="149"/>
    </row>
    <row r="319" spans="7:78" ht="14.1" hidden="1" customHeight="1" x14ac:dyDescent="0.25">
      <c r="G319" s="106"/>
      <c r="H319" s="218"/>
      <c r="J319" s="210"/>
      <c r="K319" s="7" t="s">
        <v>102</v>
      </c>
      <c r="L319" s="150">
        <v>2639.0236691645</v>
      </c>
      <c r="M319" s="150">
        <v>2456.6290172490244</v>
      </c>
      <c r="N319" s="150">
        <v>2320.3234010847418</v>
      </c>
      <c r="O319" s="150">
        <v>2209.2720007883336</v>
      </c>
      <c r="P319" s="150">
        <v>2114.1944319897534</v>
      </c>
      <c r="Q319" s="150">
        <v>2030.1402550440403</v>
      </c>
      <c r="R319" s="150">
        <v>1954.1544986459473</v>
      </c>
      <c r="S319" s="150">
        <v>1884.3311457152415</v>
      </c>
      <c r="T319" s="150">
        <v>1819.3687811700154</v>
      </c>
      <c r="U319" s="150">
        <v>1758.3391586014423</v>
      </c>
      <c r="V319" s="150">
        <v>1700.5568951919226</v>
      </c>
      <c r="W319" s="150">
        <v>1645.5015036740679</v>
      </c>
      <c r="X319" s="150">
        <v>1616.5027182462095</v>
      </c>
      <c r="Y319" s="150">
        <v>1589.5054948955037</v>
      </c>
      <c r="Z319" s="150">
        <v>1564.2512790276398</v>
      </c>
      <c r="AA319" s="150">
        <v>1540.528589705455</v>
      </c>
      <c r="AB319" s="150">
        <v>1518.162243276447</v>
      </c>
      <c r="AC319" s="150">
        <v>1497.0054945120223</v>
      </c>
      <c r="AD319" s="150">
        <v>1476.9341959107442</v>
      </c>
      <c r="AE319" s="150">
        <v>1457.8423835102572</v>
      </c>
      <c r="AF319" s="150">
        <v>1439.6388905216943</v>
      </c>
      <c r="AG319" s="150">
        <v>1422.2447143322847</v>
      </c>
      <c r="AH319" s="150">
        <v>1405.5909442916877</v>
      </c>
      <c r="AI319" s="150">
        <v>1389.6171127938483</v>
      </c>
      <c r="AJ319" s="150">
        <v>1374.2698699533564</v>
      </c>
      <c r="AK319" s="150">
        <v>1359.5019085404949</v>
      </c>
      <c r="AL319" s="150">
        <v>1345.2710845254976</v>
      </c>
      <c r="AM319" s="150">
        <v>1331.5396920178664</v>
      </c>
      <c r="AN319" s="150">
        <v>1318.2738611747918</v>
      </c>
      <c r="AO319" s="150">
        <v>1305.4430548711323</v>
      </c>
      <c r="AP319" s="150">
        <v>1293.0196453069282</v>
      </c>
      <c r="AQ319" s="150">
        <v>1280.9785557857424</v>
      </c>
      <c r="AR319" s="149"/>
      <c r="AS319" s="149"/>
      <c r="AT319" s="149"/>
      <c r="AU319" s="149"/>
      <c r="AV319" s="149"/>
      <c r="AW319" s="149"/>
      <c r="AX319" s="149"/>
      <c r="AY319" s="149"/>
      <c r="AZ319" s="149"/>
      <c r="BA319" s="149"/>
      <c r="BB319" s="149"/>
      <c r="BC319" s="149"/>
      <c r="BD319" s="149"/>
      <c r="BE319" s="149"/>
      <c r="BF319" s="149"/>
      <c r="BG319" s="149"/>
      <c r="BH319" s="149"/>
      <c r="BI319" s="149"/>
      <c r="BJ319" s="149"/>
      <c r="BK319" s="149"/>
      <c r="BL319" s="149"/>
      <c r="BM319" s="149"/>
      <c r="BN319" s="149"/>
      <c r="BO319" s="149"/>
      <c r="BP319" s="149"/>
      <c r="BQ319" s="149"/>
      <c r="BR319" s="149"/>
      <c r="BS319" s="149"/>
      <c r="BT319" s="149"/>
      <c r="BU319" s="149"/>
      <c r="BV319" s="149"/>
      <c r="BW319" s="149"/>
      <c r="BX319" s="149"/>
      <c r="BY319" s="149"/>
      <c r="BZ319" s="149"/>
    </row>
    <row r="320" spans="7:78" ht="14.1" hidden="1" customHeight="1" thickBot="1" x14ac:dyDescent="0.3">
      <c r="G320" s="106"/>
      <c r="H320" s="218"/>
      <c r="J320" s="210"/>
      <c r="K320" s="121" t="s">
        <v>103</v>
      </c>
      <c r="L320" s="151">
        <v>2795.3451677739449</v>
      </c>
      <c r="M320" s="151">
        <v>2670.5004397601447</v>
      </c>
      <c r="N320" s="151">
        <v>2576.4639774350444</v>
      </c>
      <c r="O320" s="151">
        <v>2499.3087229620023</v>
      </c>
      <c r="P320" s="151">
        <v>2432.8311933931768</v>
      </c>
      <c r="Q320" s="151">
        <v>2373.7222620052039</v>
      </c>
      <c r="R320" s="151">
        <v>2320.0066750399992</v>
      </c>
      <c r="S320" s="151">
        <v>2270.4103533232314</v>
      </c>
      <c r="T320" s="151">
        <v>2224.0633645388843</v>
      </c>
      <c r="U320" s="151">
        <v>2180.3452213731707</v>
      </c>
      <c r="V320" s="151">
        <v>2138.7977789419815</v>
      </c>
      <c r="W320" s="151">
        <v>2099.0731169697137</v>
      </c>
      <c r="X320" s="151">
        <v>2079.688847554014</v>
      </c>
      <c r="Y320" s="151">
        <v>2061.6425244689394</v>
      </c>
      <c r="Z320" s="151">
        <v>2044.7613166168817</v>
      </c>
      <c r="AA320" s="151">
        <v>2028.903859337157</v>
      </c>
      <c r="AB320" s="151">
        <v>2013.9530509281865</v>
      </c>
      <c r="AC320" s="151">
        <v>1999.8107993835445</v>
      </c>
      <c r="AD320" s="151">
        <v>1986.3941181719117</v>
      </c>
      <c r="AE320" s="151">
        <v>1973.6321755682911</v>
      </c>
      <c r="AF320" s="151">
        <v>1961.4640310342752</v>
      </c>
      <c r="AG320" s="151">
        <v>1949.8368751880946</v>
      </c>
      <c r="AH320" s="151">
        <v>1938.7046446311583</v>
      </c>
      <c r="AI320" s="151">
        <v>1928.0269197269413</v>
      </c>
      <c r="AJ320" s="151">
        <v>1917.7680386869627</v>
      </c>
      <c r="AK320" s="151">
        <v>1907.8963789424633</v>
      </c>
      <c r="AL320" s="151">
        <v>1898.3837692712634</v>
      </c>
      <c r="AM320" s="151">
        <v>1889.2050051301646</v>
      </c>
      <c r="AN320" s="151">
        <v>1880.3374461861883</v>
      </c>
      <c r="AO320" s="151">
        <v>1871.760679865077</v>
      </c>
      <c r="AP320" s="151">
        <v>1863.4562383341306</v>
      </c>
      <c r="AQ320" s="151">
        <v>1855.4073590485525</v>
      </c>
      <c r="AR320" s="149"/>
      <c r="AS320" s="149"/>
      <c r="AT320" s="149"/>
      <c r="AU320" s="149"/>
      <c r="AV320" s="149"/>
      <c r="AW320" s="149"/>
      <c r="AX320" s="149"/>
      <c r="AY320" s="149"/>
      <c r="AZ320" s="149"/>
      <c r="BA320" s="149"/>
      <c r="BB320" s="149"/>
      <c r="BC320" s="149"/>
      <c r="BD320" s="149"/>
      <c r="BE320" s="149"/>
      <c r="BF320" s="149"/>
      <c r="BG320" s="149"/>
      <c r="BH320" s="149"/>
      <c r="BI320" s="149"/>
      <c r="BJ320" s="149"/>
      <c r="BK320" s="149"/>
      <c r="BL320" s="149"/>
      <c r="BM320" s="149"/>
      <c r="BN320" s="149"/>
      <c r="BO320" s="149"/>
      <c r="BP320" s="149"/>
      <c r="BQ320" s="149"/>
      <c r="BR320" s="149"/>
      <c r="BS320" s="149"/>
      <c r="BT320" s="149"/>
      <c r="BU320" s="149"/>
      <c r="BV320" s="149"/>
      <c r="BW320" s="149"/>
      <c r="BX320" s="149"/>
      <c r="BY320" s="149"/>
      <c r="BZ320" s="149"/>
    </row>
    <row r="321" spans="7:78" ht="14.1" hidden="1" customHeight="1" thickTop="1" x14ac:dyDescent="0.25">
      <c r="G321" s="106"/>
      <c r="H321" s="218"/>
      <c r="J321" s="210"/>
      <c r="K321" s="119" t="s">
        <v>104</v>
      </c>
      <c r="L321" s="152">
        <v>2655.2684090885914</v>
      </c>
      <c r="M321" s="152">
        <v>2443.5608135323619</v>
      </c>
      <c r="N321" s="152">
        <v>2286.0244555059467</v>
      </c>
      <c r="O321" s="152">
        <v>2158.1709082415655</v>
      </c>
      <c r="P321" s="152">
        <v>2049.0923734335533</v>
      </c>
      <c r="Q321" s="152">
        <v>1952.9702992828986</v>
      </c>
      <c r="R321" s="152">
        <v>1866.3315288909744</v>
      </c>
      <c r="S321" s="152">
        <v>1786.9358048449965</v>
      </c>
      <c r="T321" s="152">
        <v>1713.2534951104301</v>
      </c>
      <c r="U321" s="152">
        <v>1644.193575414806</v>
      </c>
      <c r="V321" s="152">
        <v>1578.9504737862542</v>
      </c>
      <c r="W321" s="152">
        <v>1516.9124299886976</v>
      </c>
      <c r="X321" s="152">
        <v>1482.8283996355997</v>
      </c>
      <c r="Y321" s="152">
        <v>1451.0969265218732</v>
      </c>
      <c r="Z321" s="152">
        <v>1421.4141157598394</v>
      </c>
      <c r="AA321" s="152">
        <v>1393.5314009845617</v>
      </c>
      <c r="AB321" s="152">
        <v>1367.2428782300246</v>
      </c>
      <c r="AC321" s="152">
        <v>1342.3760689337025</v>
      </c>
      <c r="AD321" s="152">
        <v>1318.7850550116216</v>
      </c>
      <c r="AE321" s="152">
        <v>1296.3452905955335</v>
      </c>
      <c r="AF321" s="152">
        <v>1274.9496218321608</v>
      </c>
      <c r="AG321" s="152">
        <v>1254.5051921617573</v>
      </c>
      <c r="AH321" s="152">
        <v>1234.9310067197728</v>
      </c>
      <c r="AI321" s="152">
        <v>1216.155994263404</v>
      </c>
      <c r="AJ321" s="152">
        <v>1198.1174494383795</v>
      </c>
      <c r="AK321" s="152">
        <v>1180.7597691899584</v>
      </c>
      <c r="AL321" s="152">
        <v>1164.0334190852816</v>
      </c>
      <c r="AM321" s="152">
        <v>1147.8940811056025</v>
      </c>
      <c r="AN321" s="152">
        <v>1132.3019459715554</v>
      </c>
      <c r="AO321" s="152">
        <v>1117.2211215488701</v>
      </c>
      <c r="AP321" s="152">
        <v>1102.6191352095213</v>
      </c>
      <c r="AQ321" s="152">
        <v>1088.4665127920946</v>
      </c>
      <c r="AR321" s="149"/>
      <c r="AS321" s="149"/>
      <c r="AT321" s="149"/>
      <c r="AU321" s="149"/>
      <c r="AV321" s="149"/>
      <c r="AW321" s="149"/>
      <c r="AX321" s="149"/>
      <c r="AY321" s="149"/>
      <c r="AZ321" s="149"/>
      <c r="BA321" s="149"/>
      <c r="BB321" s="149"/>
      <c r="BC321" s="149"/>
      <c r="BD321" s="149"/>
      <c r="BE321" s="149"/>
      <c r="BF321" s="149"/>
      <c r="BG321" s="149"/>
      <c r="BH321" s="149"/>
      <c r="BI321" s="149"/>
      <c r="BJ321" s="149"/>
      <c r="BK321" s="149"/>
      <c r="BL321" s="149"/>
      <c r="BM321" s="149"/>
      <c r="BN321" s="149"/>
      <c r="BO321" s="149"/>
      <c r="BP321" s="149"/>
      <c r="BQ321" s="149"/>
      <c r="BR321" s="149"/>
      <c r="BS321" s="149"/>
      <c r="BT321" s="149"/>
      <c r="BU321" s="149"/>
      <c r="BV321" s="149"/>
      <c r="BW321" s="149"/>
      <c r="BX321" s="149"/>
      <c r="BY321" s="149"/>
      <c r="BZ321" s="149"/>
    </row>
    <row r="322" spans="7:78" ht="14.1" hidden="1" customHeight="1" x14ac:dyDescent="0.25">
      <c r="G322" s="106"/>
      <c r="H322" s="218"/>
      <c r="J322" s="210"/>
      <c r="K322" s="7" t="s">
        <v>105</v>
      </c>
      <c r="L322" s="150">
        <v>2755.6425390419208</v>
      </c>
      <c r="M322" s="150">
        <v>2565.1878388492723</v>
      </c>
      <c r="N322" s="150">
        <v>2422.8588561268348</v>
      </c>
      <c r="O322" s="150">
        <v>2306.9000770326561</v>
      </c>
      <c r="P322" s="150">
        <v>2207.6210155557278</v>
      </c>
      <c r="Q322" s="150">
        <v>2119.8524713466886</v>
      </c>
      <c r="R322" s="150">
        <v>2040.5088924548204</v>
      </c>
      <c r="S322" s="150">
        <v>1967.6000346061503</v>
      </c>
      <c r="T322" s="150">
        <v>1899.7669729821716</v>
      </c>
      <c r="U322" s="150">
        <v>1836.040441819654</v>
      </c>
      <c r="V322" s="150">
        <v>1775.7047711267846</v>
      </c>
      <c r="W322" s="150">
        <v>1718.2164732221886</v>
      </c>
      <c r="X322" s="150">
        <v>1687.9362269177457</v>
      </c>
      <c r="Y322" s="150">
        <v>1659.7459920325946</v>
      </c>
      <c r="Z322" s="150">
        <v>1633.3757884043468</v>
      </c>
      <c r="AA322" s="150">
        <v>1608.6047897200554</v>
      </c>
      <c r="AB322" s="150">
        <v>1585.2500709341359</v>
      </c>
      <c r="AC322" s="150">
        <v>1563.1584021233255</v>
      </c>
      <c r="AD322" s="150">
        <v>1542.2001496886267</v>
      </c>
      <c r="AE322" s="150">
        <v>1522.2646671035668</v>
      </c>
      <c r="AF322" s="150">
        <v>1503.2567589045786</v>
      </c>
      <c r="AG322" s="150">
        <v>1485.093931341042</v>
      </c>
      <c r="AH322" s="150">
        <v>1467.704228590168</v>
      </c>
      <c r="AI322" s="150">
        <v>1451.0245109729062</v>
      </c>
      <c r="AJ322" s="150">
        <v>1434.999071064042</v>
      </c>
      <c r="AK322" s="150">
        <v>1419.5785111199568</v>
      </c>
      <c r="AL322" s="150">
        <v>1404.7188247595989</v>
      </c>
      <c r="AM322" s="150">
        <v>1390.3806398632541</v>
      </c>
      <c r="AN322" s="150">
        <v>1376.5285898744476</v>
      </c>
      <c r="AO322" s="150">
        <v>1363.1307882276874</v>
      </c>
      <c r="AP322" s="150">
        <v>1350.1583862462001</v>
      </c>
      <c r="AQ322" s="150">
        <v>1337.5851990904</v>
      </c>
      <c r="AR322" s="149"/>
      <c r="AS322" s="149"/>
      <c r="AT322" s="149"/>
      <c r="AU322" s="149"/>
      <c r="AV322" s="149"/>
      <c r="AW322" s="149"/>
      <c r="AX322" s="149"/>
      <c r="AY322" s="149"/>
      <c r="AZ322" s="149"/>
      <c r="BA322" s="149"/>
      <c r="BB322" s="149"/>
      <c r="BC322" s="149"/>
      <c r="BD322" s="149"/>
      <c r="BE322" s="149"/>
      <c r="BF322" s="149"/>
      <c r="BG322" s="149"/>
      <c r="BH322" s="149"/>
      <c r="BI322" s="149"/>
      <c r="BJ322" s="149"/>
      <c r="BK322" s="149"/>
      <c r="BL322" s="149"/>
      <c r="BM322" s="149"/>
      <c r="BN322" s="149"/>
      <c r="BO322" s="149"/>
      <c r="BP322" s="149"/>
      <c r="BQ322" s="149"/>
      <c r="BR322" s="149"/>
      <c r="BS322" s="149"/>
      <c r="BT322" s="149"/>
      <c r="BU322" s="149"/>
      <c r="BV322" s="149"/>
      <c r="BW322" s="149"/>
      <c r="BX322" s="149"/>
      <c r="BY322" s="149"/>
      <c r="BZ322" s="149"/>
    </row>
    <row r="323" spans="7:78" ht="14.1" hidden="1" customHeight="1" thickBot="1" x14ac:dyDescent="0.3">
      <c r="G323" s="106"/>
      <c r="H323" s="218"/>
      <c r="J323" s="210"/>
      <c r="K323" s="121" t="s">
        <v>106</v>
      </c>
      <c r="L323" s="151">
        <v>2918.8719091943103</v>
      </c>
      <c r="M323" s="151">
        <v>2788.5102730673921</v>
      </c>
      <c r="N323" s="151">
        <v>2690.3183247223064</v>
      </c>
      <c r="O323" s="151">
        <v>2609.7535674521182</v>
      </c>
      <c r="P323" s="151">
        <v>2540.3383854244903</v>
      </c>
      <c r="Q323" s="151">
        <v>2478.6174210871086</v>
      </c>
      <c r="R323" s="151">
        <v>2422.5281339084959</v>
      </c>
      <c r="S323" s="151">
        <v>2370.7401429557654</v>
      </c>
      <c r="T323" s="151">
        <v>2322.3450734674038</v>
      </c>
      <c r="U323" s="151">
        <v>2276.6950186979043</v>
      </c>
      <c r="V323" s="151">
        <v>2233.3115882688671</v>
      </c>
      <c r="W323" s="151">
        <v>2191.8314872531382</v>
      </c>
      <c r="X323" s="151">
        <v>2171.5906239314913</v>
      </c>
      <c r="Y323" s="151">
        <v>2152.7468309986789</v>
      </c>
      <c r="Z323" s="151">
        <v>2135.1196399237815</v>
      </c>
      <c r="AA323" s="151">
        <v>2118.5614391195868</v>
      </c>
      <c r="AB323" s="151">
        <v>2102.9499521419543</v>
      </c>
      <c r="AC323" s="151">
        <v>2088.1827522833096</v>
      </c>
      <c r="AD323" s="151">
        <v>2074.1731858244966</v>
      </c>
      <c r="AE323" s="151">
        <v>2060.8472909754819</v>
      </c>
      <c r="AF323" s="151">
        <v>2048.1414342259054</v>
      </c>
      <c r="AG323" s="151">
        <v>2036.0004725391357</v>
      </c>
      <c r="AH323" s="151">
        <v>2024.3763069677721</v>
      </c>
      <c r="AI323" s="151">
        <v>2013.2267317252115</v>
      </c>
      <c r="AJ323" s="151">
        <v>2002.5145091229467</v>
      </c>
      <c r="AK323" s="151">
        <v>1992.2066191859451</v>
      </c>
      <c r="AL323" s="151">
        <v>1982.2736458012996</v>
      </c>
      <c r="AM323" s="151">
        <v>1972.689270633095</v>
      </c>
      <c r="AN323" s="151">
        <v>1963.4298528684872</v>
      </c>
      <c r="AO323" s="151">
        <v>1954.4740778983601</v>
      </c>
      <c r="AP323" s="151">
        <v>1945.80266179359</v>
      </c>
      <c r="AQ323" s="151">
        <v>1937.3981012698966</v>
      </c>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c r="BS323" s="149"/>
      <c r="BT323" s="149"/>
      <c r="BU323" s="149"/>
      <c r="BV323" s="149"/>
      <c r="BW323" s="149"/>
      <c r="BX323" s="149"/>
      <c r="BY323" s="149"/>
      <c r="BZ323" s="149"/>
    </row>
    <row r="324" spans="7:78" ht="14.1" hidden="1" customHeight="1" thickTop="1" x14ac:dyDescent="0.25">
      <c r="G324" s="106"/>
      <c r="H324" s="218"/>
      <c r="J324" s="210"/>
      <c r="K324" s="119" t="s">
        <v>107</v>
      </c>
      <c r="L324" s="152">
        <v>2702.1247924906847</v>
      </c>
      <c r="M324" s="152">
        <v>2486.6812837467096</v>
      </c>
      <c r="N324" s="152">
        <v>2326.3649491400779</v>
      </c>
      <c r="O324" s="152">
        <v>2196.2552251330999</v>
      </c>
      <c r="P324" s="152">
        <v>2085.2518281791708</v>
      </c>
      <c r="Q324" s="152">
        <v>1987.4335289898759</v>
      </c>
      <c r="R324" s="152">
        <v>1899.2658813556079</v>
      </c>
      <c r="S324" s="152">
        <v>1818.4690950013332</v>
      </c>
      <c r="T324" s="152">
        <v>1743.4865451316989</v>
      </c>
      <c r="U324" s="152">
        <v>1673.2079546365803</v>
      </c>
      <c r="V324" s="152">
        <v>1606.8135359608386</v>
      </c>
      <c r="W324" s="152">
        <v>1543.6807333977483</v>
      </c>
      <c r="X324" s="152">
        <v>1508.9952367715434</v>
      </c>
      <c r="Y324" s="152">
        <v>1476.7038119538611</v>
      </c>
      <c r="Z324" s="152">
        <v>1446.4972013542072</v>
      </c>
      <c r="AA324" s="152">
        <v>1418.122452263555</v>
      </c>
      <c r="AB324" s="152">
        <v>1391.3700272168635</v>
      </c>
      <c r="AC324" s="152">
        <v>1366.0644039963495</v>
      </c>
      <c r="AD324" s="152">
        <v>1342.0570895641606</v>
      </c>
      <c r="AE324" s="152">
        <v>1319.2213402444997</v>
      </c>
      <c r="AF324" s="152">
        <v>1297.4481112859735</v>
      </c>
      <c r="AG324" s="152">
        <v>1276.6429075289298</v>
      </c>
      <c r="AH324" s="152">
        <v>1256.723304827163</v>
      </c>
      <c r="AI324" s="152">
        <v>1237.6169777741143</v>
      </c>
      <c r="AJ324" s="152">
        <v>1219.2601144810039</v>
      </c>
      <c r="AK324" s="152">
        <v>1201.5961306898198</v>
      </c>
      <c r="AL324" s="152">
        <v>1184.5746178547993</v>
      </c>
      <c r="AM324" s="152">
        <v>1168.1504758961159</v>
      </c>
      <c r="AN324" s="152">
        <v>1152.2831930371167</v>
      </c>
      <c r="AO324" s="152">
        <v>1136.9362437704231</v>
      </c>
      <c r="AP324" s="152">
        <v>1122.0765824374628</v>
      </c>
      <c r="AQ324" s="152">
        <v>1107.6742147589296</v>
      </c>
      <c r="AR324" s="149"/>
      <c r="AS324" s="149"/>
      <c r="AT324" s="149"/>
      <c r="AU324" s="149"/>
      <c r="AV324" s="149"/>
      <c r="AW324" s="149"/>
      <c r="AX324" s="149"/>
      <c r="AY324" s="149"/>
      <c r="AZ324" s="149"/>
      <c r="BA324" s="149"/>
      <c r="BB324" s="149"/>
      <c r="BC324" s="149"/>
      <c r="BD324" s="149"/>
      <c r="BE324" s="149"/>
      <c r="BF324" s="149"/>
      <c r="BG324" s="149"/>
      <c r="BH324" s="149"/>
      <c r="BI324" s="149"/>
      <c r="BJ324" s="149"/>
      <c r="BK324" s="149"/>
      <c r="BL324" s="149"/>
      <c r="BM324" s="149"/>
      <c r="BN324" s="149"/>
      <c r="BO324" s="149"/>
      <c r="BP324" s="149"/>
      <c r="BQ324" s="149"/>
      <c r="BR324" s="149"/>
      <c r="BS324" s="149"/>
      <c r="BT324" s="149"/>
      <c r="BU324" s="149"/>
      <c r="BV324" s="149"/>
      <c r="BW324" s="149"/>
      <c r="BX324" s="149"/>
      <c r="BY324" s="149"/>
      <c r="BZ324" s="149"/>
    </row>
    <row r="325" spans="7:78" ht="14.1" hidden="1" customHeight="1" x14ac:dyDescent="0.25">
      <c r="G325" s="106"/>
      <c r="H325" s="218"/>
      <c r="J325" s="210"/>
      <c r="K325" s="7" t="s">
        <v>108</v>
      </c>
      <c r="L325" s="150">
        <v>2804.2701816887088</v>
      </c>
      <c r="M325" s="150">
        <v>2610.4546090424838</v>
      </c>
      <c r="N325" s="150">
        <v>2465.6140077729929</v>
      </c>
      <c r="O325" s="150">
        <v>2347.6089538112801</v>
      </c>
      <c r="P325" s="150">
        <v>2246.5779572936453</v>
      </c>
      <c r="Q325" s="150">
        <v>2157.260599208003</v>
      </c>
      <c r="R325" s="150">
        <v>2076.5168781910197</v>
      </c>
      <c r="S325" s="150">
        <v>2002.3214289811629</v>
      </c>
      <c r="T325" s="150">
        <v>1933.2913463961727</v>
      </c>
      <c r="U325" s="150">
        <v>1868.4402604553825</v>
      </c>
      <c r="V325" s="150">
        <v>1807.039872045415</v>
      </c>
      <c r="W325" s="150">
        <v>1748.5371027907547</v>
      </c>
      <c r="X325" s="150">
        <v>1717.7225139597731</v>
      </c>
      <c r="Y325" s="150">
        <v>1689.0348180836907</v>
      </c>
      <c r="Z325" s="150">
        <v>1662.1992707759239</v>
      </c>
      <c r="AA325" s="150">
        <v>1636.9911488962405</v>
      </c>
      <c r="AB325" s="150">
        <v>1613.2242993991899</v>
      </c>
      <c r="AC325" s="150">
        <v>1590.7427883787377</v>
      </c>
      <c r="AD325" s="150">
        <v>1569.4146946473336</v>
      </c>
      <c r="AE325" s="150">
        <v>1549.1274191466821</v>
      </c>
      <c r="AF325" s="150">
        <v>1529.7840865396774</v>
      </c>
      <c r="AG325" s="150">
        <v>1511.300747343844</v>
      </c>
      <c r="AH325" s="150">
        <v>1493.6041759628329</v>
      </c>
      <c r="AI325" s="150">
        <v>1476.6301185187433</v>
      </c>
      <c r="AJ325" s="150">
        <v>1460.3218845413069</v>
      </c>
      <c r="AK325" s="150">
        <v>1444.6292045860989</v>
      </c>
      <c r="AL325" s="150">
        <v>1429.507295710325</v>
      </c>
      <c r="AM325" s="150">
        <v>1414.9160910113519</v>
      </c>
      <c r="AN325" s="150">
        <v>1400.8195998342426</v>
      </c>
      <c r="AO325" s="150">
        <v>1387.1853729249524</v>
      </c>
      <c r="AP325" s="150">
        <v>1373.9840525264758</v>
      </c>
      <c r="AQ325" s="150">
        <v>1361.1889917265869</v>
      </c>
      <c r="AR325" s="149"/>
      <c r="AS325" s="149"/>
      <c r="AT325" s="149"/>
      <c r="AU325" s="149"/>
      <c r="AV325" s="149"/>
      <c r="AW325" s="149"/>
      <c r="AX325" s="149"/>
      <c r="AY325" s="149"/>
      <c r="AZ325" s="149"/>
      <c r="BA325" s="149"/>
      <c r="BB325" s="149"/>
      <c r="BC325" s="149"/>
      <c r="BD325" s="149"/>
      <c r="BE325" s="149"/>
      <c r="BF325" s="149"/>
      <c r="BG325" s="149"/>
      <c r="BH325" s="149"/>
      <c r="BI325" s="149"/>
      <c r="BJ325" s="149"/>
      <c r="BK325" s="149"/>
      <c r="BL325" s="149"/>
      <c r="BM325" s="149"/>
      <c r="BN325" s="149"/>
      <c r="BO325" s="149"/>
      <c r="BP325" s="149"/>
      <c r="BQ325" s="149"/>
      <c r="BR325" s="149"/>
      <c r="BS325" s="149"/>
      <c r="BT325" s="149"/>
      <c r="BU325" s="149"/>
      <c r="BV325" s="149"/>
      <c r="BW325" s="149"/>
      <c r="BX325" s="149"/>
      <c r="BY325" s="149"/>
      <c r="BZ325" s="149"/>
    </row>
    <row r="326" spans="7:78" ht="14.1" hidden="1" customHeight="1" thickBot="1" x14ac:dyDescent="0.3">
      <c r="G326" s="106"/>
      <c r="H326" s="218"/>
      <c r="J326" s="210"/>
      <c r="K326" s="121" t="s">
        <v>109</v>
      </c>
      <c r="L326" s="151">
        <v>2970.379990565923</v>
      </c>
      <c r="M326" s="151">
        <v>2837.7179185273735</v>
      </c>
      <c r="N326" s="151">
        <v>2737.7932189610151</v>
      </c>
      <c r="O326" s="151">
        <v>2655.8067699543426</v>
      </c>
      <c r="P326" s="151">
        <v>2585.1666479651353</v>
      </c>
      <c r="Q326" s="151">
        <v>2522.3565202275336</v>
      </c>
      <c r="R326" s="151">
        <v>2465.2774494414348</v>
      </c>
      <c r="S326" s="151">
        <v>2412.5755780119134</v>
      </c>
      <c r="T326" s="151">
        <v>2363.3265014774261</v>
      </c>
      <c r="U326" s="151">
        <v>2316.8708797598606</v>
      </c>
      <c r="V326" s="151">
        <v>2272.7218805308771</v>
      </c>
      <c r="W326" s="151">
        <v>2230.5097979534735</v>
      </c>
      <c r="X326" s="151">
        <v>2209.9117527932813</v>
      </c>
      <c r="Y326" s="151">
        <v>2190.7354315242046</v>
      </c>
      <c r="Z326" s="151">
        <v>2172.7971809645187</v>
      </c>
      <c r="AA326" s="151">
        <v>2155.9467846886059</v>
      </c>
      <c r="AB326" s="151">
        <v>2140.0598084923336</v>
      </c>
      <c r="AC326" s="151">
        <v>2125.0320181879229</v>
      </c>
      <c r="AD326" s="151">
        <v>2110.7752309151824</v>
      </c>
      <c r="AE326" s="151">
        <v>2097.2141797120735</v>
      </c>
      <c r="AF326" s="151">
        <v>2084.2841081549577</v>
      </c>
      <c r="AG326" s="151">
        <v>2071.9289001216721</v>
      </c>
      <c r="AH326" s="151">
        <v>2060.0996078833105</v>
      </c>
      <c r="AI326" s="151">
        <v>2048.7532808658457</v>
      </c>
      <c r="AJ326" s="151">
        <v>2037.852024263243</v>
      </c>
      <c r="AK326" s="151">
        <v>2027.3622354111258</v>
      </c>
      <c r="AL326" s="151">
        <v>2017.2539791030513</v>
      </c>
      <c r="AM326" s="151">
        <v>2007.5004725747121</v>
      </c>
      <c r="AN326" s="151">
        <v>1998.0776578339744</v>
      </c>
      <c r="AO326" s="151">
        <v>1988.9638441419513</v>
      </c>
      <c r="AP326" s="151">
        <v>1980.1394072742883</v>
      </c>
      <c r="AQ326" s="151">
        <v>1971.5865350737504</v>
      </c>
      <c r="AR326" s="149"/>
      <c r="AS326" s="149"/>
      <c r="AT326" s="149"/>
      <c r="AU326" s="149"/>
      <c r="AV326" s="149"/>
      <c r="AW326" s="149"/>
      <c r="AX326" s="149"/>
      <c r="AY326" s="149"/>
      <c r="AZ326" s="149"/>
      <c r="BA326" s="149"/>
      <c r="BB326" s="149"/>
      <c r="BC326" s="149"/>
      <c r="BD326" s="149"/>
      <c r="BE326" s="149"/>
      <c r="BF326" s="149"/>
      <c r="BG326" s="149"/>
      <c r="BH326" s="149"/>
      <c r="BI326" s="149"/>
      <c r="BJ326" s="149"/>
      <c r="BK326" s="149"/>
      <c r="BL326" s="149"/>
      <c r="BM326" s="149"/>
      <c r="BN326" s="149"/>
      <c r="BO326" s="149"/>
      <c r="BP326" s="149"/>
      <c r="BQ326" s="149"/>
      <c r="BR326" s="149"/>
      <c r="BS326" s="149"/>
      <c r="BT326" s="149"/>
      <c r="BU326" s="149"/>
      <c r="BV326" s="149"/>
      <c r="BW326" s="149"/>
      <c r="BX326" s="149"/>
      <c r="BY326" s="149"/>
      <c r="BZ326" s="149"/>
    </row>
    <row r="327" spans="7:78" ht="14.1" hidden="1" customHeight="1" thickTop="1" x14ac:dyDescent="0.25">
      <c r="G327" s="106"/>
      <c r="H327" s="218"/>
      <c r="J327" s="210"/>
      <c r="K327" s="119" t="s">
        <v>110</v>
      </c>
      <c r="L327" s="152">
        <v>2727.140045572462</v>
      </c>
      <c r="M327" s="152">
        <v>2509.7020420105441</v>
      </c>
      <c r="N327" s="152">
        <v>2347.9015591904504</v>
      </c>
      <c r="O327" s="152">
        <v>2216.5873283881238</v>
      </c>
      <c r="P327" s="152">
        <v>2104.556303814828</v>
      </c>
      <c r="Q327" s="152">
        <v>2005.8324396727041</v>
      </c>
      <c r="R327" s="152">
        <v>1916.8485691810295</v>
      </c>
      <c r="S327" s="152">
        <v>1835.3037966255017</v>
      </c>
      <c r="T327" s="152">
        <v>1759.627086564999</v>
      </c>
      <c r="U327" s="152">
        <v>1688.6978833622989</v>
      </c>
      <c r="V327" s="152">
        <v>1621.6888101779989</v>
      </c>
      <c r="W327" s="152">
        <v>1557.9715479192398</v>
      </c>
      <c r="X327" s="152">
        <v>1522.9649460358751</v>
      </c>
      <c r="Y327" s="152">
        <v>1490.3745793756727</v>
      </c>
      <c r="Z327" s="152">
        <v>1459.8883273579049</v>
      </c>
      <c r="AA327" s="152">
        <v>1431.2508955326853</v>
      </c>
      <c r="AB327" s="152">
        <v>1404.2508066160813</v>
      </c>
      <c r="AC327" s="152">
        <v>1378.7109134717605</v>
      </c>
      <c r="AD327" s="152">
        <v>1354.4813483692826</v>
      </c>
      <c r="AE327" s="152">
        <v>1331.4341942876615</v>
      </c>
      <c r="AF327" s="152">
        <v>1309.4593969802868</v>
      </c>
      <c r="AG327" s="152">
        <v>1288.461586486927</v>
      </c>
      <c r="AH327" s="152">
        <v>1268.3575756096911</v>
      </c>
      <c r="AI327" s="152">
        <v>1249.0743693806608</v>
      </c>
      <c r="AJ327" s="152">
        <v>1230.5475651646364</v>
      </c>
      <c r="AK327" s="152">
        <v>1212.7200548678677</v>
      </c>
      <c r="AL327" s="152">
        <v>1195.5409632812714</v>
      </c>
      <c r="AM327" s="152">
        <v>1178.9647728054772</v>
      </c>
      <c r="AN327" s="152">
        <v>1162.9505966210693</v>
      </c>
      <c r="AO327" s="152">
        <v>1147.4615710812861</v>
      </c>
      <c r="AP327" s="152">
        <v>1132.4643446033015</v>
      </c>
      <c r="AQ327" s="152">
        <v>1117.9286452320734</v>
      </c>
      <c r="AR327" s="149"/>
      <c r="AS327" s="149"/>
      <c r="AT327" s="149"/>
      <c r="AU327" s="149"/>
      <c r="AV327" s="149"/>
      <c r="AW327" s="149"/>
      <c r="AX327" s="149"/>
      <c r="AY327" s="149"/>
      <c r="AZ327" s="149"/>
      <c r="BA327" s="149"/>
      <c r="BB327" s="149"/>
      <c r="BC327" s="149"/>
      <c r="BD327" s="149"/>
      <c r="BE327" s="149"/>
      <c r="BF327" s="149"/>
      <c r="BG327" s="149"/>
      <c r="BH327" s="149"/>
      <c r="BI327" s="149"/>
      <c r="BJ327" s="149"/>
      <c r="BK327" s="149"/>
      <c r="BL327" s="149"/>
      <c r="BM327" s="149"/>
      <c r="BN327" s="149"/>
      <c r="BO327" s="149"/>
      <c r="BP327" s="149"/>
      <c r="BQ327" s="149"/>
      <c r="BR327" s="149"/>
      <c r="BS327" s="149"/>
      <c r="BT327" s="149"/>
      <c r="BU327" s="149"/>
      <c r="BV327" s="149"/>
      <c r="BW327" s="149"/>
      <c r="BX327" s="149"/>
      <c r="BY327" s="149"/>
      <c r="BZ327" s="149"/>
    </row>
    <row r="328" spans="7:78" ht="14.1" hidden="1" customHeight="1" x14ac:dyDescent="0.25">
      <c r="G328" s="106"/>
      <c r="H328" s="218"/>
      <c r="J328" s="210"/>
      <c r="K328" s="7" t="s">
        <v>111</v>
      </c>
      <c r="L328" s="150">
        <v>2830.23105829203</v>
      </c>
      <c r="M328" s="150">
        <v>2634.6212141101569</v>
      </c>
      <c r="N328" s="150">
        <v>2488.4397331346868</v>
      </c>
      <c r="O328" s="150">
        <v>2369.3422328514775</v>
      </c>
      <c r="P328" s="150">
        <v>2267.3759294397955</v>
      </c>
      <c r="Q328" s="150">
        <v>2177.2317049106355</v>
      </c>
      <c r="R328" s="150">
        <v>2095.7404889512954</v>
      </c>
      <c r="S328" s="150">
        <v>2020.8581662318732</v>
      </c>
      <c r="T328" s="150">
        <v>1951.1890291550556</v>
      </c>
      <c r="U328" s="150">
        <v>1885.7375762985903</v>
      </c>
      <c r="V328" s="150">
        <v>1823.7687662303547</v>
      </c>
      <c r="W328" s="150">
        <v>1764.7244003836506</v>
      </c>
      <c r="X328" s="150">
        <v>1733.6245417011951</v>
      </c>
      <c r="Y328" s="150">
        <v>1704.6712659471336</v>
      </c>
      <c r="Z328" s="150">
        <v>1677.5872852548846</v>
      </c>
      <c r="AA328" s="150">
        <v>1652.1457960820662</v>
      </c>
      <c r="AB328" s="150">
        <v>1628.1589220484816</v>
      </c>
      <c r="AC328" s="150">
        <v>1605.4692856707547</v>
      </c>
      <c r="AD328" s="150">
        <v>1583.9437444846938</v>
      </c>
      <c r="AE328" s="150">
        <v>1563.4686570323518</v>
      </c>
      <c r="AF328" s="150">
        <v>1543.9462511412585</v>
      </c>
      <c r="AG328" s="150">
        <v>1525.2918001562637</v>
      </c>
      <c r="AH328" s="150">
        <v>1507.4314005860415</v>
      </c>
      <c r="AI328" s="150">
        <v>1490.3002037145027</v>
      </c>
      <c r="AJ328" s="150">
        <v>1473.8409942523676</v>
      </c>
      <c r="AK328" s="150">
        <v>1458.0030373796385</v>
      </c>
      <c r="AL328" s="150">
        <v>1442.7411355699119</v>
      </c>
      <c r="AM328" s="150">
        <v>1428.0148509962685</v>
      </c>
      <c r="AN328" s="150">
        <v>1413.7878598158504</v>
      </c>
      <c r="AO328" s="150">
        <v>1400.0274123716472</v>
      </c>
      <c r="AP328" s="150">
        <v>1386.7038791236016</v>
      </c>
      <c r="AQ328" s="150">
        <v>1373.7903664724156</v>
      </c>
      <c r="AR328" s="149"/>
      <c r="AS328" s="149"/>
      <c r="AT328" s="149"/>
      <c r="AU328" s="149"/>
      <c r="AV328" s="149"/>
      <c r="AW328" s="149"/>
      <c r="AX328" s="149"/>
      <c r="AY328" s="149"/>
      <c r="AZ328" s="149"/>
      <c r="BA328" s="149"/>
      <c r="BB328" s="149"/>
      <c r="BC328" s="149"/>
      <c r="BD328" s="149"/>
      <c r="BE328" s="149"/>
      <c r="BF328" s="149"/>
      <c r="BG328" s="149"/>
      <c r="BH328" s="149"/>
      <c r="BI328" s="149"/>
      <c r="BJ328" s="149"/>
      <c r="BK328" s="149"/>
      <c r="BL328" s="149"/>
      <c r="BM328" s="149"/>
      <c r="BN328" s="149"/>
      <c r="BO328" s="149"/>
      <c r="BP328" s="149"/>
      <c r="BQ328" s="149"/>
      <c r="BR328" s="149"/>
      <c r="BS328" s="149"/>
      <c r="BT328" s="149"/>
      <c r="BU328" s="149"/>
      <c r="BV328" s="149"/>
      <c r="BW328" s="149"/>
      <c r="BX328" s="149"/>
      <c r="BY328" s="149"/>
      <c r="BZ328" s="149"/>
    </row>
    <row r="329" spans="7:78" ht="14.1" hidden="1" customHeight="1" thickBot="1" x14ac:dyDescent="0.3">
      <c r="G329" s="106"/>
      <c r="H329" s="218"/>
      <c r="J329" s="210"/>
      <c r="K329" s="121" t="s">
        <v>112</v>
      </c>
      <c r="L329" s="151">
        <v>2997.8786491843371</v>
      </c>
      <c r="M329" s="151">
        <v>2863.9884416741693</v>
      </c>
      <c r="N329" s="151">
        <v>2763.1386768940501</v>
      </c>
      <c r="O329" s="151">
        <v>2680.3932282375922</v>
      </c>
      <c r="P329" s="151">
        <v>2609.0991466184673</v>
      </c>
      <c r="Q329" s="151">
        <v>2545.7075463871374</v>
      </c>
      <c r="R329" s="151">
        <v>2488.1000590729213</v>
      </c>
      <c r="S329" s="151">
        <v>2434.9102935774572</v>
      </c>
      <c r="T329" s="151">
        <v>2385.205287651042</v>
      </c>
      <c r="U329" s="151">
        <v>2338.31959729358</v>
      </c>
      <c r="V329" s="151">
        <v>2293.7618832664907</v>
      </c>
      <c r="W329" s="151">
        <v>2251.1590171354492</v>
      </c>
      <c r="X329" s="151">
        <v>2230.3702830351663</v>
      </c>
      <c r="Y329" s="151">
        <v>2211.0164346100323</v>
      </c>
      <c r="Z329" s="151">
        <v>2192.9121184863716</v>
      </c>
      <c r="AA329" s="151">
        <v>2175.9057275915052</v>
      </c>
      <c r="AB329" s="151">
        <v>2159.8716757563284</v>
      </c>
      <c r="AC329" s="151">
        <v>2144.7047638322319</v>
      </c>
      <c r="AD329" s="151">
        <v>2130.3159925953341</v>
      </c>
      <c r="AE329" s="151">
        <v>2116.6293982904253</v>
      </c>
      <c r="AF329" s="151">
        <v>2103.5796250032986</v>
      </c>
      <c r="AG329" s="151">
        <v>2091.1100371098787</v>
      </c>
      <c r="AH329" s="151">
        <v>2079.1712337416302</v>
      </c>
      <c r="AI329" s="151">
        <v>2067.7198667042967</v>
      </c>
      <c r="AJ329" s="151">
        <v>2056.7176903760096</v>
      </c>
      <c r="AK329" s="151">
        <v>2046.1307910115872</v>
      </c>
      <c r="AL329" s="151">
        <v>2035.9289562757272</v>
      </c>
      <c r="AM329" s="151">
        <v>2026.0851554593823</v>
      </c>
      <c r="AN329" s="151">
        <v>2016.5751078505928</v>
      </c>
      <c r="AO329" s="151">
        <v>2007.3769219057856</v>
      </c>
      <c r="AP329" s="151">
        <v>1998.470791726932</v>
      </c>
      <c r="AQ329" s="151">
        <v>1989.8387402585577</v>
      </c>
      <c r="AR329" s="149"/>
      <c r="AS329" s="149"/>
      <c r="AT329" s="149"/>
      <c r="AU329" s="149"/>
      <c r="AV329" s="149"/>
      <c r="AW329" s="149"/>
      <c r="AX329" s="149"/>
      <c r="AY329" s="149"/>
      <c r="AZ329" s="149"/>
      <c r="BA329" s="149"/>
      <c r="BB329" s="149"/>
      <c r="BC329" s="149"/>
      <c r="BD329" s="149"/>
      <c r="BE329" s="149"/>
      <c r="BF329" s="149"/>
      <c r="BG329" s="149"/>
      <c r="BH329" s="149"/>
      <c r="BI329" s="149"/>
      <c r="BJ329" s="149"/>
      <c r="BK329" s="149"/>
      <c r="BL329" s="149"/>
      <c r="BM329" s="149"/>
      <c r="BN329" s="149"/>
      <c r="BO329" s="149"/>
      <c r="BP329" s="149"/>
      <c r="BQ329" s="149"/>
      <c r="BR329" s="149"/>
      <c r="BS329" s="149"/>
      <c r="BT329" s="149"/>
      <c r="BU329" s="149"/>
      <c r="BV329" s="149"/>
      <c r="BW329" s="149"/>
      <c r="BX329" s="149"/>
      <c r="BY329" s="149"/>
      <c r="BZ329" s="149"/>
    </row>
    <row r="330" spans="7:78" ht="14.1" hidden="1" customHeight="1" thickTop="1" x14ac:dyDescent="0.25">
      <c r="G330" s="106"/>
      <c r="H330" s="218"/>
      <c r="J330" s="210"/>
      <c r="K330" s="119" t="s">
        <v>113</v>
      </c>
      <c r="L330" s="152">
        <v>2976.2538883260845</v>
      </c>
      <c r="M330" s="152">
        <v>2738.953752375357</v>
      </c>
      <c r="N330" s="152">
        <v>2562.3734125031315</v>
      </c>
      <c r="O330" s="152">
        <v>2419.064127506022</v>
      </c>
      <c r="P330" s="152">
        <v>2296.7994960872002</v>
      </c>
      <c r="Q330" s="152">
        <v>2189.0575834558322</v>
      </c>
      <c r="R330" s="152">
        <v>2091.9453757497704</v>
      </c>
      <c r="S330" s="152">
        <v>2002.951799206066</v>
      </c>
      <c r="T330" s="152">
        <v>1920.3623102874585</v>
      </c>
      <c r="U330" s="152">
        <v>1842.9539948726945</v>
      </c>
      <c r="V330" s="152">
        <v>1769.8238984034331</v>
      </c>
      <c r="W330" s="152">
        <v>1700.2863072338837</v>
      </c>
      <c r="X330" s="152">
        <v>1662.0819857720653</v>
      </c>
      <c r="Y330" s="152">
        <v>1626.5146134063243</v>
      </c>
      <c r="Z330" s="152">
        <v>1593.2435585312073</v>
      </c>
      <c r="AA330" s="152">
        <v>1561.9902065224394</v>
      </c>
      <c r="AB330" s="152">
        <v>1532.5237624527056</v>
      </c>
      <c r="AC330" s="152">
        <v>1504.6508974703497</v>
      </c>
      <c r="AD330" s="152">
        <v>1478.2080539993015</v>
      </c>
      <c r="AE330" s="152">
        <v>1453.0556302865411</v>
      </c>
      <c r="AF330" s="152">
        <v>1429.0735190497408</v>
      </c>
      <c r="AG330" s="152">
        <v>1406.1576386465113</v>
      </c>
      <c r="AH330" s="152">
        <v>1384.2172030456827</v>
      </c>
      <c r="AI330" s="152">
        <v>1363.172549467396</v>
      </c>
      <c r="AJ330" s="152">
        <v>1342.9533923413367</v>
      </c>
      <c r="AK330" s="152">
        <v>1323.4974069671814</v>
      </c>
      <c r="AL330" s="152">
        <v>1304.7490708795183</v>
      </c>
      <c r="AM330" s="152">
        <v>1286.6587086198638</v>
      </c>
      <c r="AN330" s="152">
        <v>1269.1816985137773</v>
      </c>
      <c r="AO330" s="152">
        <v>1252.2778095609515</v>
      </c>
      <c r="AP330" s="152">
        <v>1235.9106436386603</v>
      </c>
      <c r="AQ330" s="152">
        <v>1220.0471635642164</v>
      </c>
      <c r="AR330" s="149"/>
      <c r="AS330" s="149"/>
      <c r="AT330" s="149"/>
      <c r="AU330" s="149"/>
      <c r="AV330" s="149"/>
      <c r="AW330" s="149"/>
      <c r="AX330" s="149"/>
      <c r="AY330" s="149"/>
      <c r="AZ330" s="149"/>
      <c r="BA330" s="149"/>
      <c r="BB330" s="149"/>
      <c r="BC330" s="149"/>
      <c r="BD330" s="149"/>
      <c r="BE330" s="149"/>
      <c r="BF330" s="149"/>
      <c r="BG330" s="149"/>
      <c r="BH330" s="149"/>
      <c r="BI330" s="149"/>
      <c r="BJ330" s="149"/>
      <c r="BK330" s="149"/>
      <c r="BL330" s="149"/>
      <c r="BM330" s="149"/>
      <c r="BN330" s="149"/>
      <c r="BO330" s="149"/>
      <c r="BP330" s="149"/>
      <c r="BQ330" s="149"/>
      <c r="BR330" s="149"/>
      <c r="BS330" s="149"/>
      <c r="BT330" s="149"/>
      <c r="BU330" s="149"/>
      <c r="BV330" s="149"/>
      <c r="BW330" s="149"/>
      <c r="BX330" s="149"/>
      <c r="BY330" s="149"/>
      <c r="BZ330" s="149"/>
    </row>
    <row r="331" spans="7:78" ht="14.1" hidden="1" customHeight="1" x14ac:dyDescent="0.25">
      <c r="G331" s="106"/>
      <c r="H331" s="218"/>
      <c r="J331" s="210"/>
      <c r="K331" s="7" t="s">
        <v>114</v>
      </c>
      <c r="L331" s="150">
        <v>3088.7618719025868</v>
      </c>
      <c r="M331" s="150">
        <v>2875.2838144458965</v>
      </c>
      <c r="N331" s="150">
        <v>2715.7492126710981</v>
      </c>
      <c r="O331" s="150">
        <v>2585.7726099354609</v>
      </c>
      <c r="P331" s="150">
        <v>2474.492073572851</v>
      </c>
      <c r="Q331" s="150">
        <v>2376.1135179131861</v>
      </c>
      <c r="R331" s="150">
        <v>2287.1783901564831</v>
      </c>
      <c r="S331" s="150">
        <v>2205.455852833034</v>
      </c>
      <c r="T331" s="150">
        <v>2129.4227057792768</v>
      </c>
      <c r="U331" s="150">
        <v>2057.9925123145495</v>
      </c>
      <c r="V331" s="150">
        <v>1990.36308777511</v>
      </c>
      <c r="W331" s="150">
        <v>1925.9252442839763</v>
      </c>
      <c r="X331" s="150">
        <v>1891.9845321154451</v>
      </c>
      <c r="Y331" s="150">
        <v>1860.3864850394602</v>
      </c>
      <c r="Z331" s="150">
        <v>1830.8284860003114</v>
      </c>
      <c r="AA331" s="150">
        <v>1803.0630138169743</v>
      </c>
      <c r="AB331" s="150">
        <v>1776.8850303184195</v>
      </c>
      <c r="AC331" s="150">
        <v>1752.1227821883499</v>
      </c>
      <c r="AD331" s="150">
        <v>1728.6309649062309</v>
      </c>
      <c r="AE331" s="150">
        <v>1706.2855563003238</v>
      </c>
      <c r="AF331" s="150">
        <v>1684.9798530830731</v>
      </c>
      <c r="AG331" s="150">
        <v>1664.6213891425</v>
      </c>
      <c r="AH331" s="150">
        <v>1645.1295101851902</v>
      </c>
      <c r="AI331" s="150">
        <v>1626.4334438121505</v>
      </c>
      <c r="AJ331" s="150">
        <v>1608.4707483356262</v>
      </c>
      <c r="AK331" s="150">
        <v>1591.1860545032982</v>
      </c>
      <c r="AL331" s="150">
        <v>1574.5300361670947</v>
      </c>
      <c r="AM331" s="150">
        <v>1558.4585616588238</v>
      </c>
      <c r="AN331" s="150">
        <v>1542.9319890911097</v>
      </c>
      <c r="AO331" s="150">
        <v>1527.9145772506704</v>
      </c>
      <c r="AP331" s="150">
        <v>1513.3739900519611</v>
      </c>
      <c r="AQ331" s="150">
        <v>1499.2808772679521</v>
      </c>
      <c r="AR331" s="149"/>
      <c r="AS331" s="149"/>
      <c r="AT331" s="149"/>
      <c r="AU331" s="149"/>
      <c r="AV331" s="149"/>
      <c r="AW331" s="149"/>
      <c r="AX331" s="149"/>
      <c r="AY331" s="149"/>
      <c r="AZ331" s="149"/>
      <c r="BA331" s="149"/>
      <c r="BB331" s="149"/>
      <c r="BC331" s="149"/>
      <c r="BD331" s="149"/>
      <c r="BE331" s="149"/>
      <c r="BF331" s="149"/>
      <c r="BG331" s="149"/>
      <c r="BH331" s="149"/>
      <c r="BI331" s="149"/>
      <c r="BJ331" s="149"/>
      <c r="BK331" s="149"/>
      <c r="BL331" s="149"/>
      <c r="BM331" s="149"/>
      <c r="BN331" s="149"/>
      <c r="BO331" s="149"/>
      <c r="BP331" s="149"/>
      <c r="BQ331" s="149"/>
      <c r="BR331" s="149"/>
      <c r="BS331" s="149"/>
      <c r="BT331" s="149"/>
      <c r="BU331" s="149"/>
      <c r="BV331" s="149"/>
      <c r="BW331" s="149"/>
      <c r="BX331" s="149"/>
      <c r="BY331" s="149"/>
      <c r="BZ331" s="149"/>
    </row>
    <row r="332" spans="7:78" ht="14.1" hidden="1" customHeight="1" thickBot="1" x14ac:dyDescent="0.3">
      <c r="G332" s="106"/>
      <c r="H332" s="218"/>
      <c r="J332" s="210"/>
      <c r="K332" s="121" t="s">
        <v>115</v>
      </c>
      <c r="L332" s="151">
        <v>3271.7234308704878</v>
      </c>
      <c r="M332" s="151">
        <v>3125.6028635171983</v>
      </c>
      <c r="N332" s="151">
        <v>3015.540857332036</v>
      </c>
      <c r="O332" s="151">
        <v>2925.2369275045621</v>
      </c>
      <c r="P332" s="151">
        <v>2847.4304034215584</v>
      </c>
      <c r="Q332" s="151">
        <v>2778.2482222636763</v>
      </c>
      <c r="R332" s="151">
        <v>2715.3785106791947</v>
      </c>
      <c r="S332" s="151">
        <v>2657.3300629538794</v>
      </c>
      <c r="T332" s="151">
        <v>2603.0846942945254</v>
      </c>
      <c r="U332" s="151">
        <v>2551.9161749294126</v>
      </c>
      <c r="V332" s="151">
        <v>2503.2882836543213</v>
      </c>
      <c r="W332" s="151">
        <v>2456.7938081754382</v>
      </c>
      <c r="X332" s="151">
        <v>2434.1061024964456</v>
      </c>
      <c r="Y332" s="151">
        <v>2412.9843538268469</v>
      </c>
      <c r="Z332" s="151">
        <v>2393.2262774691585</v>
      </c>
      <c r="AA332" s="151">
        <v>2374.6664176227919</v>
      </c>
      <c r="AB332" s="151">
        <v>2357.1677163010381</v>
      </c>
      <c r="AC332" s="151">
        <v>2340.6153648142567</v>
      </c>
      <c r="AD332" s="151">
        <v>2324.9122341988791</v>
      </c>
      <c r="AE332" s="151">
        <v>2309.9754217003569</v>
      </c>
      <c r="AF332" s="151">
        <v>2295.7336013909667</v>
      </c>
      <c r="AG332" s="151">
        <v>2282.1249641983641</v>
      </c>
      <c r="AH332" s="151">
        <v>2269.0955966730698</v>
      </c>
      <c r="AI332" s="151">
        <v>2256.5981909285997</v>
      </c>
      <c r="AJ332" s="151">
        <v>2244.5910077513822</v>
      </c>
      <c r="AK332" s="151">
        <v>2233.0370355049499</v>
      </c>
      <c r="AL332" s="151">
        <v>2221.9033020723896</v>
      </c>
      <c r="AM332" s="151">
        <v>2211.1603075924695</v>
      </c>
      <c r="AN332" s="151">
        <v>2200.7815534027905</v>
      </c>
      <c r="AO332" s="151">
        <v>2190.7431482507618</v>
      </c>
      <c r="AP332" s="151">
        <v>2181.0234770451025</v>
      </c>
      <c r="AQ332" s="151">
        <v>2171.6029205948789</v>
      </c>
      <c r="AR332" s="149"/>
      <c r="AS332" s="149"/>
      <c r="AT332" s="149"/>
      <c r="AU332" s="149"/>
      <c r="AV332" s="149"/>
      <c r="AW332" s="149"/>
      <c r="AX332" s="149"/>
      <c r="AY332" s="149"/>
      <c r="AZ332" s="149"/>
      <c r="BA332" s="149"/>
      <c r="BB332" s="149"/>
      <c r="BC332" s="149"/>
      <c r="BD332" s="149"/>
      <c r="BE332" s="149"/>
      <c r="BF332" s="149"/>
      <c r="BG332" s="149"/>
      <c r="BH332" s="149"/>
      <c r="BI332" s="149"/>
      <c r="BJ332" s="149"/>
      <c r="BK332" s="149"/>
      <c r="BL332" s="149"/>
      <c r="BM332" s="149"/>
      <c r="BN332" s="149"/>
      <c r="BO332" s="149"/>
      <c r="BP332" s="149"/>
      <c r="BQ332" s="149"/>
      <c r="BR332" s="149"/>
      <c r="BS332" s="149"/>
      <c r="BT332" s="149"/>
      <c r="BU332" s="149"/>
      <c r="BV332" s="149"/>
      <c r="BW332" s="149"/>
      <c r="BX332" s="149"/>
      <c r="BY332" s="149"/>
      <c r="BZ332" s="149"/>
    </row>
    <row r="333" spans="7:78" ht="14.1" customHeight="1" thickTop="1" thickBot="1" x14ac:dyDescent="0.3">
      <c r="G333" s="106"/>
      <c r="H333" s="218"/>
      <c r="I333" s="3" t="s">
        <v>359</v>
      </c>
      <c r="J333" s="210"/>
      <c r="K333" s="119" t="s">
        <v>116</v>
      </c>
      <c r="L333" s="152">
        <f>L377*(1-$I$355)+(($I$334*1000000)/($I$311*1000))</f>
        <v>3672.3062122475753</v>
      </c>
      <c r="M333" s="152">
        <f t="shared" ref="M333:AQ335" si="162">M377*(1-$I$355)+(($I$334*1000000)/($I$311*1000))</f>
        <v>3426.3804404645184</v>
      </c>
      <c r="N333" s="152">
        <f t="shared" si="162"/>
        <v>3243.2154431199706</v>
      </c>
      <c r="O333" s="152">
        <f t="shared" si="162"/>
        <v>3094.4398427300775</v>
      </c>
      <c r="P333" s="152">
        <f t="shared" si="162"/>
        <v>2967.4162711950744</v>
      </c>
      <c r="Q333" s="152">
        <f t="shared" si="162"/>
        <v>2855.403571516013</v>
      </c>
      <c r="R333" s="152">
        <f t="shared" si="162"/>
        <v>2754.3778737086736</v>
      </c>
      <c r="S333" s="152">
        <f t="shared" si="162"/>
        <v>2661.7436991283112</v>
      </c>
      <c r="T333" s="152">
        <f t="shared" si="162"/>
        <v>2575.7288731769136</v>
      </c>
      <c r="U333" s="152">
        <f t="shared" si="162"/>
        <v>2495.0693758432385</v>
      </c>
      <c r="V333" s="152">
        <f t="shared" si="162"/>
        <v>2418.831901500057</v>
      </c>
      <c r="W333" s="152">
        <f t="shared" si="162"/>
        <v>2346.3076875652887</v>
      </c>
      <c r="X333" s="152">
        <f t="shared" si="162"/>
        <v>2306.8192018210093</v>
      </c>
      <c r="Y333" s="152">
        <f t="shared" si="162"/>
        <v>2270.056301110164</v>
      </c>
      <c r="Z333" s="152">
        <f t="shared" si="162"/>
        <v>2235.6669041555224</v>
      </c>
      <c r="AA333" s="152">
        <f t="shared" si="162"/>
        <v>2203.3630312417586</v>
      </c>
      <c r="AB333" s="152">
        <f t="shared" si="162"/>
        <v>2172.9061297170138</v>
      </c>
      <c r="AC333" s="152">
        <f t="shared" si="162"/>
        <v>2144.0963723546702</v>
      </c>
      <c r="AD333" s="152">
        <f t="shared" si="162"/>
        <v>2116.7647039074691</v>
      </c>
      <c r="AE333" s="152">
        <f t="shared" si="162"/>
        <v>2090.7668301798053</v>
      </c>
      <c r="AF333" s="152">
        <f t="shared" si="162"/>
        <v>2065.9786067156465</v>
      </c>
      <c r="AG333" s="152">
        <f t="shared" si="162"/>
        <v>2042.292453369751</v>
      </c>
      <c r="AH333" s="152">
        <f t="shared" si="162"/>
        <v>2019.6145325143186</v>
      </c>
      <c r="AI333" s="152">
        <f t="shared" si="162"/>
        <v>1997.8625036594158</v>
      </c>
      <c r="AJ333" s="152">
        <f t="shared" si="162"/>
        <v>1976.96371872139</v>
      </c>
      <c r="AK333" s="152">
        <f t="shared" si="162"/>
        <v>1956.8537580758102</v>
      </c>
      <c r="AL333" s="152">
        <f t="shared" si="162"/>
        <v>1937.4752329771111</v>
      </c>
      <c r="AM333" s="152">
        <f t="shared" si="162"/>
        <v>1918.7767982224677</v>
      </c>
      <c r="AN333" s="152">
        <f t="shared" si="162"/>
        <v>1900.7123322662655</v>
      </c>
      <c r="AO333" s="152">
        <f t="shared" si="162"/>
        <v>1883.2402518210295</v>
      </c>
      <c r="AP333" s="152">
        <f t="shared" si="162"/>
        <v>1866.3229353116242</v>
      </c>
      <c r="AQ333" s="152">
        <f t="shared" si="162"/>
        <v>1849.9262350744432</v>
      </c>
      <c r="AR333" s="149"/>
      <c r="AS333" s="149"/>
      <c r="AT333" s="149"/>
      <c r="AU333" s="149"/>
      <c r="AV333" s="149"/>
      <c r="AW333" s="149"/>
      <c r="AX333" s="149"/>
      <c r="AY333" s="149"/>
      <c r="AZ333" s="149"/>
      <c r="BA333" s="149"/>
      <c r="BB333" s="149"/>
      <c r="BC333" s="149"/>
      <c r="BD333" s="149"/>
      <c r="BE333" s="149"/>
      <c r="BF333" s="149"/>
      <c r="BG333" s="149"/>
      <c r="BH333" s="149"/>
      <c r="BI333" s="149"/>
      <c r="BJ333" s="149"/>
      <c r="BK333" s="149"/>
      <c r="BL333" s="149"/>
      <c r="BM333" s="149"/>
      <c r="BN333" s="149"/>
      <c r="BO333" s="149"/>
      <c r="BP333" s="149"/>
      <c r="BQ333" s="149"/>
      <c r="BR333" s="149"/>
      <c r="BS333" s="149"/>
      <c r="BT333" s="149"/>
      <c r="BU333" s="149"/>
      <c r="BV333" s="149"/>
      <c r="BW333" s="149"/>
      <c r="BX333" s="149"/>
      <c r="BY333" s="149"/>
      <c r="BZ333" s="149"/>
    </row>
    <row r="334" spans="7:78" ht="14.1" customHeight="1" thickTop="1" thickBot="1" x14ac:dyDescent="0.3">
      <c r="G334" s="106"/>
      <c r="H334" s="218"/>
      <c r="I334" s="3">
        <v>3.53</v>
      </c>
      <c r="J334" s="210"/>
      <c r="K334" s="7" t="s">
        <v>117</v>
      </c>
      <c r="L334" s="152">
        <f t="shared" ref="L334:AA335" si="163">L378*(1-$I$355)+(($I$334*1000000)/($I$311*1000))</f>
        <v>3789.2241340617184</v>
      </c>
      <c r="M334" s="152">
        <f t="shared" si="163"/>
        <v>3572.9056005694824</v>
      </c>
      <c r="N334" s="152">
        <f t="shared" si="163"/>
        <v>3411.5231390476642</v>
      </c>
      <c r="O334" s="152">
        <f t="shared" si="163"/>
        <v>3280.2425748179203</v>
      </c>
      <c r="P334" s="152">
        <f t="shared" si="163"/>
        <v>3168.0021042353128</v>
      </c>
      <c r="Q334" s="152">
        <f t="shared" si="163"/>
        <v>3068.9010243628163</v>
      </c>
      <c r="R334" s="152">
        <f t="shared" si="163"/>
        <v>2979.4171413933855</v>
      </c>
      <c r="S334" s="152">
        <f t="shared" si="163"/>
        <v>2897.2785681028586</v>
      </c>
      <c r="T334" s="152">
        <f t="shared" si="163"/>
        <v>2820.9340758435324</v>
      </c>
      <c r="U334" s="152">
        <f t="shared" si="163"/>
        <v>2749.2772363577892</v>
      </c>
      <c r="V334" s="152">
        <f t="shared" si="163"/>
        <v>2681.4911039408157</v>
      </c>
      <c r="W334" s="152">
        <f t="shared" si="163"/>
        <v>2616.9552810183595</v>
      </c>
      <c r="X334" s="152">
        <f t="shared" si="163"/>
        <v>2582.3900240683197</v>
      </c>
      <c r="Y334" s="152">
        <f t="shared" si="163"/>
        <v>2550.2105397110786</v>
      </c>
      <c r="Z334" s="152">
        <f t="shared" si="163"/>
        <v>2520.108642418998</v>
      </c>
      <c r="AA334" s="152">
        <f t="shared" si="163"/>
        <v>2491.8322563611346</v>
      </c>
      <c r="AB334" s="152">
        <f t="shared" si="162"/>
        <v>2465.1725704485798</v>
      </c>
      <c r="AC334" s="152">
        <f t="shared" si="162"/>
        <v>2439.9546709234764</v>
      </c>
      <c r="AD334" s="152">
        <f t="shared" si="162"/>
        <v>2416.03057950937</v>
      </c>
      <c r="AE334" s="152">
        <f t="shared" si="162"/>
        <v>2393.2739918961934</v>
      </c>
      <c r="AF334" s="152">
        <f t="shared" si="162"/>
        <v>2371.5762413437351</v>
      </c>
      <c r="AG334" s="152">
        <f t="shared" si="162"/>
        <v>2350.8431602663595</v>
      </c>
      <c r="AH334" s="152">
        <f t="shared" si="162"/>
        <v>2330.9926102468712</v>
      </c>
      <c r="AI334" s="152">
        <f t="shared" si="162"/>
        <v>2311.952516599742</v>
      </c>
      <c r="AJ334" s="152">
        <f t="shared" si="162"/>
        <v>2293.6592886445237</v>
      </c>
      <c r="AK334" s="152">
        <f t="shared" si="162"/>
        <v>2276.0565382764535</v>
      </c>
      <c r="AL334" s="152">
        <f t="shared" si="162"/>
        <v>2259.0940316944843</v>
      </c>
      <c r="AM334" s="152">
        <f t="shared" si="162"/>
        <v>2242.7268251613386</v>
      </c>
      <c r="AN334" s="152">
        <f t="shared" si="162"/>
        <v>2226.9145473372428</v>
      </c>
      <c r="AO334" s="152">
        <f t="shared" si="162"/>
        <v>2211.6207993330208</v>
      </c>
      <c r="AP334" s="152">
        <f t="shared" si="162"/>
        <v>2196.8126500451622</v>
      </c>
      <c r="AQ334" s="152">
        <f t="shared" si="162"/>
        <v>2182.4602091716088</v>
      </c>
      <c r="AR334" s="149"/>
      <c r="AS334" s="149"/>
      <c r="AT334" s="149"/>
      <c r="AU334" s="149"/>
      <c r="AV334" s="149"/>
      <c r="AW334" s="149"/>
      <c r="AX334" s="149"/>
      <c r="AY334" s="149"/>
      <c r="AZ334" s="149"/>
      <c r="BA334" s="149"/>
      <c r="BB334" s="149"/>
      <c r="BC334" s="149"/>
      <c r="BD334" s="149"/>
      <c r="BE334" s="149"/>
      <c r="BF334" s="149"/>
      <c r="BG334" s="149"/>
      <c r="BH334" s="149"/>
      <c r="BI334" s="149"/>
      <c r="BJ334" s="149"/>
      <c r="BK334" s="149"/>
      <c r="BL334" s="149"/>
      <c r="BM334" s="149"/>
      <c r="BN334" s="149"/>
      <c r="BO334" s="149"/>
      <c r="BP334" s="149"/>
      <c r="BQ334" s="149"/>
      <c r="BR334" s="149"/>
      <c r="BS334" s="149"/>
      <c r="BT334" s="149"/>
      <c r="BU334" s="149"/>
      <c r="BV334" s="149"/>
      <c r="BW334" s="149"/>
      <c r="BX334" s="149"/>
      <c r="BY334" s="149"/>
      <c r="BZ334" s="149"/>
    </row>
    <row r="335" spans="7:78" ht="14.1" customHeight="1" thickTop="1" thickBot="1" x14ac:dyDescent="0.3">
      <c r="G335" s="106"/>
      <c r="H335" s="218"/>
      <c r="J335" s="210"/>
      <c r="K335" s="121" t="s">
        <v>118</v>
      </c>
      <c r="L335" s="152">
        <f t="shared" si="163"/>
        <v>3974.0389099337076</v>
      </c>
      <c r="M335" s="152">
        <f t="shared" si="162"/>
        <v>3833.0545234759088</v>
      </c>
      <c r="N335" s="152">
        <f t="shared" si="162"/>
        <v>3726.6559107647108</v>
      </c>
      <c r="O335" s="152">
        <f t="shared" si="162"/>
        <v>3639.2083692121428</v>
      </c>
      <c r="P335" s="152">
        <f t="shared" si="162"/>
        <v>3563.7477853610403</v>
      </c>
      <c r="Q335" s="152">
        <f t="shared" si="162"/>
        <v>3496.559289010348</v>
      </c>
      <c r="R335" s="152">
        <f t="shared" si="162"/>
        <v>3435.4254337039715</v>
      </c>
      <c r="S335" s="152">
        <f t="shared" si="162"/>
        <v>3378.9159210115045</v>
      </c>
      <c r="T335" s="152">
        <f t="shared" si="162"/>
        <v>3326.054153205544</v>
      </c>
      <c r="U335" s="152">
        <f t="shared" si="162"/>
        <v>3276.1435628757749</v>
      </c>
      <c r="V335" s="152">
        <f t="shared" si="162"/>
        <v>3228.6698304085699</v>
      </c>
      <c r="W335" s="152">
        <f t="shared" si="162"/>
        <v>3183.24237581949</v>
      </c>
      <c r="X335" s="152">
        <f t="shared" si="162"/>
        <v>3161.4813340578776</v>
      </c>
      <c r="Y335" s="152">
        <f t="shared" si="162"/>
        <v>3141.2222888560082</v>
      </c>
      <c r="Z335" s="152">
        <f t="shared" si="162"/>
        <v>3122.2712176973723</v>
      </c>
      <c r="AA335" s="152">
        <f t="shared" si="162"/>
        <v>3104.4694227110936</v>
      </c>
      <c r="AB335" s="152">
        <f t="shared" si="162"/>
        <v>3087.6854439507715</v>
      </c>
      <c r="AC335" s="152">
        <f t="shared" si="162"/>
        <v>3071.8091620096557</v>
      </c>
      <c r="AD335" s="152">
        <f t="shared" si="162"/>
        <v>3056.747415090676</v>
      </c>
      <c r="AE335" s="152">
        <f t="shared" si="162"/>
        <v>3042.4206865459437</v>
      </c>
      <c r="AF335" s="152">
        <f t="shared" si="162"/>
        <v>3028.7605637067722</v>
      </c>
      <c r="AG335" s="152">
        <f t="shared" si="162"/>
        <v>3015.7077620503628</v>
      </c>
      <c r="AH335" s="152">
        <f t="shared" si="162"/>
        <v>3003.2105701854384</v>
      </c>
      <c r="AI335" s="152">
        <f t="shared" si="162"/>
        <v>2991.2236124839801</v>
      </c>
      <c r="AJ335" s="152">
        <f t="shared" si="162"/>
        <v>2979.7068545422239</v>
      </c>
      <c r="AK335" s="152">
        <f t="shared" si="162"/>
        <v>2968.6247964388376</v>
      </c>
      <c r="AL335" s="152">
        <f t="shared" si="162"/>
        <v>2957.9458127806115</v>
      </c>
      <c r="AM335" s="152">
        <f t="shared" si="162"/>
        <v>2947.6416086080949</v>
      </c>
      <c r="AN335" s="152">
        <f t="shared" si="162"/>
        <v>2937.6867675787421</v>
      </c>
      <c r="AO335" s="152">
        <f t="shared" si="162"/>
        <v>2928.0583742619365</v>
      </c>
      <c r="AP335" s="152">
        <f t="shared" si="162"/>
        <v>2918.7356964201058</v>
      </c>
      <c r="AQ335" s="152">
        <f t="shared" si="162"/>
        <v>2909.6999161948379</v>
      </c>
      <c r="AR335" s="149"/>
      <c r="AS335" s="149"/>
      <c r="AT335" s="149"/>
      <c r="AU335" s="149"/>
      <c r="AV335" s="149"/>
      <c r="AW335" s="149"/>
      <c r="AX335" s="149"/>
      <c r="AY335" s="149"/>
      <c r="AZ335" s="149"/>
      <c r="BA335" s="149"/>
      <c r="BB335" s="149"/>
      <c r="BC335" s="149"/>
      <c r="BD335" s="149"/>
      <c r="BE335" s="149"/>
      <c r="BF335" s="149"/>
      <c r="BG335" s="149"/>
      <c r="BH335" s="149"/>
      <c r="BI335" s="149"/>
      <c r="BJ335" s="149"/>
      <c r="BK335" s="149"/>
      <c r="BL335" s="149"/>
      <c r="BM335" s="149"/>
      <c r="BN335" s="149"/>
      <c r="BO335" s="149"/>
      <c r="BP335" s="149"/>
      <c r="BQ335" s="149"/>
      <c r="BR335" s="149"/>
      <c r="BS335" s="149"/>
      <c r="BT335" s="149"/>
      <c r="BU335" s="149"/>
      <c r="BV335" s="149"/>
      <c r="BW335" s="149"/>
      <c r="BX335" s="149"/>
      <c r="BY335" s="149"/>
      <c r="BZ335" s="149"/>
    </row>
    <row r="336" spans="7:78" ht="14.1" hidden="1" customHeight="1" thickTop="1" thickBot="1" x14ac:dyDescent="0.3">
      <c r="G336" s="106"/>
      <c r="H336" s="218"/>
      <c r="J336" s="210"/>
      <c r="K336" s="119" t="s">
        <v>119</v>
      </c>
      <c r="L336" s="152">
        <f t="shared" ref="L336:AQ336" si="164">L380*(1-$I$355)+$I$385</f>
        <v>3243.31248223176</v>
      </c>
      <c r="M336" s="152">
        <f t="shared" si="164"/>
        <v>2996.4538474908832</v>
      </c>
      <c r="N336" s="152">
        <f t="shared" si="164"/>
        <v>2812.5940557782897</v>
      </c>
      <c r="O336" s="152">
        <f t="shared" si="164"/>
        <v>2663.2541093028885</v>
      </c>
      <c r="P336" s="152">
        <f t="shared" si="164"/>
        <v>2535.7487030102025</v>
      </c>
      <c r="Q336" s="152">
        <f t="shared" si="164"/>
        <v>2423.3111088697819</v>
      </c>
      <c r="R336" s="152">
        <f t="shared" si="164"/>
        <v>2321.9021932703863</v>
      </c>
      <c r="S336" s="152">
        <f t="shared" si="164"/>
        <v>2228.9166322148781</v>
      </c>
      <c r="T336" s="152">
        <f t="shared" si="164"/>
        <v>2142.575528767748</v>
      </c>
      <c r="U336" s="152">
        <f t="shared" si="164"/>
        <v>2061.6100681480234</v>
      </c>
      <c r="V336" s="152">
        <f t="shared" si="164"/>
        <v>1985.0834044478386</v>
      </c>
      <c r="W336" s="152">
        <f t="shared" si="164"/>
        <v>1912.2840865569685</v>
      </c>
      <c r="X336" s="152">
        <f t="shared" si="164"/>
        <v>1872.6458103074315</v>
      </c>
      <c r="Y336" s="152">
        <f t="shared" si="164"/>
        <v>1835.7434579724372</v>
      </c>
      <c r="Z336" s="152">
        <f t="shared" si="164"/>
        <v>1801.2236127352587</v>
      </c>
      <c r="AA336" s="152">
        <f t="shared" si="164"/>
        <v>1768.7972024956305</v>
      </c>
      <c r="AB336" s="152">
        <f t="shared" si="164"/>
        <v>1738.2247697069743</v>
      </c>
      <c r="AC336" s="152">
        <f t="shared" si="164"/>
        <v>1709.3057291439629</v>
      </c>
      <c r="AD336" s="152">
        <f t="shared" si="164"/>
        <v>1681.8703842870675</v>
      </c>
      <c r="AE336" s="152">
        <f t="shared" si="164"/>
        <v>1655.7738935937771</v>
      </c>
      <c r="AF336" s="152">
        <f t="shared" si="164"/>
        <v>1630.8916416945658</v>
      </c>
      <c r="AG336" s="152">
        <f t="shared" si="164"/>
        <v>1607.1156403636076</v>
      </c>
      <c r="AH336" s="152">
        <f t="shared" si="164"/>
        <v>1584.3516960216043</v>
      </c>
      <c r="AI336" s="152">
        <f t="shared" si="164"/>
        <v>1562.5171558388763</v>
      </c>
      <c r="AJ336" s="152">
        <f t="shared" si="164"/>
        <v>1541.5390961579444</v>
      </c>
      <c r="AK336" s="152">
        <f t="shared" si="164"/>
        <v>1521.3528529933203</v>
      </c>
      <c r="AL336" s="152">
        <f t="shared" si="164"/>
        <v>1501.9008199084078</v>
      </c>
      <c r="AM336" s="152">
        <f t="shared" si="164"/>
        <v>1483.1314569341421</v>
      </c>
      <c r="AN336" s="152">
        <f t="shared" si="164"/>
        <v>1464.9984675734133</v>
      </c>
      <c r="AO336" s="152">
        <f t="shared" si="164"/>
        <v>1447.4601108020922</v>
      </c>
      <c r="AP336" s="152">
        <f t="shared" si="164"/>
        <v>1430.4786223362346</v>
      </c>
      <c r="AQ336" s="152">
        <f t="shared" si="164"/>
        <v>1414.0197249809119</v>
      </c>
      <c r="AR336" s="149"/>
      <c r="AS336" s="149"/>
      <c r="AT336" s="149"/>
      <c r="AU336" s="149"/>
      <c r="AV336" s="149"/>
      <c r="AW336" s="149"/>
      <c r="AX336" s="149"/>
      <c r="AY336" s="149"/>
      <c r="AZ336" s="149"/>
      <c r="BA336" s="149"/>
      <c r="BB336" s="149"/>
      <c r="BC336" s="149"/>
      <c r="BD336" s="149"/>
      <c r="BE336" s="149"/>
      <c r="BF336" s="149"/>
      <c r="BG336" s="149"/>
      <c r="BH336" s="149"/>
      <c r="BI336" s="149"/>
      <c r="BJ336" s="149"/>
      <c r="BK336" s="149"/>
      <c r="BL336" s="149"/>
      <c r="BM336" s="149"/>
      <c r="BN336" s="149"/>
      <c r="BO336" s="149"/>
      <c r="BP336" s="149"/>
      <c r="BQ336" s="149"/>
      <c r="BR336" s="149"/>
      <c r="BS336" s="149"/>
      <c r="BT336" s="149"/>
      <c r="BU336" s="149"/>
      <c r="BV336" s="149"/>
      <c r="BW336" s="149"/>
      <c r="BX336" s="149"/>
      <c r="BY336" s="149"/>
      <c r="BZ336" s="149"/>
    </row>
    <row r="337" spans="7:78" ht="14.1" hidden="1" customHeight="1" thickTop="1" thickBot="1" x14ac:dyDescent="0.3">
      <c r="G337" s="106"/>
      <c r="H337" s="218"/>
      <c r="J337" s="210"/>
      <c r="K337" s="7" t="s">
        <v>120</v>
      </c>
      <c r="L337" s="152">
        <f t="shared" ref="L337:AQ337" si="165">L381*(1-$I$355)+$I$385</f>
        <v>3360.6739053413344</v>
      </c>
      <c r="M337" s="152">
        <f t="shared" si="165"/>
        <v>3143.5348171527694</v>
      </c>
      <c r="N337" s="152">
        <f t="shared" si="165"/>
        <v>2981.5401883119098</v>
      </c>
      <c r="O337" s="152">
        <f t="shared" si="165"/>
        <v>2849.7616413999781</v>
      </c>
      <c r="P337" s="152">
        <f t="shared" si="165"/>
        <v>2737.0954123593779</v>
      </c>
      <c r="Q337" s="152">
        <f t="shared" si="165"/>
        <v>2637.6184152911246</v>
      </c>
      <c r="R337" s="152">
        <f t="shared" si="165"/>
        <v>2547.7950957545586</v>
      </c>
      <c r="S337" s="152">
        <f t="shared" si="165"/>
        <v>2465.3449486428926</v>
      </c>
      <c r="T337" s="152">
        <f t="shared" si="165"/>
        <v>2388.7108610786663</v>
      </c>
      <c r="U337" s="152">
        <f t="shared" si="165"/>
        <v>2316.7822078226695</v>
      </c>
      <c r="V337" s="152">
        <f t="shared" si="165"/>
        <v>2248.7389442741064</v>
      </c>
      <c r="W337" s="152">
        <f t="shared" si="165"/>
        <v>2183.9583195229507</v>
      </c>
      <c r="X337" s="152">
        <f t="shared" si="165"/>
        <v>2149.2619472058532</v>
      </c>
      <c r="Y337" s="152">
        <f t="shared" si="165"/>
        <v>2116.9603973621811</v>
      </c>
      <c r="Z337" s="152">
        <f t="shared" si="165"/>
        <v>2086.7443154332468</v>
      </c>
      <c r="AA337" s="152">
        <f t="shared" si="165"/>
        <v>2058.3606693963129</v>
      </c>
      <c r="AB337" s="152">
        <f t="shared" si="165"/>
        <v>2031.5998560855414</v>
      </c>
      <c r="AC337" s="152">
        <f t="shared" si="165"/>
        <v>2006.2862982478894</v>
      </c>
      <c r="AD337" s="152">
        <f t="shared" si="165"/>
        <v>1982.2714562852825</v>
      </c>
      <c r="AE337" s="152">
        <f t="shared" si="165"/>
        <v>1959.4285467812483</v>
      </c>
      <c r="AF337" s="152">
        <f t="shared" si="165"/>
        <v>1937.6484907932452</v>
      </c>
      <c r="AG337" s="152">
        <f t="shared" si="165"/>
        <v>1916.8367635325178</v>
      </c>
      <c r="AH337" s="152">
        <f t="shared" si="165"/>
        <v>1896.9109150086417</v>
      </c>
      <c r="AI337" s="152">
        <f t="shared" si="165"/>
        <v>1877.7985971373168</v>
      </c>
      <c r="AJ337" s="152">
        <f t="shared" si="165"/>
        <v>1859.4359780214459</v>
      </c>
      <c r="AK337" s="152">
        <f t="shared" si="165"/>
        <v>1841.7664556609363</v>
      </c>
      <c r="AL337" s="152">
        <f t="shared" si="165"/>
        <v>1824.7396057043491</v>
      </c>
      <c r="AM337" s="152">
        <f t="shared" si="165"/>
        <v>1808.310313930657</v>
      </c>
      <c r="AN337" s="152">
        <f t="shared" si="165"/>
        <v>1792.4380558606767</v>
      </c>
      <c r="AO337" s="152">
        <f t="shared" si="165"/>
        <v>1777.0862945344024</v>
      </c>
      <c r="AP337" s="152">
        <f t="shared" si="165"/>
        <v>1762.2219739317427</v>
      </c>
      <c r="AQ337" s="152">
        <f t="shared" si="165"/>
        <v>1747.8150903686405</v>
      </c>
      <c r="AR337" s="149"/>
      <c r="AS337" s="149"/>
      <c r="AT337" s="149"/>
      <c r="AU337" s="149"/>
      <c r="AV337" s="149"/>
      <c r="AW337" s="149"/>
      <c r="AX337" s="149"/>
      <c r="AY337" s="149"/>
      <c r="AZ337" s="149"/>
      <c r="BA337" s="149"/>
      <c r="BB337" s="149"/>
      <c r="BC337" s="149"/>
      <c r="BD337" s="149"/>
      <c r="BE337" s="149"/>
      <c r="BF337" s="149"/>
      <c r="BG337" s="149"/>
      <c r="BH337" s="149"/>
      <c r="BI337" s="149"/>
      <c r="BJ337" s="149"/>
      <c r="BK337" s="149"/>
      <c r="BL337" s="149"/>
      <c r="BM337" s="149"/>
      <c r="BN337" s="149"/>
      <c r="BO337" s="149"/>
      <c r="BP337" s="149"/>
      <c r="BQ337" s="149"/>
      <c r="BR337" s="149"/>
      <c r="BS337" s="149"/>
      <c r="BT337" s="149"/>
      <c r="BU337" s="149"/>
      <c r="BV337" s="149"/>
      <c r="BW337" s="149"/>
      <c r="BX337" s="149"/>
      <c r="BY337" s="149"/>
      <c r="BZ337" s="149"/>
    </row>
    <row r="338" spans="7:78" ht="14.1" hidden="1" customHeight="1" thickTop="1" thickBot="1" x14ac:dyDescent="0.3">
      <c r="G338" s="106"/>
      <c r="H338" s="218"/>
      <c r="J338" s="210"/>
      <c r="K338" s="121" t="s">
        <v>121</v>
      </c>
      <c r="L338" s="152">
        <f t="shared" ref="L338:AQ338" si="166">L382*(1-$I$355)+$I$385</f>
        <v>3546.1897336374718</v>
      </c>
      <c r="M338" s="152">
        <f t="shared" si="166"/>
        <v>3404.6705552755793</v>
      </c>
      <c r="N338" s="152">
        <f t="shared" si="166"/>
        <v>3297.8683438531029</v>
      </c>
      <c r="O338" s="152">
        <f t="shared" si="166"/>
        <v>3210.0890901270791</v>
      </c>
      <c r="P338" s="152">
        <f t="shared" si="166"/>
        <v>3134.3422638747038</v>
      </c>
      <c r="Q338" s="152">
        <f t="shared" si="166"/>
        <v>3066.8989033876387</v>
      </c>
      <c r="R338" s="152">
        <f t="shared" si="166"/>
        <v>3005.5331508357208</v>
      </c>
      <c r="S338" s="152">
        <f t="shared" si="166"/>
        <v>2948.809282279803</v>
      </c>
      <c r="T338" s="152">
        <f t="shared" si="166"/>
        <v>2895.7469954932026</v>
      </c>
      <c r="U338" s="152">
        <f t="shared" si="166"/>
        <v>2845.6470807970445</v>
      </c>
      <c r="V338" s="152">
        <f t="shared" si="166"/>
        <v>2797.9932676243197</v>
      </c>
      <c r="W338" s="152">
        <f t="shared" si="166"/>
        <v>2752.3934944150847</v>
      </c>
      <c r="X338" s="152">
        <f t="shared" si="166"/>
        <v>2730.5499071372546</v>
      </c>
      <c r="Y338" s="152">
        <f t="shared" si="166"/>
        <v>2710.2140138983027</v>
      </c>
      <c r="Z338" s="152">
        <f t="shared" si="166"/>
        <v>2691.1910562018438</v>
      </c>
      <c r="AA338" s="152">
        <f t="shared" si="166"/>
        <v>2673.3217341930613</v>
      </c>
      <c r="AB338" s="152">
        <f t="shared" si="166"/>
        <v>2656.4740892624277</v>
      </c>
      <c r="AC338" s="152">
        <f t="shared" si="166"/>
        <v>2640.5375842905032</v>
      </c>
      <c r="AD338" s="152">
        <f t="shared" si="166"/>
        <v>2625.4187040923271</v>
      </c>
      <c r="AE338" s="152">
        <f t="shared" si="166"/>
        <v>2611.0376303918624</v>
      </c>
      <c r="AF338" s="152">
        <f t="shared" si="166"/>
        <v>2597.3256910126693</v>
      </c>
      <c r="AG338" s="152">
        <f t="shared" si="166"/>
        <v>2584.2233765497222</v>
      </c>
      <c r="AH338" s="152">
        <f t="shared" si="166"/>
        <v>2571.6787794564516</v>
      </c>
      <c r="AI338" s="152">
        <f t="shared" si="166"/>
        <v>2559.6463519828112</v>
      </c>
      <c r="AJ338" s="152">
        <f t="shared" si="166"/>
        <v>2548.0859078637177</v>
      </c>
      <c r="AK338" s="152">
        <f t="shared" si="166"/>
        <v>2536.9618125170355</v>
      </c>
      <c r="AL338" s="152">
        <f t="shared" si="166"/>
        <v>2526.2423205858872</v>
      </c>
      <c r="AM338" s="152">
        <f t="shared" si="166"/>
        <v>2515.8990297803894</v>
      </c>
      <c r="AN338" s="152">
        <f t="shared" si="166"/>
        <v>2505.9064273469353</v>
      </c>
      <c r="AO338" s="152">
        <f t="shared" si="166"/>
        <v>2496.241510930482</v>
      </c>
      <c r="AP338" s="152">
        <f t="shared" si="166"/>
        <v>2486.8834696504759</v>
      </c>
      <c r="AQ338" s="152">
        <f t="shared" si="166"/>
        <v>2477.813414267277</v>
      </c>
      <c r="AR338" s="149"/>
      <c r="AS338" s="149"/>
      <c r="AT338" s="149"/>
      <c r="AU338" s="149"/>
      <c r="AV338" s="149"/>
      <c r="AW338" s="149"/>
      <c r="AX338" s="149"/>
      <c r="AY338" s="149"/>
      <c r="AZ338" s="149"/>
      <c r="BA338" s="149"/>
      <c r="BB338" s="149"/>
      <c r="BC338" s="149"/>
      <c r="BD338" s="149"/>
      <c r="BE338" s="149"/>
      <c r="BF338" s="149"/>
      <c r="BG338" s="149"/>
      <c r="BH338" s="149"/>
      <c r="BI338" s="149"/>
      <c r="BJ338" s="149"/>
      <c r="BK338" s="149"/>
      <c r="BL338" s="149"/>
      <c r="BM338" s="149"/>
      <c r="BN338" s="149"/>
      <c r="BO338" s="149"/>
      <c r="BP338" s="149"/>
      <c r="BQ338" s="149"/>
      <c r="BR338" s="149"/>
      <c r="BS338" s="149"/>
      <c r="BT338" s="149"/>
      <c r="BU338" s="149"/>
      <c r="BV338" s="149"/>
      <c r="BW338" s="149"/>
      <c r="BX338" s="149"/>
      <c r="BY338" s="149"/>
      <c r="BZ338" s="149"/>
    </row>
    <row r="339" spans="7:78" ht="14.1" hidden="1" customHeight="1" thickTop="1" thickBot="1" x14ac:dyDescent="0.3">
      <c r="G339" s="106"/>
      <c r="H339" s="218"/>
      <c r="J339" s="210"/>
      <c r="K339" s="119" t="s">
        <v>122</v>
      </c>
      <c r="L339" s="152">
        <f t="shared" ref="L339:AQ339" si="167">L383*(1-$I$355)+$I$385</f>
        <v>3332.5386849726833</v>
      </c>
      <c r="M339" s="152">
        <f t="shared" si="167"/>
        <v>3078.8887654843738</v>
      </c>
      <c r="N339" s="152">
        <f t="shared" si="167"/>
        <v>2889.9708391821823</v>
      </c>
      <c r="O339" s="152">
        <f t="shared" si="167"/>
        <v>2736.5224275451496</v>
      </c>
      <c r="P339" s="152">
        <f t="shared" si="167"/>
        <v>2605.5092423089418</v>
      </c>
      <c r="Q339" s="152">
        <f t="shared" si="167"/>
        <v>2489.9783971711422</v>
      </c>
      <c r="R339" s="152">
        <f t="shared" si="167"/>
        <v>2385.779638621806</v>
      </c>
      <c r="S339" s="152">
        <f t="shared" si="167"/>
        <v>2290.2359680507425</v>
      </c>
      <c r="T339" s="152">
        <f t="shared" si="167"/>
        <v>2201.5195495998146</v>
      </c>
      <c r="U339" s="152">
        <f t="shared" si="167"/>
        <v>2118.326662346411</v>
      </c>
      <c r="V339" s="152">
        <f t="shared" si="167"/>
        <v>2039.694686978662</v>
      </c>
      <c r="W339" s="152">
        <f t="shared" si="167"/>
        <v>1964.8925997792167</v>
      </c>
      <c r="X339" s="152">
        <f t="shared" si="167"/>
        <v>1924.1638418408763</v>
      </c>
      <c r="Y339" s="152">
        <f t="shared" si="167"/>
        <v>1886.2462753416298</v>
      </c>
      <c r="Z339" s="152">
        <f t="shared" si="167"/>
        <v>1850.7767606764844</v>
      </c>
      <c r="AA339" s="152">
        <f t="shared" si="167"/>
        <v>1817.4582731331573</v>
      </c>
      <c r="AB339" s="152">
        <f t="shared" si="167"/>
        <v>1786.044767490366</v>
      </c>
      <c r="AC339" s="152">
        <f t="shared" si="167"/>
        <v>1756.3301402577119</v>
      </c>
      <c r="AD339" s="152">
        <f t="shared" si="167"/>
        <v>1728.140026424383</v>
      </c>
      <c r="AE339" s="152">
        <f t="shared" si="167"/>
        <v>1701.3255997375111</v>
      </c>
      <c r="AF339" s="152">
        <f t="shared" si="167"/>
        <v>1675.7588165559234</v>
      </c>
      <c r="AG339" s="152">
        <f t="shared" si="167"/>
        <v>1651.32871780859</v>
      </c>
      <c r="AH339" s="152">
        <f t="shared" si="167"/>
        <v>1627.9385185731192</v>
      </c>
      <c r="AI339" s="152">
        <f t="shared" si="167"/>
        <v>1605.503292172282</v>
      </c>
      <c r="AJ339" s="152">
        <f t="shared" si="167"/>
        <v>1583.9481087586055</v>
      </c>
      <c r="AK339" s="152">
        <f t="shared" si="167"/>
        <v>1563.2065253870012</v>
      </c>
      <c r="AL339" s="152">
        <f t="shared" si="167"/>
        <v>1543.2193508202654</v>
      </c>
      <c r="AM339" s="152">
        <f t="shared" si="167"/>
        <v>1523.9336271822538</v>
      </c>
      <c r="AN339" s="152">
        <f t="shared" si="167"/>
        <v>1505.3017843210182</v>
      </c>
      <c r="AO339" s="152">
        <f t="shared" si="167"/>
        <v>1487.2809328824105</v>
      </c>
      <c r="AP339" s="152">
        <f t="shared" si="167"/>
        <v>1469.832269655873</v>
      </c>
      <c r="AQ339" s="152">
        <f t="shared" si="167"/>
        <v>1452.9205744525584</v>
      </c>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c r="BS339" s="149"/>
      <c r="BT339" s="149"/>
      <c r="BU339" s="149"/>
      <c r="BV339" s="149"/>
      <c r="BW339" s="149"/>
      <c r="BX339" s="149"/>
      <c r="BY339" s="149"/>
      <c r="BZ339" s="149"/>
    </row>
    <row r="340" spans="7:78" ht="14.1" hidden="1" customHeight="1" thickTop="1" thickBot="1" x14ac:dyDescent="0.3">
      <c r="G340" s="106"/>
      <c r="H340" s="218"/>
      <c r="J340" s="210"/>
      <c r="K340" s="7" t="s">
        <v>123</v>
      </c>
      <c r="L340" s="152">
        <f t="shared" ref="L340:AQ340" si="168">L384*(1-$I$355)+$I$385</f>
        <v>3453.1288176776807</v>
      </c>
      <c r="M340" s="152">
        <f t="shared" si="168"/>
        <v>3230.0160539916624</v>
      </c>
      <c r="N340" s="152">
        <f t="shared" si="168"/>
        <v>3063.5648192347589</v>
      </c>
      <c r="O340" s="152">
        <f t="shared" si="168"/>
        <v>2928.160935754709</v>
      </c>
      <c r="P340" s="152">
        <f t="shared" si="168"/>
        <v>2812.3951657819584</v>
      </c>
      <c r="Q340" s="152">
        <f t="shared" si="168"/>
        <v>2710.1814744367593</v>
      </c>
      <c r="R340" s="152">
        <f t="shared" si="168"/>
        <v>2617.8870412582792</v>
      </c>
      <c r="S340" s="152">
        <f t="shared" si="168"/>
        <v>2533.1686225623898</v>
      </c>
      <c r="T340" s="152">
        <f t="shared" si="168"/>
        <v>2454.4262680114539</v>
      </c>
      <c r="U340" s="152">
        <f t="shared" si="168"/>
        <v>2380.5187981494532</v>
      </c>
      <c r="V340" s="152">
        <f t="shared" si="168"/>
        <v>2310.6036082719288</v>
      </c>
      <c r="W340" s="152">
        <f t="shared" si="168"/>
        <v>2244.040815077431</v>
      </c>
      <c r="X340" s="152">
        <f t="shared" si="168"/>
        <v>2208.3899169267302</v>
      </c>
      <c r="Y340" s="152">
        <f t="shared" si="168"/>
        <v>2175.1997247918857</v>
      </c>
      <c r="Z340" s="152">
        <f t="shared" si="168"/>
        <v>2144.1523735150245</v>
      </c>
      <c r="AA340" s="152">
        <f t="shared" si="168"/>
        <v>2114.9878699536639</v>
      </c>
      <c r="AB340" s="152">
        <f t="shared" si="168"/>
        <v>2087.4908445859105</v>
      </c>
      <c r="AC340" s="152">
        <f t="shared" si="168"/>
        <v>2061.4808898836054</v>
      </c>
      <c r="AD340" s="152">
        <f t="shared" si="168"/>
        <v>2036.8053798017575</v>
      </c>
      <c r="AE340" s="152">
        <f t="shared" si="168"/>
        <v>2013.3340430074868</v>
      </c>
      <c r="AF340" s="152">
        <f t="shared" si="168"/>
        <v>1990.9547997065306</v>
      </c>
      <c r="AG340" s="152">
        <f t="shared" si="168"/>
        <v>1969.570524655195</v>
      </c>
      <c r="AH340" s="152">
        <f t="shared" si="168"/>
        <v>1949.0964995957813</v>
      </c>
      <c r="AI340" s="152">
        <f t="shared" si="168"/>
        <v>1929.4583860884891</v>
      </c>
      <c r="AJ340" s="152">
        <f t="shared" si="168"/>
        <v>1910.5905961680587</v>
      </c>
      <c r="AK340" s="152">
        <f t="shared" si="168"/>
        <v>1892.4349706666671</v>
      </c>
      <c r="AL340" s="152">
        <f t="shared" si="168"/>
        <v>1874.9396980173578</v>
      </c>
      <c r="AM340" s="152">
        <f t="shared" si="168"/>
        <v>1858.0584228696553</v>
      </c>
      <c r="AN340" s="152">
        <f t="shared" si="168"/>
        <v>1841.7495058825134</v>
      </c>
      <c r="AO340" s="152">
        <f t="shared" si="168"/>
        <v>1825.9754049340063</v>
      </c>
      <c r="AP340" s="152">
        <f t="shared" si="168"/>
        <v>1810.7021546056526</v>
      </c>
      <c r="AQ340" s="152">
        <f t="shared" si="168"/>
        <v>1795.8989257872879</v>
      </c>
      <c r="AR340" s="149"/>
      <c r="AS340" s="149"/>
      <c r="AT340" s="149"/>
      <c r="AU340" s="149"/>
      <c r="AV340" s="149"/>
      <c r="AW340" s="149"/>
      <c r="AX340" s="149"/>
      <c r="AY340" s="149"/>
      <c r="AZ340" s="149"/>
      <c r="BA340" s="149"/>
      <c r="BB340" s="149"/>
      <c r="BC340" s="149"/>
      <c r="BD340" s="149"/>
      <c r="BE340" s="149"/>
      <c r="BF340" s="149"/>
      <c r="BG340" s="149"/>
      <c r="BH340" s="149"/>
      <c r="BI340" s="149"/>
      <c r="BJ340" s="149"/>
      <c r="BK340" s="149"/>
      <c r="BL340" s="149"/>
      <c r="BM340" s="149"/>
      <c r="BN340" s="149"/>
      <c r="BO340" s="149"/>
      <c r="BP340" s="149"/>
      <c r="BQ340" s="149"/>
      <c r="BR340" s="149"/>
      <c r="BS340" s="149"/>
      <c r="BT340" s="149"/>
      <c r="BU340" s="149"/>
      <c r="BV340" s="149"/>
      <c r="BW340" s="149"/>
      <c r="BX340" s="149"/>
      <c r="BY340" s="149"/>
      <c r="BZ340" s="149"/>
    </row>
    <row r="341" spans="7:78" ht="14.1" hidden="1" customHeight="1" thickTop="1" thickBot="1" x14ac:dyDescent="0.3">
      <c r="G341" s="106"/>
      <c r="H341" s="218"/>
      <c r="J341" s="210"/>
      <c r="K341" s="121" t="s">
        <v>124</v>
      </c>
      <c r="L341" s="152">
        <f t="shared" ref="L341:AQ341" si="169">L385*(1-$I$355)+$I$385</f>
        <v>3643.7483394963774</v>
      </c>
      <c r="M341" s="152">
        <f t="shared" si="169"/>
        <v>3498.3358517572892</v>
      </c>
      <c r="N341" s="152">
        <f t="shared" si="169"/>
        <v>3388.5954233662765</v>
      </c>
      <c r="O341" s="152">
        <f t="shared" si="169"/>
        <v>3298.401289935533</v>
      </c>
      <c r="P341" s="152">
        <f t="shared" si="169"/>
        <v>3220.5706059872982</v>
      </c>
      <c r="Q341" s="152">
        <f t="shared" si="169"/>
        <v>3151.2718229995289</v>
      </c>
      <c r="R341" s="152">
        <f t="shared" si="169"/>
        <v>3088.2178479563941</v>
      </c>
      <c r="S341" s="152">
        <f t="shared" si="169"/>
        <v>3029.9334589684349</v>
      </c>
      <c r="T341" s="152">
        <f t="shared" si="169"/>
        <v>2975.4113848857733</v>
      </c>
      <c r="U341" s="152">
        <f t="shared" si="169"/>
        <v>2923.9331801942867</v>
      </c>
      <c r="V341" s="152">
        <f t="shared" si="169"/>
        <v>2874.9683712976466</v>
      </c>
      <c r="W341" s="152">
        <f t="shared" si="169"/>
        <v>2828.1141106988684</v>
      </c>
      <c r="X341" s="152">
        <f t="shared" si="169"/>
        <v>2805.6695883098773</v>
      </c>
      <c r="Y341" s="152">
        <f t="shared" si="169"/>
        <v>2784.77423786691</v>
      </c>
      <c r="Z341" s="152">
        <f t="shared" si="169"/>
        <v>2765.2279429066339</v>
      </c>
      <c r="AA341" s="152">
        <f t="shared" si="169"/>
        <v>2746.8670211037725</v>
      </c>
      <c r="AB341" s="152">
        <f t="shared" si="169"/>
        <v>2729.5558835585593</v>
      </c>
      <c r="AC341" s="152">
        <f t="shared" si="169"/>
        <v>2713.1809521841847</v>
      </c>
      <c r="AD341" s="152">
        <f t="shared" si="169"/>
        <v>2697.6461391157818</v>
      </c>
      <c r="AE341" s="152">
        <f t="shared" si="169"/>
        <v>2682.8694302106737</v>
      </c>
      <c r="AF341" s="152">
        <f t="shared" si="169"/>
        <v>2668.7802640641798</v>
      </c>
      <c r="AG341" s="152">
        <f t="shared" si="169"/>
        <v>2655.3174941184352</v>
      </c>
      <c r="AH341" s="152">
        <f t="shared" si="169"/>
        <v>2642.4277848074303</v>
      </c>
      <c r="AI341" s="152">
        <f t="shared" si="169"/>
        <v>2630.0643353249297</v>
      </c>
      <c r="AJ341" s="152">
        <f t="shared" si="169"/>
        <v>2618.1858538485367</v>
      </c>
      <c r="AK341" s="152">
        <f t="shared" si="169"/>
        <v>2606.7557254593557</v>
      </c>
      <c r="AL341" s="152">
        <f t="shared" si="169"/>
        <v>2595.7413314595456</v>
      </c>
      <c r="AM341" s="152">
        <f t="shared" si="169"/>
        <v>2585.1134881887897</v>
      </c>
      <c r="AN341" s="152">
        <f t="shared" si="169"/>
        <v>2574.8459810165782</v>
      </c>
      <c r="AO341" s="152">
        <f t="shared" si="169"/>
        <v>2564.9151747740993</v>
      </c>
      <c r="AP341" s="152">
        <f t="shared" si="169"/>
        <v>2555.2996860563021</v>
      </c>
      <c r="AQ341" s="152">
        <f t="shared" si="169"/>
        <v>2545.9801059649762</v>
      </c>
      <c r="AR341" s="149"/>
      <c r="AS341" s="149"/>
      <c r="AT341" s="149"/>
      <c r="AU341" s="149"/>
      <c r="AV341" s="149"/>
      <c r="AW341" s="149"/>
      <c r="AX341" s="149"/>
      <c r="AY341" s="149"/>
      <c r="AZ341" s="149"/>
      <c r="BA341" s="149"/>
      <c r="BB341" s="149"/>
      <c r="BC341" s="149"/>
      <c r="BD341" s="149"/>
      <c r="BE341" s="149"/>
      <c r="BF341" s="149"/>
      <c r="BG341" s="149"/>
      <c r="BH341" s="149"/>
      <c r="BI341" s="149"/>
      <c r="BJ341" s="149"/>
      <c r="BK341" s="149"/>
      <c r="BL341" s="149"/>
      <c r="BM341" s="149"/>
      <c r="BN341" s="149"/>
      <c r="BO341" s="149"/>
      <c r="BP341" s="149"/>
      <c r="BQ341" s="149"/>
      <c r="BR341" s="149"/>
      <c r="BS341" s="149"/>
      <c r="BT341" s="149"/>
      <c r="BU341" s="149"/>
      <c r="BV341" s="149"/>
      <c r="BW341" s="149"/>
      <c r="BX341" s="149"/>
      <c r="BY341" s="149"/>
      <c r="BZ341" s="149"/>
    </row>
    <row r="342" spans="7:78" ht="14.1" hidden="1" customHeight="1" thickTop="1" thickBot="1" x14ac:dyDescent="0.3">
      <c r="G342" s="106"/>
      <c r="H342" s="218"/>
      <c r="J342" s="211"/>
      <c r="K342" s="119" t="s">
        <v>125</v>
      </c>
      <c r="L342" s="152">
        <f t="shared" ref="L342:AQ342" si="170">L386*(1-$I$355)+$I$385</f>
        <v>3454.3048740336599</v>
      </c>
      <c r="M342" s="152">
        <f t="shared" si="170"/>
        <v>3191.3869498884237</v>
      </c>
      <c r="N342" s="152">
        <f t="shared" si="170"/>
        <v>2995.5662332195811</v>
      </c>
      <c r="O342" s="152">
        <f t="shared" si="170"/>
        <v>2836.5110364650177</v>
      </c>
      <c r="P342" s="152">
        <f t="shared" si="170"/>
        <v>2700.710817141287</v>
      </c>
      <c r="Q342" s="152">
        <f t="shared" si="170"/>
        <v>2580.9586404417987</v>
      </c>
      <c r="R342" s="152">
        <f t="shared" si="170"/>
        <v>2472.9526085393727</v>
      </c>
      <c r="S342" s="152">
        <f t="shared" si="170"/>
        <v>2373.9179091299052</v>
      </c>
      <c r="T342" s="152">
        <f t="shared" si="170"/>
        <v>2281.9599198517221</v>
      </c>
      <c r="U342" s="152">
        <f t="shared" si="170"/>
        <v>2195.7272836875236</v>
      </c>
      <c r="V342" s="152">
        <f t="shared" si="170"/>
        <v>2114.2222085949184</v>
      </c>
      <c r="W342" s="152">
        <f t="shared" si="170"/>
        <v>2036.6869602972527</v>
      </c>
      <c r="X342" s="152">
        <f t="shared" si="170"/>
        <v>1994.4700318954447</v>
      </c>
      <c r="Y342" s="152">
        <f t="shared" si="170"/>
        <v>1955.1670118403551</v>
      </c>
      <c r="Z342" s="152">
        <f t="shared" si="170"/>
        <v>1918.4014919260906</v>
      </c>
      <c r="AA342" s="152">
        <f t="shared" si="170"/>
        <v>1883.8655945829253</v>
      </c>
      <c r="AB342" s="152">
        <f t="shared" si="170"/>
        <v>1851.3042844496961</v>
      </c>
      <c r="AC342" s="152">
        <f t="shared" si="170"/>
        <v>1820.5039273097486</v>
      </c>
      <c r="AD342" s="152">
        <f t="shared" si="170"/>
        <v>1791.2837871045854</v>
      </c>
      <c r="AE342" s="152">
        <f t="shared" si="170"/>
        <v>1763.4895996832809</v>
      </c>
      <c r="AF342" s="152">
        <f t="shared" si="170"/>
        <v>1736.988642873459</v>
      </c>
      <c r="AG342" s="152">
        <f t="shared" si="170"/>
        <v>1711.6659033186058</v>
      </c>
      <c r="AH342" s="152">
        <f t="shared" si="170"/>
        <v>1687.4210597139268</v>
      </c>
      <c r="AI342" s="152">
        <f t="shared" si="170"/>
        <v>1664.1660822830806</v>
      </c>
      <c r="AJ342" s="152">
        <f t="shared" si="170"/>
        <v>1641.8233033493195</v>
      </c>
      <c r="AK342" s="152">
        <f t="shared" si="170"/>
        <v>1620.3238522375327</v>
      </c>
      <c r="AL342" s="152">
        <f t="shared" si="170"/>
        <v>1599.6063749475122</v>
      </c>
      <c r="AM342" s="152">
        <f t="shared" si="170"/>
        <v>1579.6159785981908</v>
      </c>
      <c r="AN342" s="152">
        <f t="shared" si="170"/>
        <v>1560.303354892422</v>
      </c>
      <c r="AO342" s="152">
        <f t="shared" si="170"/>
        <v>1541.6240473605039</v>
      </c>
      <c r="AP342" s="152">
        <f t="shared" si="170"/>
        <v>1523.5378349781577</v>
      </c>
      <c r="AQ342" s="152">
        <f t="shared" si="170"/>
        <v>1506.0082106612956</v>
      </c>
      <c r="AR342" s="149"/>
      <c r="AS342" s="149"/>
      <c r="AT342" s="149"/>
      <c r="AU342" s="149"/>
      <c r="AV342" s="149"/>
      <c r="AW342" s="149"/>
      <c r="AX342" s="149"/>
      <c r="AY342" s="149"/>
      <c r="AZ342" s="149"/>
      <c r="BA342" s="149"/>
      <c r="BB342" s="149"/>
      <c r="BC342" s="149"/>
      <c r="BD342" s="149"/>
      <c r="BE342" s="149"/>
      <c r="BF342" s="149"/>
      <c r="BG342" s="149"/>
      <c r="BH342" s="149"/>
      <c r="BI342" s="149"/>
      <c r="BJ342" s="149"/>
      <c r="BK342" s="149"/>
      <c r="BL342" s="149"/>
      <c r="BM342" s="149"/>
      <c r="BN342" s="149"/>
      <c r="BO342" s="149"/>
      <c r="BP342" s="149"/>
      <c r="BQ342" s="149"/>
      <c r="BR342" s="149"/>
      <c r="BS342" s="149"/>
      <c r="BT342" s="149"/>
      <c r="BU342" s="149"/>
      <c r="BV342" s="149"/>
      <c r="BW342" s="149"/>
      <c r="BX342" s="149"/>
      <c r="BY342" s="149"/>
      <c r="BZ342" s="149"/>
    </row>
    <row r="343" spans="7:78" ht="14.1" hidden="1" customHeight="1" thickTop="1" thickBot="1" x14ac:dyDescent="0.3">
      <c r="G343" s="106"/>
      <c r="H343" s="218"/>
      <c r="J343" s="211"/>
      <c r="K343" s="7" t="s">
        <v>126</v>
      </c>
      <c r="L343" s="152">
        <f t="shared" ref="L343:AQ343" si="171">L387*(1-$I$355)+$I$385</f>
        <v>3579.3011974196711</v>
      </c>
      <c r="M343" s="152">
        <f t="shared" si="171"/>
        <v>3348.0362129995278</v>
      </c>
      <c r="N343" s="152">
        <f t="shared" si="171"/>
        <v>3175.5030885972801</v>
      </c>
      <c r="O343" s="152">
        <f t="shared" si="171"/>
        <v>3035.1517412063781</v>
      </c>
      <c r="P343" s="152">
        <f t="shared" si="171"/>
        <v>2915.1560558550436</v>
      </c>
      <c r="Q343" s="152">
        <f t="shared" si="171"/>
        <v>2809.2076226684121</v>
      </c>
      <c r="R343" s="152">
        <f t="shared" si="171"/>
        <v>2713.54088313071</v>
      </c>
      <c r="S343" s="152">
        <f t="shared" si="171"/>
        <v>2625.726974790728</v>
      </c>
      <c r="T343" s="152">
        <f t="shared" si="171"/>
        <v>2544.1074874177216</v>
      </c>
      <c r="U343" s="152">
        <f t="shared" si="171"/>
        <v>2467.4995444933024</v>
      </c>
      <c r="V343" s="152">
        <f t="shared" si="171"/>
        <v>2395.0297537443016</v>
      </c>
      <c r="W343" s="152">
        <f t="shared" si="171"/>
        <v>2326.0348514501866</v>
      </c>
      <c r="X343" s="152">
        <f t="shared" si="171"/>
        <v>2289.0813205576701</v>
      </c>
      <c r="Y343" s="152">
        <f t="shared" si="171"/>
        <v>2254.6784063534064</v>
      </c>
      <c r="Z343" s="152">
        <f t="shared" si="171"/>
        <v>2222.4966293420539</v>
      </c>
      <c r="AA343" s="152">
        <f t="shared" si="171"/>
        <v>2192.266496604193</v>
      </c>
      <c r="AB343" s="152">
        <f t="shared" si="171"/>
        <v>2163.7647693241584</v>
      </c>
      <c r="AC343" s="152">
        <f t="shared" si="171"/>
        <v>2136.8044481411785</v>
      </c>
      <c r="AD343" s="152">
        <f t="shared" si="171"/>
        <v>2111.2273302732451</v>
      </c>
      <c r="AE343" s="152">
        <f t="shared" si="171"/>
        <v>2086.8983844596123</v>
      </c>
      <c r="AF343" s="152">
        <f t="shared" si="171"/>
        <v>2063.7014356709115</v>
      </c>
      <c r="AG343" s="152">
        <f t="shared" si="171"/>
        <v>2041.5358098461925</v>
      </c>
      <c r="AH343" s="152">
        <f t="shared" si="171"/>
        <v>2020.3136932439966</v>
      </c>
      <c r="AI343" s="152">
        <f t="shared" si="171"/>
        <v>1999.9580312044357</v>
      </c>
      <c r="AJ343" s="152">
        <f t="shared" si="171"/>
        <v>1980.4008392719672</v>
      </c>
      <c r="AK343" s="152">
        <f t="shared" si="171"/>
        <v>1961.5818332261006</v>
      </c>
      <c r="AL343" s="152">
        <f t="shared" si="171"/>
        <v>1943.447308379451</v>
      </c>
      <c r="AM343" s="152">
        <f t="shared" si="171"/>
        <v>1925.9492156234505</v>
      </c>
      <c r="AN343" s="152">
        <f t="shared" si="171"/>
        <v>1909.0443941751871</v>
      </c>
      <c r="AO343" s="152">
        <f t="shared" si="171"/>
        <v>1892.6939301773855</v>
      </c>
      <c r="AP343" s="152">
        <f t="shared" si="171"/>
        <v>1876.8626171638348</v>
      </c>
      <c r="AQ343" s="152">
        <f t="shared" si="171"/>
        <v>1861.5184995728541</v>
      </c>
      <c r="AR343" s="149"/>
      <c r="AS343" s="149"/>
      <c r="AT343" s="149"/>
      <c r="AU343" s="149"/>
      <c r="AV343" s="149"/>
      <c r="AW343" s="149"/>
      <c r="AX343" s="149"/>
      <c r="AY343" s="149"/>
      <c r="AZ343" s="149"/>
      <c r="BA343" s="149"/>
      <c r="BB343" s="149"/>
      <c r="BC343" s="149"/>
      <c r="BD343" s="149"/>
      <c r="BE343" s="149"/>
      <c r="BF343" s="149"/>
      <c r="BG343" s="149"/>
      <c r="BH343" s="149"/>
      <c r="BI343" s="149"/>
      <c r="BJ343" s="149"/>
      <c r="BK343" s="149"/>
      <c r="BL343" s="149"/>
      <c r="BM343" s="149"/>
      <c r="BN343" s="149"/>
      <c r="BO343" s="149"/>
      <c r="BP343" s="149"/>
      <c r="BQ343" s="149"/>
      <c r="BR343" s="149"/>
      <c r="BS343" s="149"/>
      <c r="BT343" s="149"/>
      <c r="BU343" s="149"/>
      <c r="BV343" s="149"/>
      <c r="BW343" s="149"/>
      <c r="BX343" s="149"/>
      <c r="BY343" s="149"/>
      <c r="BZ343" s="149"/>
    </row>
    <row r="344" spans="7:78" ht="14.1" hidden="1" customHeight="1" thickTop="1" thickBot="1" x14ac:dyDescent="0.3">
      <c r="G344" s="106"/>
      <c r="H344" s="218"/>
      <c r="J344" s="211"/>
      <c r="K344" s="121" t="s">
        <v>127</v>
      </c>
      <c r="L344" s="152">
        <f t="shared" ref="L344:AQ344" si="172">L388*(1-$I$355)+$I$385</f>
        <v>3776.8856834673361</v>
      </c>
      <c r="M344" s="152">
        <f t="shared" si="172"/>
        <v>3626.1600317569769</v>
      </c>
      <c r="N344" s="152">
        <f t="shared" si="172"/>
        <v>3512.4098453363426</v>
      </c>
      <c r="O344" s="152">
        <f t="shared" si="172"/>
        <v>3418.920147490086</v>
      </c>
      <c r="P344" s="152">
        <f t="shared" si="172"/>
        <v>3338.2456418574629</v>
      </c>
      <c r="Q344" s="152">
        <f t="shared" si="172"/>
        <v>3266.4147806228502</v>
      </c>
      <c r="R344" s="152">
        <f t="shared" si="172"/>
        <v>3201.0569036683078</v>
      </c>
      <c r="S344" s="152">
        <f t="shared" si="172"/>
        <v>3140.6428866100687</v>
      </c>
      <c r="T344" s="152">
        <f t="shared" si="172"/>
        <v>3084.1286540535439</v>
      </c>
      <c r="U344" s="152">
        <f t="shared" si="172"/>
        <v>3030.769509514832</v>
      </c>
      <c r="V344" s="152">
        <f t="shared" si="172"/>
        <v>2980.0155966523994</v>
      </c>
      <c r="W344" s="152">
        <f t="shared" si="172"/>
        <v>2931.4493484988752</v>
      </c>
      <c r="X344" s="152">
        <f t="shared" si="172"/>
        <v>2908.1847354177862</v>
      </c>
      <c r="Y344" s="152">
        <f t="shared" si="172"/>
        <v>2886.5258988061491</v>
      </c>
      <c r="Z344" s="152">
        <f t="shared" si="172"/>
        <v>2866.2654102317651</v>
      </c>
      <c r="AA344" s="152">
        <f t="shared" si="172"/>
        <v>2847.2336066516982</v>
      </c>
      <c r="AB344" s="152">
        <f t="shared" si="172"/>
        <v>2829.2899449420406</v>
      </c>
      <c r="AC344" s="152">
        <f t="shared" si="172"/>
        <v>2812.3166970354132</v>
      </c>
      <c r="AD344" s="152">
        <f t="shared" si="172"/>
        <v>2796.2142641540295</v>
      </c>
      <c r="AE344" s="152">
        <f t="shared" si="172"/>
        <v>2780.8976354759416</v>
      </c>
      <c r="AF344" s="152">
        <f t="shared" si="172"/>
        <v>2766.2936713838326</v>
      </c>
      <c r="AG344" s="152">
        <f t="shared" si="172"/>
        <v>2752.3389911122181</v>
      </c>
      <c r="AH344" s="152">
        <f t="shared" si="172"/>
        <v>2738.97831028992</v>
      </c>
      <c r="AI344" s="152">
        <f t="shared" si="172"/>
        <v>2726.1631180762938</v>
      </c>
      <c r="AJ344" s="152">
        <f t="shared" si="172"/>
        <v>2713.8506139049105</v>
      </c>
      <c r="AK344" s="152">
        <f t="shared" si="172"/>
        <v>2702.002845000196</v>
      </c>
      <c r="AL344" s="152">
        <f t="shared" si="172"/>
        <v>2690.5860008238215</v>
      </c>
      <c r="AM344" s="152">
        <f t="shared" si="172"/>
        <v>2679.569831386335</v>
      </c>
      <c r="AN344" s="152">
        <f t="shared" si="172"/>
        <v>2668.9271642121844</v>
      </c>
      <c r="AO344" s="152">
        <f t="shared" si="172"/>
        <v>2658.6335005373517</v>
      </c>
      <c r="AP344" s="152">
        <f t="shared" si="172"/>
        <v>2648.6666756378004</v>
      </c>
      <c r="AQ344" s="152">
        <f t="shared" si="172"/>
        <v>2639.0065714419875</v>
      </c>
      <c r="AR344" s="149"/>
      <c r="AS344" s="149"/>
      <c r="AT344" s="149"/>
      <c r="AU344" s="149"/>
      <c r="AV344" s="149"/>
      <c r="AW344" s="149"/>
      <c r="AX344" s="149"/>
      <c r="AY344" s="149"/>
      <c r="AZ344" s="149"/>
      <c r="BA344" s="149"/>
      <c r="BB344" s="149"/>
      <c r="BC344" s="149"/>
      <c r="BD344" s="149"/>
      <c r="BE344" s="149"/>
      <c r="BF344" s="149"/>
      <c r="BG344" s="149"/>
      <c r="BH344" s="149"/>
      <c r="BI344" s="149"/>
      <c r="BJ344" s="149"/>
      <c r="BK344" s="149"/>
      <c r="BL344" s="149"/>
      <c r="BM344" s="149"/>
      <c r="BN344" s="149"/>
      <c r="BO344" s="149"/>
      <c r="BP344" s="149"/>
      <c r="BQ344" s="149"/>
      <c r="BR344" s="149"/>
      <c r="BS344" s="149"/>
      <c r="BT344" s="149"/>
      <c r="BU344" s="149"/>
      <c r="BV344" s="149"/>
      <c r="BW344" s="149"/>
      <c r="BX344" s="149"/>
      <c r="BY344" s="149"/>
      <c r="BZ344" s="149"/>
    </row>
    <row r="345" spans="7:78" ht="14.1" hidden="1" customHeight="1" thickTop="1" thickBot="1" x14ac:dyDescent="0.3">
      <c r="G345" s="106"/>
      <c r="H345" s="218"/>
      <c r="J345" s="211"/>
      <c r="K345" s="119" t="s">
        <v>128</v>
      </c>
      <c r="L345" s="152">
        <f t="shared" ref="L345:AQ345" si="173">L389*(1-$I$355)+$I$385</f>
        <v>3491.277747688257</v>
      </c>
      <c r="M345" s="152">
        <f t="shared" si="173"/>
        <v>3225.5457027443549</v>
      </c>
      <c r="N345" s="152">
        <f t="shared" si="173"/>
        <v>3027.6290348261678</v>
      </c>
      <c r="O345" s="152">
        <f t="shared" si="173"/>
        <v>2866.8714035997891</v>
      </c>
      <c r="P345" s="152">
        <f t="shared" si="173"/>
        <v>2729.617657579829</v>
      </c>
      <c r="Q345" s="152">
        <f t="shared" si="173"/>
        <v>2608.5837231141818</v>
      </c>
      <c r="R345" s="152">
        <f t="shared" si="173"/>
        <v>2499.4216573591907</v>
      </c>
      <c r="S345" s="152">
        <f t="shared" si="173"/>
        <v>2399.3269480310246</v>
      </c>
      <c r="T345" s="152">
        <f t="shared" si="173"/>
        <v>2306.3846938303464</v>
      </c>
      <c r="U345" s="152">
        <f t="shared" si="173"/>
        <v>2219.2290735990009</v>
      </c>
      <c r="V345" s="152">
        <f t="shared" si="173"/>
        <v>2136.8516155079351</v>
      </c>
      <c r="W345" s="152">
        <f t="shared" si="173"/>
        <v>2058.4864749327703</v>
      </c>
      <c r="X345" s="152">
        <f t="shared" si="173"/>
        <v>2015.8176810423024</v>
      </c>
      <c r="Y345" s="152">
        <f t="shared" si="173"/>
        <v>1976.0939842815565</v>
      </c>
      <c r="Z345" s="152">
        <f t="shared" si="173"/>
        <v>1938.934947589762</v>
      </c>
      <c r="AA345" s="152">
        <f t="shared" si="173"/>
        <v>1904.0293980544534</v>
      </c>
      <c r="AB345" s="152">
        <f t="shared" si="173"/>
        <v>1871.1195705640469</v>
      </c>
      <c r="AC345" s="152">
        <f t="shared" si="173"/>
        <v>1839.9895442852776</v>
      </c>
      <c r="AD345" s="152">
        <f t="shared" si="173"/>
        <v>1810.4566486658202</v>
      </c>
      <c r="AE345" s="152">
        <f t="shared" si="173"/>
        <v>1782.3649684008512</v>
      </c>
      <c r="AF345" s="152">
        <f t="shared" si="173"/>
        <v>1755.5803607369255</v>
      </c>
      <c r="AG345" s="152">
        <f t="shared" si="173"/>
        <v>1729.9865812813421</v>
      </c>
      <c r="AH345" s="152">
        <f t="shared" si="173"/>
        <v>1705.4822349483111</v>
      </c>
      <c r="AI345" s="152">
        <f t="shared" si="173"/>
        <v>1681.9783497418791</v>
      </c>
      <c r="AJ345" s="152">
        <f t="shared" si="173"/>
        <v>1659.3964266755834</v>
      </c>
      <c r="AK345" s="152">
        <f t="shared" si="173"/>
        <v>1637.6668579225964</v>
      </c>
      <c r="AL345" s="152">
        <f t="shared" si="173"/>
        <v>1616.7276327851162</v>
      </c>
      <c r="AM345" s="152">
        <f t="shared" si="173"/>
        <v>1596.5232708405504</v>
      </c>
      <c r="AN345" s="152">
        <f t="shared" si="173"/>
        <v>1577.0039360243698</v>
      </c>
      <c r="AO345" s="152">
        <f t="shared" si="173"/>
        <v>1558.1246960306344</v>
      </c>
      <c r="AP345" s="152">
        <f t="shared" si="173"/>
        <v>1539.8448993325756</v>
      </c>
      <c r="AQ345" s="152">
        <f t="shared" si="173"/>
        <v>1522.1276480954748</v>
      </c>
      <c r="AR345" s="149"/>
      <c r="AS345" s="149"/>
      <c r="AT345" s="149"/>
      <c r="AU345" s="149"/>
      <c r="AV345" s="149"/>
      <c r="AW345" s="149"/>
      <c r="AX345" s="149"/>
      <c r="AY345" s="149"/>
      <c r="AZ345" s="149"/>
      <c r="BA345" s="149"/>
      <c r="BB345" s="149"/>
      <c r="BC345" s="149"/>
      <c r="BD345" s="149"/>
      <c r="BE345" s="149"/>
      <c r="BF345" s="149"/>
      <c r="BG345" s="149"/>
      <c r="BH345" s="149"/>
      <c r="BI345" s="149"/>
      <c r="BJ345" s="149"/>
      <c r="BK345" s="149"/>
      <c r="BL345" s="149"/>
      <c r="BM345" s="149"/>
      <c r="BN345" s="149"/>
      <c r="BO345" s="149"/>
      <c r="BP345" s="149"/>
      <c r="BQ345" s="149"/>
      <c r="BR345" s="149"/>
      <c r="BS345" s="149"/>
      <c r="BT345" s="149"/>
      <c r="BU345" s="149"/>
      <c r="BV345" s="149"/>
      <c r="BW345" s="149"/>
      <c r="BX345" s="149"/>
      <c r="BY345" s="149"/>
      <c r="BZ345" s="149"/>
    </row>
    <row r="346" spans="7:78" ht="14.1" hidden="1" customHeight="1" thickTop="1" thickBot="1" x14ac:dyDescent="0.3">
      <c r="G346" s="106"/>
      <c r="H346" s="218"/>
      <c r="J346" s="211"/>
      <c r="K346" s="7" t="s">
        <v>129</v>
      </c>
      <c r="L346" s="152">
        <f t="shared" ref="L346:AQ346" si="174">L390*(1-$I$355)+$I$385</f>
        <v>3617.6119591415845</v>
      </c>
      <c r="M346" s="152">
        <f t="shared" si="174"/>
        <v>3383.8716486105427</v>
      </c>
      <c r="N346" s="152">
        <f t="shared" si="174"/>
        <v>3209.4918298247999</v>
      </c>
      <c r="O346" s="152">
        <f t="shared" si="174"/>
        <v>3067.6382431054167</v>
      </c>
      <c r="P346" s="152">
        <f t="shared" si="174"/>
        <v>2946.3581936127057</v>
      </c>
      <c r="Q346" s="152">
        <f t="shared" si="174"/>
        <v>2839.2757499154336</v>
      </c>
      <c r="R346" s="152">
        <f t="shared" si="174"/>
        <v>2742.5850491459182</v>
      </c>
      <c r="S346" s="152">
        <f t="shared" si="174"/>
        <v>2653.8312317195737</v>
      </c>
      <c r="T346" s="152">
        <f t="shared" si="174"/>
        <v>2571.338136745489</v>
      </c>
      <c r="U346" s="152">
        <f t="shared" si="174"/>
        <v>2493.9102268818538</v>
      </c>
      <c r="V346" s="152">
        <f t="shared" si="174"/>
        <v>2420.6647615717334</v>
      </c>
      <c r="W346" s="152">
        <f t="shared" si="174"/>
        <v>2350.9313779048516</v>
      </c>
      <c r="X346" s="152">
        <f t="shared" si="174"/>
        <v>2313.5823178744613</v>
      </c>
      <c r="Y346" s="152">
        <f t="shared" si="174"/>
        <v>2278.8111748523575</v>
      </c>
      <c r="Z346" s="152">
        <f t="shared" si="174"/>
        <v>2246.2849427859915</v>
      </c>
      <c r="AA346" s="152">
        <f t="shared" si="174"/>
        <v>2215.731244260211</v>
      </c>
      <c r="AB346" s="152">
        <f t="shared" si="174"/>
        <v>2186.924451040692</v>
      </c>
      <c r="AC346" s="152">
        <f t="shared" si="174"/>
        <v>2159.6755622340843</v>
      </c>
      <c r="AD346" s="152">
        <f t="shared" si="174"/>
        <v>2133.8246817476611</v>
      </c>
      <c r="AE346" s="152">
        <f t="shared" si="174"/>
        <v>2109.235333024465</v>
      </c>
      <c r="AF346" s="152">
        <f t="shared" si="174"/>
        <v>2085.7900975650696</v>
      </c>
      <c r="AG346" s="152">
        <f t="shared" si="174"/>
        <v>2063.3872237518326</v>
      </c>
      <c r="AH346" s="152">
        <f t="shared" si="174"/>
        <v>2041.9379579359943</v>
      </c>
      <c r="AI346" s="152">
        <f t="shared" si="174"/>
        <v>2021.3644207093298</v>
      </c>
      <c r="AJ346" s="152">
        <f t="shared" si="174"/>
        <v>2001.5978999501581</v>
      </c>
      <c r="AK346" s="152">
        <f t="shared" si="174"/>
        <v>1982.5774661906953</v>
      </c>
      <c r="AL346" s="152">
        <f t="shared" si="174"/>
        <v>1964.2488399197675</v>
      </c>
      <c r="AM346" s="152">
        <f t="shared" si="174"/>
        <v>1946.5634577390476</v>
      </c>
      <c r="AN346" s="152">
        <f t="shared" si="174"/>
        <v>1929.4776968976639</v>
      </c>
      <c r="AO346" s="152">
        <f t="shared" si="174"/>
        <v>1912.9522270270081</v>
      </c>
      <c r="AP346" s="152">
        <f t="shared" si="174"/>
        <v>1896.9514648312972</v>
      </c>
      <c r="AQ346" s="152">
        <f t="shared" si="174"/>
        <v>1881.4431127150733</v>
      </c>
      <c r="AR346" s="149"/>
      <c r="AS346" s="149"/>
      <c r="AT346" s="149"/>
      <c r="AU346" s="149"/>
      <c r="AV346" s="149"/>
      <c r="AW346" s="149"/>
      <c r="AX346" s="149"/>
      <c r="AY346" s="149"/>
      <c r="AZ346" s="149"/>
      <c r="BA346" s="149"/>
      <c r="BB346" s="149"/>
      <c r="BC346" s="149"/>
      <c r="BD346" s="149"/>
      <c r="BE346" s="149"/>
      <c r="BF346" s="149"/>
      <c r="BG346" s="149"/>
      <c r="BH346" s="149"/>
      <c r="BI346" s="149"/>
      <c r="BJ346" s="149"/>
      <c r="BK346" s="149"/>
      <c r="BL346" s="149"/>
      <c r="BM346" s="149"/>
      <c r="BN346" s="149"/>
      <c r="BO346" s="149"/>
      <c r="BP346" s="149"/>
      <c r="BQ346" s="149"/>
      <c r="BR346" s="149"/>
      <c r="BS346" s="149"/>
      <c r="BT346" s="149"/>
      <c r="BU346" s="149"/>
      <c r="BV346" s="149"/>
      <c r="BW346" s="149"/>
      <c r="BX346" s="149"/>
      <c r="BY346" s="149"/>
      <c r="BZ346" s="149"/>
    </row>
    <row r="347" spans="7:78" ht="14.1" hidden="1" customHeight="1" thickTop="1" thickBot="1" x14ac:dyDescent="0.3">
      <c r="G347" s="106"/>
      <c r="H347" s="218"/>
      <c r="J347" s="211"/>
      <c r="K347" s="121" t="s">
        <v>130</v>
      </c>
      <c r="L347" s="152">
        <f t="shared" ref="L347:AQ347" si="175">L391*(1-$I$355)+$I$385</f>
        <v>3817.3112748019053</v>
      </c>
      <c r="M347" s="152">
        <f t="shared" si="175"/>
        <v>3664.972343233394</v>
      </c>
      <c r="N347" s="152">
        <f t="shared" si="175"/>
        <v>3550.0046408655344</v>
      </c>
      <c r="O347" s="152">
        <f t="shared" si="175"/>
        <v>3455.5142835776451</v>
      </c>
      <c r="P347" s="152">
        <f t="shared" si="175"/>
        <v>3373.9762848797973</v>
      </c>
      <c r="Q347" s="152">
        <f t="shared" si="175"/>
        <v>3301.3765878145973</v>
      </c>
      <c r="R347" s="152">
        <f t="shared" si="175"/>
        <v>3235.3191580947105</v>
      </c>
      <c r="S347" s="152">
        <f t="shared" si="175"/>
        <v>3174.2585044768407</v>
      </c>
      <c r="T347" s="152">
        <f t="shared" si="175"/>
        <v>3117.1393763896099</v>
      </c>
      <c r="U347" s="152">
        <f t="shared" si="175"/>
        <v>3063.209106550356</v>
      </c>
      <c r="V347" s="152">
        <f t="shared" si="175"/>
        <v>3011.9119532745349</v>
      </c>
      <c r="W347" s="152">
        <f t="shared" si="175"/>
        <v>2962.8258802004148</v>
      </c>
      <c r="X347" s="152">
        <f t="shared" si="175"/>
        <v>2939.3122562093349</v>
      </c>
      <c r="Y347" s="152">
        <f t="shared" si="175"/>
        <v>2917.4215959866533</v>
      </c>
      <c r="Z347" s="152">
        <f t="shared" si="175"/>
        <v>2896.9442509066748</v>
      </c>
      <c r="AA347" s="152">
        <f t="shared" si="175"/>
        <v>2877.7087419517657</v>
      </c>
      <c r="AB347" s="152">
        <f t="shared" si="175"/>
        <v>2859.5730217060245</v>
      </c>
      <c r="AC347" s="152">
        <f t="shared" si="175"/>
        <v>2842.4181020091978</v>
      </c>
      <c r="AD347" s="152">
        <f t="shared" si="175"/>
        <v>2826.1433180360123</v>
      </c>
      <c r="AE347" s="152">
        <f t="shared" si="175"/>
        <v>2810.6627490580436</v>
      </c>
      <c r="AF347" s="152">
        <f t="shared" si="175"/>
        <v>2795.9024726139783</v>
      </c>
      <c r="AG347" s="152">
        <f t="shared" si="175"/>
        <v>2781.7984295474207</v>
      </c>
      <c r="AH347" s="152">
        <f t="shared" si="175"/>
        <v>2768.294743755383</v>
      </c>
      <c r="AI347" s="152">
        <f t="shared" si="175"/>
        <v>2755.3423851653502</v>
      </c>
      <c r="AJ347" s="152">
        <f t="shared" si="175"/>
        <v>2742.8980950984828</v>
      </c>
      <c r="AK347" s="152">
        <f t="shared" si="175"/>
        <v>2730.9235145547332</v>
      </c>
      <c r="AL347" s="152">
        <f t="shared" si="175"/>
        <v>2719.3844711074025</v>
      </c>
      <c r="AM347" s="152">
        <f t="shared" si="175"/>
        <v>2708.2503909887159</v>
      </c>
      <c r="AN347" s="152">
        <f t="shared" si="175"/>
        <v>2697.4938108847205</v>
      </c>
      <c r="AO347" s="152">
        <f t="shared" si="175"/>
        <v>2687.0899698108537</v>
      </c>
      <c r="AP347" s="152">
        <f t="shared" si="175"/>
        <v>2677.016465804742</v>
      </c>
      <c r="AQ347" s="152">
        <f t="shared" si="175"/>
        <v>2667.2529654626865</v>
      </c>
      <c r="AR347" s="149"/>
      <c r="AS347" s="149"/>
      <c r="AT347" s="149"/>
      <c r="AU347" s="149"/>
      <c r="AV347" s="149"/>
      <c r="AW347" s="149"/>
      <c r="AX347" s="149"/>
      <c r="AY347" s="149"/>
      <c r="AZ347" s="149"/>
      <c r="BA347" s="149"/>
      <c r="BB347" s="149"/>
      <c r="BC347" s="149"/>
      <c r="BD347" s="149"/>
      <c r="BE347" s="149"/>
      <c r="BF347" s="149"/>
      <c r="BG347" s="149"/>
      <c r="BH347" s="149"/>
      <c r="BI347" s="149"/>
      <c r="BJ347" s="149"/>
      <c r="BK347" s="149"/>
      <c r="BL347" s="149"/>
      <c r="BM347" s="149"/>
      <c r="BN347" s="149"/>
      <c r="BO347" s="149"/>
      <c r="BP347" s="149"/>
      <c r="BQ347" s="149"/>
      <c r="BR347" s="149"/>
      <c r="BS347" s="149"/>
      <c r="BT347" s="149"/>
      <c r="BU347" s="149"/>
      <c r="BV347" s="149"/>
      <c r="BW347" s="149"/>
      <c r="BX347" s="149"/>
      <c r="BY347" s="149"/>
      <c r="BZ347" s="149"/>
    </row>
    <row r="348" spans="7:78" ht="14.1" hidden="1" customHeight="1" thickTop="1" thickBot="1" x14ac:dyDescent="0.3">
      <c r="G348" s="106"/>
      <c r="H348" s="218"/>
      <c r="J348" s="211"/>
      <c r="K348" s="119" t="s">
        <v>131</v>
      </c>
      <c r="L348" s="152">
        <f t="shared" ref="L348:AQ348" si="176">L392*(1-$I$355)+$I$385</f>
        <v>3495.0594959181949</v>
      </c>
      <c r="M348" s="152">
        <f t="shared" si="176"/>
        <v>3229.0396103144453</v>
      </c>
      <c r="N348" s="152">
        <f t="shared" si="176"/>
        <v>3030.9085592784813</v>
      </c>
      <c r="O348" s="152">
        <f t="shared" si="176"/>
        <v>2869.9767955621451</v>
      </c>
      <c r="P348" s="152">
        <f t="shared" si="176"/>
        <v>2732.5743764349227</v>
      </c>
      <c r="Q348" s="152">
        <f t="shared" si="176"/>
        <v>2611.409338144113</v>
      </c>
      <c r="R348" s="152">
        <f t="shared" si="176"/>
        <v>2502.1290281591355</v>
      </c>
      <c r="S348" s="152">
        <f t="shared" si="176"/>
        <v>2401.9258963515258</v>
      </c>
      <c r="T348" s="152">
        <f t="shared" si="176"/>
        <v>2308.8829672029601</v>
      </c>
      <c r="U348" s="152">
        <f t="shared" si="176"/>
        <v>2221.6329400993004</v>
      </c>
      <c r="V348" s="152">
        <f t="shared" si="176"/>
        <v>2139.1662508359141</v>
      </c>
      <c r="W348" s="152">
        <f t="shared" si="176"/>
        <v>2060.7162252263647</v>
      </c>
      <c r="X348" s="152">
        <f t="shared" si="176"/>
        <v>2018.0012125451185</v>
      </c>
      <c r="Y348" s="152">
        <f t="shared" si="176"/>
        <v>1978.2344871195778</v>
      </c>
      <c r="Z348" s="152">
        <f t="shared" si="176"/>
        <v>1941.0351997999644</v>
      </c>
      <c r="AA348" s="152">
        <f t="shared" si="176"/>
        <v>1906.0918406116548</v>
      </c>
      <c r="AB348" s="152">
        <f t="shared" si="176"/>
        <v>1873.1463652321791</v>
      </c>
      <c r="AC348" s="152">
        <f t="shared" si="176"/>
        <v>1841.9826189430623</v>
      </c>
      <c r="AD348" s="152">
        <f t="shared" si="176"/>
        <v>1812.4177333234375</v>
      </c>
      <c r="AE348" s="152">
        <f t="shared" si="176"/>
        <v>1784.295624181193</v>
      </c>
      <c r="AF348" s="152">
        <f t="shared" si="176"/>
        <v>1757.4820034596012</v>
      </c>
      <c r="AG348" s="152">
        <f t="shared" si="176"/>
        <v>1731.8605008501615</v>
      </c>
      <c r="AH348" s="152">
        <f t="shared" si="176"/>
        <v>1707.3296114360387</v>
      </c>
      <c r="AI348" s="152">
        <f t="shared" si="176"/>
        <v>1683.8002668469107</v>
      </c>
      <c r="AJ348" s="152">
        <f t="shared" si="176"/>
        <v>1661.1938830662991</v>
      </c>
      <c r="AK348" s="152">
        <f t="shared" si="176"/>
        <v>1639.4407768682538</v>
      </c>
      <c r="AL348" s="152">
        <f t="shared" si="176"/>
        <v>1618.4788703850536</v>
      </c>
      <c r="AM348" s="152">
        <f t="shared" si="176"/>
        <v>1598.252623097773</v>
      </c>
      <c r="AN348" s="152">
        <f t="shared" si="176"/>
        <v>1578.7121449595122</v>
      </c>
      <c r="AO348" s="152">
        <f t="shared" si="176"/>
        <v>1559.8124549937068</v>
      </c>
      <c r="AP348" s="152">
        <f t="shared" si="176"/>
        <v>1541.5128576398988</v>
      </c>
      <c r="AQ348" s="152">
        <f t="shared" si="176"/>
        <v>1523.7764150956759</v>
      </c>
      <c r="AR348" s="149"/>
      <c r="AS348" s="149"/>
      <c r="AT348" s="149"/>
      <c r="AU348" s="149"/>
      <c r="AV348" s="149"/>
      <c r="AW348" s="149"/>
      <c r="AX348" s="149"/>
      <c r="AY348" s="149"/>
      <c r="AZ348" s="149"/>
      <c r="BA348" s="149"/>
      <c r="BB348" s="149"/>
      <c r="BC348" s="149"/>
      <c r="BD348" s="149"/>
      <c r="BE348" s="149"/>
      <c r="BF348" s="149"/>
      <c r="BG348" s="149"/>
      <c r="BH348" s="149"/>
      <c r="BI348" s="149"/>
      <c r="BJ348" s="149"/>
      <c r="BK348" s="149"/>
      <c r="BL348" s="149"/>
      <c r="BM348" s="149"/>
      <c r="BN348" s="149"/>
      <c r="BO348" s="149"/>
      <c r="BP348" s="149"/>
      <c r="BQ348" s="149"/>
      <c r="BR348" s="149"/>
      <c r="BS348" s="149"/>
      <c r="BT348" s="149"/>
      <c r="BU348" s="149"/>
      <c r="BV348" s="149"/>
      <c r="BW348" s="149"/>
      <c r="BX348" s="149"/>
      <c r="BY348" s="149"/>
      <c r="BZ348" s="149"/>
    </row>
    <row r="349" spans="7:78" ht="14.1" hidden="1" customHeight="1" thickTop="1" thickBot="1" x14ac:dyDescent="0.3">
      <c r="G349" s="106"/>
      <c r="H349" s="218"/>
      <c r="J349" s="211"/>
      <c r="K349" s="7" t="s">
        <v>132</v>
      </c>
      <c r="L349" s="152">
        <f t="shared" ref="L349:AQ349" si="177">L393*(1-$I$355)+$I$385</f>
        <v>3621.530552450909</v>
      </c>
      <c r="M349" s="152">
        <f t="shared" si="177"/>
        <v>3387.5370546716736</v>
      </c>
      <c r="N349" s="152">
        <f t="shared" si="177"/>
        <v>3212.9683478573388</v>
      </c>
      <c r="O349" s="152">
        <f t="shared" si="177"/>
        <v>3070.9611054882898</v>
      </c>
      <c r="P349" s="152">
        <f t="shared" si="177"/>
        <v>2949.5496855788879</v>
      </c>
      <c r="Q349" s="152">
        <f t="shared" si="177"/>
        <v>2842.3512502959629</v>
      </c>
      <c r="R349" s="152">
        <f t="shared" si="177"/>
        <v>2745.5558142653445</v>
      </c>
      <c r="S349" s="152">
        <f t="shared" si="177"/>
        <v>2656.7058588012355</v>
      </c>
      <c r="T349" s="152">
        <f t="shared" si="177"/>
        <v>2574.1234073970859</v>
      </c>
      <c r="U349" s="152">
        <f t="shared" si="177"/>
        <v>2496.6116277063452</v>
      </c>
      <c r="V349" s="152">
        <f t="shared" si="177"/>
        <v>2423.2868229884766</v>
      </c>
      <c r="W349" s="152">
        <f t="shared" si="177"/>
        <v>2353.4779041968332</v>
      </c>
      <c r="X349" s="152">
        <f t="shared" si="177"/>
        <v>2316.0883877055512</v>
      </c>
      <c r="Y349" s="152">
        <f t="shared" si="177"/>
        <v>2281.2795806194345</v>
      </c>
      <c r="Z349" s="152">
        <f t="shared" si="177"/>
        <v>2248.7181161741414</v>
      </c>
      <c r="AA349" s="152">
        <f t="shared" si="177"/>
        <v>2218.131321915605</v>
      </c>
      <c r="AB349" s="152">
        <f t="shared" si="177"/>
        <v>2189.2933252092416</v>
      </c>
      <c r="AC349" s="152">
        <f t="shared" si="177"/>
        <v>2162.0149204361433</v>
      </c>
      <c r="AD349" s="152">
        <f t="shared" si="177"/>
        <v>2136.1360383043084</v>
      </c>
      <c r="AE349" s="152">
        <f t="shared" si="177"/>
        <v>2111.5200544255249</v>
      </c>
      <c r="AF349" s="152">
        <f t="shared" si="177"/>
        <v>2088.0494231127755</v>
      </c>
      <c r="AG349" s="152">
        <f t="shared" si="177"/>
        <v>2065.622282531177</v>
      </c>
      <c r="AH349" s="152">
        <f t="shared" si="177"/>
        <v>2044.1497828941151</v>
      </c>
      <c r="AI349" s="152">
        <f t="shared" si="177"/>
        <v>2023.5539604344742</v>
      </c>
      <c r="AJ349" s="152">
        <f t="shared" si="177"/>
        <v>2003.7660286016799</v>
      </c>
      <c r="AK349" s="152">
        <f t="shared" si="177"/>
        <v>1984.7249919292149</v>
      </c>
      <c r="AL349" s="152">
        <f t="shared" si="177"/>
        <v>1966.3765121103982</v>
      </c>
      <c r="AM349" s="152">
        <f t="shared" si="177"/>
        <v>1948.6719731430828</v>
      </c>
      <c r="AN349" s="152">
        <f t="shared" si="177"/>
        <v>1931.5677050242814</v>
      </c>
      <c r="AO349" s="152">
        <f t="shared" si="177"/>
        <v>1915.0243347827732</v>
      </c>
      <c r="AP349" s="152">
        <f t="shared" si="177"/>
        <v>1899.0062405789886</v>
      </c>
      <c r="AQ349" s="152">
        <f t="shared" si="177"/>
        <v>1883.4810898327489</v>
      </c>
      <c r="AR349" s="149"/>
      <c r="AS349" s="149"/>
      <c r="AT349" s="149"/>
      <c r="AU349" s="149"/>
      <c r="AV349" s="149"/>
      <c r="AW349" s="149"/>
      <c r="AX349" s="149"/>
      <c r="AY349" s="149"/>
      <c r="AZ349" s="149"/>
      <c r="BA349" s="149"/>
      <c r="BB349" s="149"/>
      <c r="BC349" s="149"/>
      <c r="BD349" s="149"/>
      <c r="BE349" s="149"/>
      <c r="BF349" s="149"/>
      <c r="BG349" s="149"/>
      <c r="BH349" s="149"/>
      <c r="BI349" s="149"/>
      <c r="BJ349" s="149"/>
      <c r="BK349" s="149"/>
      <c r="BL349" s="149"/>
      <c r="BM349" s="149"/>
      <c r="BN349" s="149"/>
      <c r="BO349" s="149"/>
      <c r="BP349" s="149"/>
      <c r="BQ349" s="149"/>
      <c r="BR349" s="149"/>
      <c r="BS349" s="149"/>
      <c r="BT349" s="149"/>
      <c r="BU349" s="149"/>
      <c r="BV349" s="149"/>
      <c r="BW349" s="149"/>
      <c r="BX349" s="149"/>
      <c r="BY349" s="149"/>
      <c r="BZ349" s="149"/>
    </row>
    <row r="350" spans="7:78" ht="14.1" hidden="1" customHeight="1" thickTop="1" thickBot="1" x14ac:dyDescent="0.3">
      <c r="G350" s="106"/>
      <c r="H350" s="218"/>
      <c r="J350" s="211"/>
      <c r="K350" s="121" t="s">
        <v>133</v>
      </c>
      <c r="L350" s="152">
        <f t="shared" ref="L350:AQ350" si="178">L394*(1-$I$355)+$I$385</f>
        <v>3821.4461821910877</v>
      </c>
      <c r="M350" s="152">
        <f t="shared" si="178"/>
        <v>3668.9422372588615</v>
      </c>
      <c r="N350" s="152">
        <f t="shared" si="178"/>
        <v>3553.8500020017982</v>
      </c>
      <c r="O350" s="152">
        <f t="shared" si="178"/>
        <v>3459.2572928624545</v>
      </c>
      <c r="P350" s="152">
        <f t="shared" si="178"/>
        <v>3377.6309722937804</v>
      </c>
      <c r="Q350" s="152">
        <f t="shared" si="178"/>
        <v>3304.9526353162873</v>
      </c>
      <c r="R350" s="152">
        <f t="shared" si="178"/>
        <v>3238.8236522609254</v>
      </c>
      <c r="S350" s="152">
        <f t="shared" si="178"/>
        <v>3177.6968578099777</v>
      </c>
      <c r="T350" s="152">
        <f t="shared" si="178"/>
        <v>3120.5158583458037</v>
      </c>
      <c r="U350" s="152">
        <f t="shared" si="178"/>
        <v>3066.5271712973663</v>
      </c>
      <c r="V350" s="152">
        <f t="shared" si="178"/>
        <v>3015.1744530013375</v>
      </c>
      <c r="W350" s="152">
        <f t="shared" si="178"/>
        <v>2966.0352099466609</v>
      </c>
      <c r="X350" s="152">
        <f t="shared" si="178"/>
        <v>2942.496116023844</v>
      </c>
      <c r="Y350" s="152">
        <f t="shared" si="178"/>
        <v>2920.5817438620006</v>
      </c>
      <c r="Z350" s="152">
        <f t="shared" si="178"/>
        <v>2900.0822177442742</v>
      </c>
      <c r="AA350" s="152">
        <f t="shared" si="178"/>
        <v>2880.8258729071467</v>
      </c>
      <c r="AB350" s="152">
        <f t="shared" si="178"/>
        <v>2862.6705080691122</v>
      </c>
      <c r="AC350" s="152">
        <f t="shared" si="178"/>
        <v>2845.4970061820704</v>
      </c>
      <c r="AD350" s="152">
        <f t="shared" si="178"/>
        <v>2829.2045933807221</v>
      </c>
      <c r="AE350" s="152">
        <f t="shared" si="178"/>
        <v>2813.7072558674031</v>
      </c>
      <c r="AF350" s="152">
        <f t="shared" si="178"/>
        <v>2798.9309911080704</v>
      </c>
      <c r="AG350" s="152">
        <f t="shared" si="178"/>
        <v>2784.8116705575212</v>
      </c>
      <c r="AH350" s="152">
        <f t="shared" si="178"/>
        <v>2771.2933575878328</v>
      </c>
      <c r="AI350" s="152">
        <f t="shared" si="178"/>
        <v>2758.3269690171715</v>
      </c>
      <c r="AJ350" s="152">
        <f t="shared" si="178"/>
        <v>2745.8691993089415</v>
      </c>
      <c r="AK350" s="152">
        <f t="shared" si="178"/>
        <v>2733.8816479126708</v>
      </c>
      <c r="AL350" s="152">
        <f t="shared" si="178"/>
        <v>2722.3301053861246</v>
      </c>
      <c r="AM350" s="152">
        <f t="shared" si="178"/>
        <v>2711.1839648440564</v>
      </c>
      <c r="AN350" s="152">
        <f t="shared" si="178"/>
        <v>2700.4157332242817</v>
      </c>
      <c r="AO350" s="152">
        <f t="shared" si="178"/>
        <v>2690.0006227211657</v>
      </c>
      <c r="AP350" s="152">
        <f t="shared" si="178"/>
        <v>2679.9162071065548</v>
      </c>
      <c r="AQ350" s="152">
        <f t="shared" si="178"/>
        <v>2670.1421309516295</v>
      </c>
      <c r="AR350" s="149"/>
      <c r="AS350" s="149"/>
      <c r="AT350" s="149"/>
      <c r="AU350" s="149"/>
      <c r="AV350" s="149"/>
      <c r="AW350" s="149"/>
      <c r="AX350" s="149"/>
      <c r="AY350" s="149"/>
      <c r="AZ350" s="149"/>
      <c r="BA350" s="149"/>
      <c r="BB350" s="149"/>
      <c r="BC350" s="149"/>
      <c r="BD350" s="149"/>
      <c r="BE350" s="149"/>
      <c r="BF350" s="149"/>
      <c r="BG350" s="149"/>
      <c r="BH350" s="149"/>
      <c r="BI350" s="149"/>
      <c r="BJ350" s="149"/>
      <c r="BK350" s="149"/>
      <c r="BL350" s="149"/>
      <c r="BM350" s="149"/>
      <c r="BN350" s="149"/>
      <c r="BO350" s="149"/>
      <c r="BP350" s="149"/>
      <c r="BQ350" s="149"/>
      <c r="BR350" s="149"/>
      <c r="BS350" s="149"/>
      <c r="BT350" s="149"/>
      <c r="BU350" s="149"/>
      <c r="BV350" s="149"/>
      <c r="BW350" s="149"/>
      <c r="BX350" s="149"/>
      <c r="BY350" s="149"/>
      <c r="BZ350" s="149"/>
    </row>
    <row r="351" spans="7:78" ht="14.1" customHeight="1" thickTop="1" thickBot="1" x14ac:dyDescent="0.3">
      <c r="G351" s="106"/>
      <c r="H351" s="218"/>
      <c r="I351" s="3" t="s">
        <v>359</v>
      </c>
      <c r="J351" s="211"/>
      <c r="K351" s="119" t="s">
        <v>134</v>
      </c>
      <c r="L351" s="152">
        <f>L395*(1-$I$355)+(($I$352*1000000)/($I$311*1000))</f>
        <v>4280.7085323482079</v>
      </c>
      <c r="M351" s="152">
        <f t="shared" ref="M351:AQ353" si="179">M395*(1-$I$355)+(($I$352*1000000)/($I$311*1000))</f>
        <v>3988.4753612824657</v>
      </c>
      <c r="N351" s="152">
        <f t="shared" si="179"/>
        <v>3770.8207103926661</v>
      </c>
      <c r="O351" s="152">
        <f t="shared" si="179"/>
        <v>3594.0309206771681</v>
      </c>
      <c r="P351" s="152">
        <f t="shared" si="179"/>
        <v>3443.0890293876455</v>
      </c>
      <c r="Q351" s="152">
        <f t="shared" si="179"/>
        <v>3309.9845312721618</v>
      </c>
      <c r="R351" s="152">
        <f t="shared" si="179"/>
        <v>3189.9358685585526</v>
      </c>
      <c r="S351" s="152">
        <f t="shared" si="179"/>
        <v>3079.8588384433137</v>
      </c>
      <c r="T351" s="152">
        <f t="shared" si="179"/>
        <v>2977.6475689037434</v>
      </c>
      <c r="U351" s="152">
        <f t="shared" si="179"/>
        <v>2881.8000271374331</v>
      </c>
      <c r="V351" s="152">
        <f t="shared" si="179"/>
        <v>2791.2071676749265</v>
      </c>
      <c r="W351" s="152">
        <f t="shared" si="179"/>
        <v>2705.0267691605973</v>
      </c>
      <c r="X351" s="152">
        <f t="shared" si="179"/>
        <v>2658.1026695594587</v>
      </c>
      <c r="Y351" s="152">
        <f t="shared" si="179"/>
        <v>2614.417377959428</v>
      </c>
      <c r="Z351" s="152">
        <f t="shared" si="179"/>
        <v>2573.5525167851433</v>
      </c>
      <c r="AA351" s="152">
        <f t="shared" si="179"/>
        <v>2535.1658802368529</v>
      </c>
      <c r="AB351" s="152">
        <f t="shared" si="179"/>
        <v>2498.9739966091993</v>
      </c>
      <c r="AC351" s="152">
        <f t="shared" si="179"/>
        <v>2464.7394115529437</v>
      </c>
      <c r="AD351" s="152">
        <f t="shared" si="179"/>
        <v>2432.2612370089237</v>
      </c>
      <c r="AE351" s="152">
        <f t="shared" si="179"/>
        <v>2401.3680084330103</v>
      </c>
      <c r="AF351" s="152">
        <f t="shared" si="179"/>
        <v>2371.9122051819077</v>
      </c>
      <c r="AG351" s="152">
        <f t="shared" si="179"/>
        <v>2343.7659899543032</v>
      </c>
      <c r="AH351" s="152">
        <f t="shared" si="179"/>
        <v>2316.8178556586954</v>
      </c>
      <c r="AI351" s="152">
        <f t="shared" si="179"/>
        <v>2290.9699572327045</v>
      </c>
      <c r="AJ351" s="152">
        <f t="shared" si="179"/>
        <v>2266.1359670836455</v>
      </c>
      <c r="AK351" s="152">
        <f t="shared" si="179"/>
        <v>2242.2393354827518</v>
      </c>
      <c r="AL351" s="152">
        <f t="shared" si="179"/>
        <v>2219.2118674825069</v>
      </c>
      <c r="AM351" s="152">
        <f t="shared" si="179"/>
        <v>2196.992549666822</v>
      </c>
      <c r="AN351" s="152">
        <f t="shared" si="179"/>
        <v>2175.5265758824762</v>
      </c>
      <c r="AO351" s="152">
        <f t="shared" si="179"/>
        <v>2154.7645327805794</v>
      </c>
      <c r="AP351" s="152">
        <f t="shared" si="179"/>
        <v>2134.6617147081915</v>
      </c>
      <c r="AQ351" s="152">
        <f t="shared" si="179"/>
        <v>2115.1775440554597</v>
      </c>
      <c r="AR351" s="149"/>
      <c r="AS351" s="149"/>
      <c r="AT351" s="149"/>
      <c r="AU351" s="149"/>
      <c r="AV351" s="149"/>
      <c r="AW351" s="149"/>
      <c r="AX351" s="149"/>
      <c r="AY351" s="149"/>
      <c r="AZ351" s="149"/>
      <c r="BA351" s="149"/>
      <c r="BB351" s="149"/>
      <c r="BC351" s="149"/>
      <c r="BD351" s="149"/>
      <c r="BE351" s="149"/>
      <c r="BF351" s="149"/>
      <c r="BG351" s="149"/>
      <c r="BH351" s="149"/>
      <c r="BI351" s="149"/>
      <c r="BJ351" s="149"/>
      <c r="BK351" s="149"/>
      <c r="BL351" s="149"/>
      <c r="BM351" s="149"/>
      <c r="BN351" s="149"/>
      <c r="BO351" s="149"/>
      <c r="BP351" s="149"/>
      <c r="BQ351" s="149"/>
      <c r="BR351" s="149"/>
      <c r="BS351" s="149"/>
      <c r="BT351" s="149"/>
      <c r="BU351" s="149"/>
      <c r="BV351" s="149"/>
      <c r="BW351" s="149"/>
      <c r="BX351" s="149"/>
      <c r="BY351" s="149"/>
      <c r="BZ351" s="149"/>
    </row>
    <row r="352" spans="7:78" ht="14.1" customHeight="1" thickTop="1" thickBot="1" x14ac:dyDescent="0.3">
      <c r="G352" s="106"/>
      <c r="H352" s="218"/>
      <c r="I352" s="3">
        <v>3.53</v>
      </c>
      <c r="J352" s="211"/>
      <c r="K352" s="7" t="s">
        <v>135</v>
      </c>
      <c r="L352" s="152">
        <f t="shared" ref="L352:AA353" si="180">L396*(1-$I$355)+(($I$352*1000000)/($I$311*1000))</f>
        <v>4419.6418974788212</v>
      </c>
      <c r="M352" s="152">
        <f t="shared" si="180"/>
        <v>4162.590956683187</v>
      </c>
      <c r="N352" s="152">
        <f t="shared" si="180"/>
        <v>3970.8204555967081</v>
      </c>
      <c r="O352" s="152">
        <f t="shared" si="180"/>
        <v>3814.8199872196033</v>
      </c>
      <c r="P352" s="152">
        <f t="shared" si="180"/>
        <v>3681.4448293317123</v>
      </c>
      <c r="Q352" s="152">
        <f t="shared" si="180"/>
        <v>3563.6831867954161</v>
      </c>
      <c r="R352" s="152">
        <f t="shared" si="180"/>
        <v>3457.3496427758782</v>
      </c>
      <c r="S352" s="152">
        <f t="shared" si="180"/>
        <v>3359.7445175973694</v>
      </c>
      <c r="T352" s="152">
        <f t="shared" si="180"/>
        <v>3269.0244889294186</v>
      </c>
      <c r="U352" s="152">
        <f t="shared" si="180"/>
        <v>3183.874789979036</v>
      </c>
      <c r="V352" s="152">
        <f t="shared" si="180"/>
        <v>3103.3246455721733</v>
      </c>
      <c r="W352" s="152">
        <f t="shared" si="180"/>
        <v>3026.6368383398203</v>
      </c>
      <c r="X352" s="152">
        <f t="shared" si="180"/>
        <v>2985.5630030358775</v>
      </c>
      <c r="Y352" s="152">
        <f t="shared" si="180"/>
        <v>2947.3241771950761</v>
      </c>
      <c r="Z352" s="152">
        <f t="shared" si="180"/>
        <v>2911.5541444856935</v>
      </c>
      <c r="AA352" s="152">
        <f t="shared" si="180"/>
        <v>2877.953363631957</v>
      </c>
      <c r="AB352" s="152">
        <f t="shared" si="179"/>
        <v>2846.2737047765395</v>
      </c>
      <c r="AC352" s="152">
        <f t="shared" si="179"/>
        <v>2816.3073182022231</v>
      </c>
      <c r="AD352" s="152">
        <f t="shared" si="179"/>
        <v>2787.8783615779512</v>
      </c>
      <c r="AE352" s="152">
        <f t="shared" si="179"/>
        <v>2760.8367477095981</v>
      </c>
      <c r="AF352" s="152">
        <f t="shared" si="179"/>
        <v>2735.0533480969225</v>
      </c>
      <c r="AG352" s="152">
        <f t="shared" si="179"/>
        <v>2710.4162635600915</v>
      </c>
      <c r="AH352" s="152">
        <f t="shared" si="179"/>
        <v>2686.8278891594141</v>
      </c>
      <c r="AI352" s="152">
        <f t="shared" si="179"/>
        <v>2664.2025786702079</v>
      </c>
      <c r="AJ352" s="152">
        <f t="shared" si="179"/>
        <v>2642.4647673964155</v>
      </c>
      <c r="AK352" s="152">
        <f t="shared" si="179"/>
        <v>2621.54744945026</v>
      </c>
      <c r="AL352" s="152">
        <f t="shared" si="179"/>
        <v>2601.3909320924727</v>
      </c>
      <c r="AM352" s="152">
        <f t="shared" si="179"/>
        <v>2581.9418087574513</v>
      </c>
      <c r="AN352" s="152">
        <f t="shared" si="179"/>
        <v>2563.1521062516713</v>
      </c>
      <c r="AO352" s="152">
        <f t="shared" si="179"/>
        <v>2544.9785718378125</v>
      </c>
      <c r="AP352" s="152">
        <f t="shared" si="179"/>
        <v>2527.3820735422887</v>
      </c>
      <c r="AQ352" s="152">
        <f t="shared" si="179"/>
        <v>2510.3270927706435</v>
      </c>
      <c r="AR352" s="149"/>
      <c r="AS352" s="149"/>
      <c r="AT352" s="149"/>
      <c r="AU352" s="149"/>
      <c r="AV352" s="149"/>
      <c r="AW352" s="149"/>
      <c r="AX352" s="149"/>
      <c r="AY352" s="149"/>
      <c r="AZ352" s="149"/>
      <c r="BA352" s="149"/>
      <c r="BB352" s="149"/>
      <c r="BC352" s="149"/>
      <c r="BD352" s="149"/>
      <c r="BE352" s="149"/>
      <c r="BF352" s="149"/>
      <c r="BG352" s="149"/>
      <c r="BH352" s="149"/>
      <c r="BI352" s="149"/>
      <c r="BJ352" s="149"/>
      <c r="BK352" s="149"/>
      <c r="BL352" s="149"/>
      <c r="BM352" s="149"/>
      <c r="BN352" s="149"/>
      <c r="BO352" s="149"/>
      <c r="BP352" s="149"/>
      <c r="BQ352" s="149"/>
      <c r="BR352" s="149"/>
      <c r="BS352" s="149"/>
      <c r="BT352" s="149"/>
      <c r="BU352" s="149"/>
      <c r="BV352" s="149"/>
      <c r="BW352" s="149"/>
      <c r="BX352" s="149"/>
      <c r="BY352" s="149"/>
      <c r="BZ352" s="149"/>
    </row>
    <row r="353" spans="7:78" ht="14.1" customHeight="1" thickTop="1" x14ac:dyDescent="0.25">
      <c r="G353" s="106"/>
      <c r="H353" s="218"/>
      <c r="J353" s="211"/>
      <c r="K353" s="121" t="s">
        <v>136</v>
      </c>
      <c r="L353" s="152">
        <f t="shared" si="180"/>
        <v>4639.2569773514579</v>
      </c>
      <c r="M353" s="152">
        <f t="shared" si="179"/>
        <v>4471.7254737331004</v>
      </c>
      <c r="N353" s="152">
        <f t="shared" si="179"/>
        <v>4345.2921854927044</v>
      </c>
      <c r="O353" s="152">
        <f t="shared" si="179"/>
        <v>4241.3784224717483</v>
      </c>
      <c r="P353" s="152">
        <f t="shared" si="179"/>
        <v>4151.7087406429846</v>
      </c>
      <c r="Q353" s="152">
        <f t="shared" si="179"/>
        <v>4071.8687661444083</v>
      </c>
      <c r="R353" s="152">
        <f t="shared" si="179"/>
        <v>3999.2235111712257</v>
      </c>
      <c r="S353" s="152">
        <f t="shared" si="179"/>
        <v>3932.0733545619091</v>
      </c>
      <c r="T353" s="152">
        <f t="shared" si="179"/>
        <v>3869.2578069189231</v>
      </c>
      <c r="U353" s="152">
        <f t="shared" si="179"/>
        <v>3809.9491383882482</v>
      </c>
      <c r="V353" s="152">
        <f t="shared" si="179"/>
        <v>3753.536183858796</v>
      </c>
      <c r="W353" s="152">
        <f t="shared" si="179"/>
        <v>3699.5548178077311</v>
      </c>
      <c r="X353" s="152">
        <f t="shared" si="179"/>
        <v>3673.6962093602201</v>
      </c>
      <c r="Y353" s="152">
        <f t="shared" si="179"/>
        <v>3649.622420837848</v>
      </c>
      <c r="Z353" s="152">
        <f t="shared" si="179"/>
        <v>3627.1028956184</v>
      </c>
      <c r="AA353" s="152">
        <f t="shared" si="179"/>
        <v>3605.9490532952309</v>
      </c>
      <c r="AB353" s="152">
        <f t="shared" si="179"/>
        <v>3586.0046802404386</v>
      </c>
      <c r="AC353" s="152">
        <f t="shared" si="179"/>
        <v>3567.1389217526344</v>
      </c>
      <c r="AD353" s="152">
        <f t="shared" si="179"/>
        <v>3549.2410738288063</v>
      </c>
      <c r="AE353" s="152">
        <f t="shared" si="179"/>
        <v>3532.2166469732165</v>
      </c>
      <c r="AF353" s="152">
        <f t="shared" si="179"/>
        <v>3515.9843465294866</v>
      </c>
      <c r="AG353" s="152">
        <f t="shared" si="179"/>
        <v>3500.4737248012789</v>
      </c>
      <c r="AH353" s="152">
        <f t="shared" si="179"/>
        <v>3485.6233332313964</v>
      </c>
      <c r="AI353" s="152">
        <f t="shared" si="179"/>
        <v>3471.379252039213</v>
      </c>
      <c r="AJ353" s="152">
        <f t="shared" si="179"/>
        <v>3457.6939084116862</v>
      </c>
      <c r="AK353" s="152">
        <f t="shared" si="179"/>
        <v>3444.5251178534345</v>
      </c>
      <c r="AL353" s="152">
        <f t="shared" si="179"/>
        <v>3431.8352999641747</v>
      </c>
      <c r="AM353" s="152">
        <f t="shared" si="179"/>
        <v>3419.5908318923216</v>
      </c>
      <c r="AN353" s="152">
        <f t="shared" si="179"/>
        <v>3407.7615114418027</v>
      </c>
      <c r="AO353" s="152">
        <f t="shared" si="179"/>
        <v>3396.32010824588</v>
      </c>
      <c r="AP353" s="152">
        <f t="shared" si="179"/>
        <v>3385.2419862223546</v>
      </c>
      <c r="AQ353" s="152">
        <f t="shared" si="179"/>
        <v>3374.5047841424825</v>
      </c>
      <c r="AR353" s="149"/>
      <c r="AS353" s="149"/>
      <c r="AT353" s="149"/>
      <c r="AU353" s="149"/>
      <c r="AV353" s="149"/>
      <c r="AW353" s="149"/>
      <c r="AX353" s="149"/>
      <c r="AY353" s="149"/>
      <c r="AZ353" s="149"/>
      <c r="BA353" s="149"/>
      <c r="BB353" s="149"/>
      <c r="BC353" s="149"/>
      <c r="BD353" s="149"/>
      <c r="BE353" s="149"/>
      <c r="BF353" s="149"/>
      <c r="BG353" s="149"/>
      <c r="BH353" s="149"/>
      <c r="BI353" s="149"/>
      <c r="BJ353" s="149"/>
      <c r="BK353" s="149"/>
      <c r="BL353" s="149"/>
      <c r="BM353" s="149"/>
      <c r="BN353" s="149"/>
      <c r="BO353" s="149"/>
      <c r="BP353" s="149"/>
      <c r="BQ353" s="149"/>
      <c r="BR353" s="149"/>
      <c r="BS353" s="149"/>
      <c r="BT353" s="149"/>
      <c r="BU353" s="149"/>
      <c r="BV353" s="149"/>
      <c r="BW353" s="149"/>
      <c r="BX353" s="149"/>
      <c r="BY353" s="149"/>
      <c r="BZ353" s="149"/>
    </row>
    <row r="354" spans="7:78" ht="14.1" customHeight="1" x14ac:dyDescent="0.25">
      <c r="G354" s="106"/>
      <c r="H354" s="218"/>
      <c r="I354" s="3" t="s">
        <v>364</v>
      </c>
      <c r="J354" s="129"/>
      <c r="K354" s="7"/>
      <c r="L354" s="153"/>
      <c r="M354" s="153"/>
      <c r="N354" s="153"/>
      <c r="O354" s="153"/>
      <c r="P354" s="153"/>
      <c r="Q354" s="153"/>
      <c r="R354" s="153"/>
      <c r="S354" s="153"/>
      <c r="T354" s="153"/>
      <c r="U354" s="153"/>
      <c r="V354" s="153"/>
      <c r="W354" s="153"/>
      <c r="X354" s="153"/>
      <c r="Y354" s="153"/>
      <c r="Z354" s="153"/>
      <c r="AA354" s="153"/>
      <c r="AB354" s="153"/>
      <c r="AC354" s="153"/>
      <c r="AD354" s="153"/>
      <c r="AE354" s="153"/>
      <c r="AF354" s="153"/>
      <c r="AG354" s="153"/>
      <c r="AH354" s="153"/>
      <c r="AI354" s="153"/>
      <c r="AJ354" s="153"/>
      <c r="AK354" s="153"/>
      <c r="AL354" s="153"/>
      <c r="AM354" s="153"/>
      <c r="AN354" s="153"/>
      <c r="AO354" s="153"/>
      <c r="AP354" s="153"/>
      <c r="AQ354" s="153"/>
    </row>
    <row r="355" spans="7:78" ht="14.1" customHeight="1" thickBot="1" x14ac:dyDescent="0.3">
      <c r="G355" s="106"/>
      <c r="H355" s="218"/>
      <c r="I355" s="147">
        <v>0.11</v>
      </c>
      <c r="J355" s="129"/>
      <c r="K355" s="7"/>
      <c r="L355" s="107">
        <v>2019</v>
      </c>
      <c r="M355" s="107">
        <v>2020</v>
      </c>
      <c r="N355" s="107">
        <v>2021</v>
      </c>
      <c r="O355" s="107">
        <v>2022</v>
      </c>
      <c r="P355" s="107">
        <v>2023</v>
      </c>
      <c r="Q355" s="107">
        <v>2024</v>
      </c>
      <c r="R355" s="107">
        <v>2025</v>
      </c>
      <c r="S355" s="107">
        <v>2026</v>
      </c>
      <c r="T355" s="107">
        <v>2027</v>
      </c>
      <c r="U355" s="107">
        <v>2028</v>
      </c>
      <c r="V355" s="107">
        <v>2029</v>
      </c>
      <c r="W355" s="107">
        <v>2030</v>
      </c>
      <c r="X355" s="107">
        <v>2031</v>
      </c>
      <c r="Y355" s="107">
        <v>2032</v>
      </c>
      <c r="Z355" s="107">
        <v>2033</v>
      </c>
      <c r="AA355" s="107">
        <v>2034</v>
      </c>
      <c r="AB355" s="107">
        <v>2035</v>
      </c>
      <c r="AC355" s="107">
        <v>2036</v>
      </c>
      <c r="AD355" s="107">
        <v>2037</v>
      </c>
      <c r="AE355" s="107">
        <v>2038</v>
      </c>
      <c r="AF355" s="107">
        <v>2039</v>
      </c>
      <c r="AG355" s="107">
        <v>2040</v>
      </c>
      <c r="AH355" s="107">
        <v>2041</v>
      </c>
      <c r="AI355" s="107">
        <v>2042</v>
      </c>
      <c r="AJ355" s="107">
        <v>2043</v>
      </c>
      <c r="AK355" s="107">
        <v>2044</v>
      </c>
      <c r="AL355" s="107">
        <v>2045</v>
      </c>
      <c r="AM355" s="107">
        <v>2046</v>
      </c>
      <c r="AN355" s="107">
        <v>2047</v>
      </c>
      <c r="AO355" s="107">
        <v>2048</v>
      </c>
      <c r="AP355" s="107">
        <v>2049</v>
      </c>
      <c r="AQ355" s="107">
        <v>2050</v>
      </c>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c r="BS355" s="107"/>
      <c r="BT355" s="107"/>
      <c r="BU355" s="107"/>
      <c r="BV355" s="107"/>
      <c r="BW355" s="107"/>
      <c r="BX355" s="107"/>
      <c r="BY355" s="107"/>
      <c r="BZ355" s="107"/>
    </row>
    <row r="356" spans="7:78" ht="14.1" hidden="1" customHeight="1" x14ac:dyDescent="0.25">
      <c r="G356" s="106"/>
      <c r="H356" s="218"/>
      <c r="J356" s="209" t="s">
        <v>357</v>
      </c>
      <c r="K356" s="119" t="s">
        <v>95</v>
      </c>
      <c r="L356" s="148">
        <v>2409.7899717212231</v>
      </c>
      <c r="M356" s="148">
        <v>2217.6546535129487</v>
      </c>
      <c r="N356" s="148">
        <v>2074.6824649183332</v>
      </c>
      <c r="O356" s="148">
        <v>1958.6489238299407</v>
      </c>
      <c r="P356" s="148">
        <v>1859.6546532655511</v>
      </c>
      <c r="Q356" s="148">
        <v>1772.4190240702344</v>
      </c>
      <c r="R356" s="148">
        <v>1693.789971226428</v>
      </c>
      <c r="S356" s="148">
        <v>1621.7343481682622</v>
      </c>
      <c r="T356" s="148">
        <v>1554.8639366935286</v>
      </c>
      <c r="U356" s="148">
        <v>1492.1885772606527</v>
      </c>
      <c r="V356" s="148">
        <v>1432.9771726846316</v>
      </c>
      <c r="W356" s="148">
        <v>1376.6745197035459</v>
      </c>
      <c r="X356" s="148">
        <v>1345.7415434893148</v>
      </c>
      <c r="Y356" s="148">
        <v>1316.9436315962396</v>
      </c>
      <c r="Z356" s="148">
        <v>1290.004984090016</v>
      </c>
      <c r="AA356" s="148">
        <v>1264.7000144606407</v>
      </c>
      <c r="AB356" s="148">
        <v>1240.8418544763572</v>
      </c>
      <c r="AC356" s="148">
        <v>1218.2739711445365</v>
      </c>
      <c r="AD356" s="148">
        <v>1196.863936446131</v>
      </c>
      <c r="AE356" s="148">
        <v>1176.4987187255479</v>
      </c>
      <c r="AF356" s="148">
        <v>1157.0810704577623</v>
      </c>
      <c r="AG356" s="148">
        <v>1138.5267196325631</v>
      </c>
      <c r="AH356" s="148">
        <v>1120.7621593262486</v>
      </c>
      <c r="AI356" s="148">
        <v>1103.7228888022462</v>
      </c>
      <c r="AJ356" s="148">
        <v>1087.3519997896703</v>
      </c>
      <c r="AK356" s="148">
        <v>1071.5990297125902</v>
      </c>
      <c r="AL356" s="148">
        <v>1056.4190235754393</v>
      </c>
      <c r="AM356" s="148">
        <v>1041.7717605414921</v>
      </c>
      <c r="AN356" s="148">
        <v>1027.6211116823638</v>
      </c>
      <c r="AO356" s="148">
        <v>1013.9345030763625</v>
      </c>
      <c r="AP356" s="148">
        <v>1000.6824641761405</v>
      </c>
      <c r="AQ356" s="148">
        <v>987.8382456939953</v>
      </c>
      <c r="AR356" s="149"/>
      <c r="AS356" s="149"/>
      <c r="AT356" s="149"/>
      <c r="AU356" s="149"/>
      <c r="AV356" s="149"/>
      <c r="AW356" s="149"/>
      <c r="AX356" s="149"/>
      <c r="AY356" s="149"/>
      <c r="AZ356" s="149"/>
      <c r="BA356" s="149"/>
      <c r="BB356" s="149"/>
      <c r="BC356" s="149"/>
      <c r="BD356" s="149"/>
      <c r="BE356" s="149"/>
      <c r="BF356" s="149"/>
      <c r="BG356" s="149"/>
      <c r="BH356" s="149"/>
      <c r="BI356" s="149"/>
      <c r="BJ356" s="149"/>
      <c r="BK356" s="149"/>
      <c r="BL356" s="149"/>
      <c r="BM356" s="149"/>
      <c r="BN356" s="149"/>
      <c r="BO356" s="149"/>
      <c r="BP356" s="149"/>
      <c r="BQ356" s="149"/>
      <c r="BR356" s="149"/>
      <c r="BS356" s="149"/>
      <c r="BT356" s="149"/>
      <c r="BU356" s="149"/>
      <c r="BV356" s="149"/>
      <c r="BW356" s="149"/>
      <c r="BX356" s="149"/>
      <c r="BY356" s="149"/>
      <c r="BZ356" s="149"/>
    </row>
    <row r="357" spans="7:78" ht="14.1" hidden="1" customHeight="1" x14ac:dyDescent="0.25">
      <c r="G357" s="106"/>
      <c r="H357" s="218"/>
      <c r="J357" s="210"/>
      <c r="K357" s="7" t="s">
        <v>96</v>
      </c>
      <c r="L357" s="150">
        <v>2500.8845559650813</v>
      </c>
      <c r="M357" s="150">
        <v>2328.0373119650103</v>
      </c>
      <c r="N357" s="150">
        <v>2198.8665832824281</v>
      </c>
      <c r="O357" s="150">
        <v>2093.6281440957459</v>
      </c>
      <c r="P357" s="150">
        <v>2003.5273897124573</v>
      </c>
      <c r="Q357" s="150">
        <v>1923.8730101613858</v>
      </c>
      <c r="R357" s="150">
        <v>1851.8647114599653</v>
      </c>
      <c r="S357" s="150">
        <v>1785.6962465725758</v>
      </c>
      <c r="T357" s="150">
        <v>1724.1343227033728</v>
      </c>
      <c r="U357" s="150">
        <v>1666.2992822975232</v>
      </c>
      <c r="V357" s="150">
        <v>1611.5416187501842</v>
      </c>
      <c r="W357" s="150">
        <v>1559.3680895854363</v>
      </c>
      <c r="X357" s="150">
        <v>1531.8872391991126</v>
      </c>
      <c r="Y357" s="150">
        <v>1506.3031795634915</v>
      </c>
      <c r="Z357" s="150">
        <v>1482.3708900676024</v>
      </c>
      <c r="AA357" s="150">
        <v>1459.8899596973974</v>
      </c>
      <c r="AB357" s="150">
        <v>1438.694374750113</v>
      </c>
      <c r="AC357" s="150">
        <v>1418.6450713438519</v>
      </c>
      <c r="AD357" s="150">
        <v>1399.6244004508196</v>
      </c>
      <c r="AE357" s="150">
        <v>1381.5319447689512</v>
      </c>
      <c r="AF357" s="150">
        <v>1364.2813096148798</v>
      </c>
      <c r="AG357" s="150">
        <v>1347.7976277502144</v>
      </c>
      <c r="AH357" s="150">
        <v>1332.015595637441</v>
      </c>
      <c r="AI357" s="150">
        <v>1316.877910834037</v>
      </c>
      <c r="AJ357" s="150">
        <v>1302.3340160426033</v>
      </c>
      <c r="AK357" s="150">
        <v>1288.3390803199516</v>
      </c>
      <c r="AL357" s="150">
        <v>1274.8531656562793</v>
      </c>
      <c r="AM357" s="150">
        <v>1261.8405398676286</v>
      </c>
      <c r="AN357" s="150">
        <v>1249.2691060206582</v>
      </c>
      <c r="AO357" s="150">
        <v>1237.109925449322</v>
      </c>
      <c r="AP357" s="150">
        <v>1225.3368165247691</v>
      </c>
      <c r="AQ357" s="150">
        <v>1213.9260151847188</v>
      </c>
      <c r="AR357" s="149"/>
      <c r="AS357" s="149"/>
      <c r="AT357" s="149"/>
      <c r="AU357" s="149"/>
      <c r="AV357" s="149"/>
      <c r="AW357" s="149"/>
      <c r="AX357" s="149"/>
      <c r="AY357" s="149"/>
      <c r="AZ357" s="149"/>
      <c r="BA357" s="149"/>
      <c r="BB357" s="149"/>
      <c r="BC357" s="149"/>
      <c r="BD357" s="149"/>
      <c r="BE357" s="149"/>
      <c r="BF357" s="149"/>
      <c r="BG357" s="149"/>
      <c r="BH357" s="149"/>
      <c r="BI357" s="149"/>
      <c r="BJ357" s="149"/>
      <c r="BK357" s="149"/>
      <c r="BL357" s="149"/>
      <c r="BM357" s="149"/>
      <c r="BN357" s="149"/>
      <c r="BO357" s="149"/>
      <c r="BP357" s="149"/>
      <c r="BQ357" s="149"/>
      <c r="BR357" s="149"/>
      <c r="BS357" s="149"/>
      <c r="BT357" s="149"/>
      <c r="BU357" s="149"/>
      <c r="BV357" s="149"/>
      <c r="BW357" s="149"/>
      <c r="BX357" s="149"/>
      <c r="BY357" s="149"/>
      <c r="BZ357" s="149"/>
    </row>
    <row r="358" spans="7:78" ht="14.1" hidden="1" customHeight="1" x14ac:dyDescent="0.25">
      <c r="G358" s="106"/>
      <c r="H358" s="218"/>
      <c r="J358" s="210"/>
      <c r="K358" s="121" t="s">
        <v>97</v>
      </c>
      <c r="L358" s="151">
        <v>2649.0234401310759</v>
      </c>
      <c r="M358" s="151">
        <v>2530.7136819309071</v>
      </c>
      <c r="N358" s="151">
        <v>2441.5995375318571</v>
      </c>
      <c r="O358" s="151">
        <v>2368.4829578748527</v>
      </c>
      <c r="P358" s="151">
        <v>2305.4851799617722</v>
      </c>
      <c r="Q358" s="151">
        <v>2249.4702925793558</v>
      </c>
      <c r="R358" s="151">
        <v>2198.5664361927966</v>
      </c>
      <c r="S358" s="151">
        <v>2151.5662230217613</v>
      </c>
      <c r="T358" s="151">
        <v>2107.6452571658706</v>
      </c>
      <c r="U358" s="151">
        <v>2066.2155305832298</v>
      </c>
      <c r="V358" s="151">
        <v>2026.8428798828647</v>
      </c>
      <c r="W358" s="151">
        <v>1989.1975965994332</v>
      </c>
      <c r="X358" s="151">
        <v>1970.8279925004533</v>
      </c>
      <c r="Y358" s="151">
        <v>1953.7263002258601</v>
      </c>
      <c r="Z358" s="151">
        <v>1937.7287354838152</v>
      </c>
      <c r="AA358" s="151">
        <v>1922.7013333156888</v>
      </c>
      <c r="AB358" s="151">
        <v>1908.5331216827008</v>
      </c>
      <c r="AC358" s="151">
        <v>1895.1311431829151</v>
      </c>
      <c r="AD358" s="151">
        <v>1882.4167551967314</v>
      </c>
      <c r="AE358" s="151">
        <v>1870.3228336702102</v>
      </c>
      <c r="AF358" s="151">
        <v>1858.7916279840158</v>
      </c>
      <c r="AG358" s="151">
        <v>1847.773093051846</v>
      </c>
      <c r="AH358" s="151">
        <v>1837.2235766535719</v>
      </c>
      <c r="AI358" s="151">
        <v>1827.1047749096472</v>
      </c>
      <c r="AJ358" s="151">
        <v>1817.3828927400612</v>
      </c>
      <c r="AK358" s="151">
        <v>1808.0279628524577</v>
      </c>
      <c r="AL358" s="151">
        <v>1799.0132886410815</v>
      </c>
      <c r="AM358" s="151">
        <v>1790.3149848890021</v>
      </c>
      <c r="AN358" s="151">
        <v>1781.9115963664881</v>
      </c>
      <c r="AO358" s="151">
        <v>1773.7837789909888</v>
      </c>
      <c r="AP358" s="151">
        <v>1765.9140316244432</v>
      </c>
      <c r="AQ358" s="151">
        <v>1758.2864691537729</v>
      </c>
      <c r="AR358" s="149"/>
      <c r="AS358" s="149"/>
      <c r="AT358" s="149"/>
      <c r="AU358" s="149"/>
      <c r="AV358" s="149"/>
      <c r="AW358" s="149"/>
      <c r="AX358" s="149"/>
      <c r="AY358" s="149"/>
      <c r="AZ358" s="149"/>
      <c r="BA358" s="149"/>
      <c r="BB358" s="149"/>
      <c r="BC358" s="149"/>
      <c r="BD358" s="149"/>
      <c r="BE358" s="149"/>
      <c r="BF358" s="149"/>
      <c r="BG358" s="149"/>
      <c r="BH358" s="149"/>
      <c r="BI358" s="149"/>
      <c r="BJ358" s="149"/>
      <c r="BK358" s="149"/>
      <c r="BL358" s="149"/>
      <c r="BM358" s="149"/>
      <c r="BN358" s="149"/>
      <c r="BO358" s="149"/>
      <c r="BP358" s="149"/>
      <c r="BQ358" s="149"/>
      <c r="BR358" s="149"/>
      <c r="BS358" s="149"/>
      <c r="BT358" s="149"/>
      <c r="BU358" s="149"/>
      <c r="BV358" s="149"/>
      <c r="BW358" s="149"/>
      <c r="BX358" s="149"/>
      <c r="BY358" s="149"/>
      <c r="BZ358" s="149"/>
    </row>
    <row r="359" spans="7:78" ht="14.1" hidden="1" customHeight="1" x14ac:dyDescent="0.25">
      <c r="G359" s="106"/>
      <c r="H359" s="218"/>
      <c r="J359" s="210"/>
      <c r="K359" s="119" t="s">
        <v>98</v>
      </c>
      <c r="L359" s="152">
        <v>2417.1711576833045</v>
      </c>
      <c r="M359" s="152">
        <v>2224.4473290528686</v>
      </c>
      <c r="N359" s="152">
        <v>2081.0372166873822</v>
      </c>
      <c r="O359" s="152">
        <v>1964.6482648973672</v>
      </c>
      <c r="P359" s="152">
        <v>1865.3507749118698</v>
      </c>
      <c r="Q359" s="152">
        <v>1777.8479430104394</v>
      </c>
      <c r="R359" s="152">
        <v>1698.9780494013078</v>
      </c>
      <c r="S359" s="152">
        <v>1626.7017199912825</v>
      </c>
      <c r="T359" s="152">
        <v>1559.6264844662173</v>
      </c>
      <c r="U359" s="152">
        <v>1496.7591504261586</v>
      </c>
      <c r="V359" s="152">
        <v>1437.3663813356445</v>
      </c>
      <c r="W359" s="152">
        <v>1380.8912733453303</v>
      </c>
      <c r="X359" s="152">
        <v>1349.8635494342138</v>
      </c>
      <c r="Y359" s="152">
        <v>1320.97742954563</v>
      </c>
      <c r="Z359" s="152">
        <v>1293.9562689701581</v>
      </c>
      <c r="AA359" s="152">
        <v>1268.5737902263822</v>
      </c>
      <c r="AB359" s="152">
        <v>1244.6425527052083</v>
      </c>
      <c r="AC359" s="152">
        <v>1222.0055439534972</v>
      </c>
      <c r="AD359" s="152">
        <v>1200.5299303252189</v>
      </c>
      <c r="AE359" s="152">
        <v>1180.1023339488534</v>
      </c>
      <c r="AF359" s="152">
        <v>1160.6252094302358</v>
      </c>
      <c r="AG359" s="152">
        <v>1142.0140266340127</v>
      </c>
      <c r="AH359" s="152">
        <v>1124.1950534847974</v>
      </c>
      <c r="AI359" s="152">
        <v>1107.10359168028</v>
      </c>
      <c r="AJ359" s="152">
        <v>1090.6825586395589</v>
      </c>
      <c r="AK359" s="152">
        <v>1074.8813372198479</v>
      </c>
      <c r="AL359" s="152">
        <v>1059.6548347284424</v>
      </c>
      <c r="AM359" s="152">
        <v>1044.9627071322066</v>
      </c>
      <c r="AN359" s="152">
        <v>1030.7687148398584</v>
      </c>
      <c r="AO359" s="152">
        <v>1017.0401841557936</v>
      </c>
      <c r="AP359" s="152">
        <v>1003.7475542643867</v>
      </c>
      <c r="AQ359" s="152">
        <v>990.86399394487535</v>
      </c>
      <c r="AR359" s="149"/>
      <c r="AS359" s="149"/>
      <c r="AT359" s="149"/>
      <c r="AU359" s="149"/>
      <c r="AV359" s="149"/>
      <c r="AW359" s="149"/>
      <c r="AX359" s="149"/>
      <c r="AY359" s="149"/>
      <c r="AZ359" s="149"/>
      <c r="BA359" s="149"/>
      <c r="BB359" s="149"/>
      <c r="BC359" s="149"/>
      <c r="BD359" s="149"/>
      <c r="BE359" s="149"/>
      <c r="BF359" s="149"/>
      <c r="BG359" s="149"/>
      <c r="BH359" s="149"/>
      <c r="BI359" s="149"/>
      <c r="BJ359" s="149"/>
      <c r="BK359" s="149"/>
      <c r="BL359" s="149"/>
      <c r="BM359" s="149"/>
      <c r="BN359" s="149"/>
      <c r="BO359" s="149"/>
      <c r="BP359" s="149"/>
      <c r="BQ359" s="149"/>
      <c r="BR359" s="149"/>
      <c r="BS359" s="149"/>
      <c r="BT359" s="149"/>
      <c r="BU359" s="149"/>
      <c r="BV359" s="149"/>
      <c r="BW359" s="149"/>
      <c r="BX359" s="149"/>
      <c r="BY359" s="149"/>
      <c r="BZ359" s="149"/>
    </row>
    <row r="360" spans="7:78" ht="14.1" hidden="1" customHeight="1" x14ac:dyDescent="0.25">
      <c r="G360" s="106"/>
      <c r="H360" s="218"/>
      <c r="J360" s="210"/>
      <c r="K360" s="7" t="s">
        <v>99</v>
      </c>
      <c r="L360" s="150">
        <v>2508.5447646114353</v>
      </c>
      <c r="M360" s="150">
        <v>2335.1680895547283</v>
      </c>
      <c r="N360" s="150">
        <v>2205.6017109688555</v>
      </c>
      <c r="O360" s="150">
        <v>2100.0409264744444</v>
      </c>
      <c r="P360" s="150">
        <v>2009.6641935074488</v>
      </c>
      <c r="Q360" s="150">
        <v>1929.7658326156545</v>
      </c>
      <c r="R360" s="150">
        <v>1857.5369725168653</v>
      </c>
      <c r="S360" s="150">
        <v>1791.1658336413311</v>
      </c>
      <c r="T360" s="150">
        <v>1729.4153456177437</v>
      </c>
      <c r="U360" s="150">
        <v>1671.403156500442</v>
      </c>
      <c r="V360" s="150">
        <v>1616.4777702460478</v>
      </c>
      <c r="W360" s="150">
        <v>1564.144433577085</v>
      </c>
      <c r="X360" s="150">
        <v>1536.5794093542536</v>
      </c>
      <c r="Y360" s="150">
        <v>1510.9169857516265</v>
      </c>
      <c r="Z360" s="150">
        <v>1486.9113916601748</v>
      </c>
      <c r="AA360" s="150">
        <v>1464.3616022069748</v>
      </c>
      <c r="AB360" s="150">
        <v>1443.1010951893411</v>
      </c>
      <c r="AC360" s="150">
        <v>1422.9903807727478</v>
      </c>
      <c r="AD360" s="150">
        <v>1403.9114495704637</v>
      </c>
      <c r="AE360" s="150">
        <v>1385.7635767022571</v>
      </c>
      <c r="AF360" s="150">
        <v>1368.4601028578722</v>
      </c>
      <c r="AG360" s="150">
        <v>1351.9259314805893</v>
      </c>
      <c r="AH360" s="150">
        <v>1336.0955590081783</v>
      </c>
      <c r="AI360" s="150">
        <v>1320.9115074807526</v>
      </c>
      <c r="AJ360" s="150">
        <v>1306.3230647439259</v>
      </c>
      <c r="AK360" s="150">
        <v>1292.2852625373448</v>
      </c>
      <c r="AL360" s="150">
        <v>1278.7580405210942</v>
      </c>
      <c r="AM360" s="150">
        <v>1265.7055570635478</v>
      </c>
      <c r="AN360" s="150">
        <v>1253.0956169184672</v>
      </c>
      <c r="AO360" s="150">
        <v>1240.8991927806803</v>
      </c>
      <c r="AP360" s="150">
        <v>1229.0900228270154</v>
      </c>
      <c r="AQ360" s="150">
        <v>1217.6442702058762</v>
      </c>
      <c r="AR360" s="149"/>
      <c r="AS360" s="149"/>
      <c r="AT360" s="149"/>
      <c r="AU360" s="149"/>
      <c r="AV360" s="149"/>
      <c r="AW360" s="149"/>
      <c r="AX360" s="149"/>
      <c r="AY360" s="149"/>
      <c r="AZ360" s="149"/>
      <c r="BA360" s="149"/>
      <c r="BB360" s="149"/>
      <c r="BC360" s="149"/>
      <c r="BD360" s="149"/>
      <c r="BE360" s="149"/>
      <c r="BF360" s="149"/>
      <c r="BG360" s="149"/>
      <c r="BH360" s="149"/>
      <c r="BI360" s="149"/>
      <c r="BJ360" s="149"/>
      <c r="BK360" s="149"/>
      <c r="BL360" s="149"/>
      <c r="BM360" s="149"/>
      <c r="BN360" s="149"/>
      <c r="BO360" s="149"/>
      <c r="BP360" s="149"/>
      <c r="BQ360" s="149"/>
      <c r="BR360" s="149"/>
      <c r="BS360" s="149"/>
      <c r="BT360" s="149"/>
      <c r="BU360" s="149"/>
      <c r="BV360" s="149"/>
      <c r="BW360" s="149"/>
      <c r="BX360" s="149"/>
      <c r="BY360" s="149"/>
      <c r="BZ360" s="149"/>
    </row>
    <row r="361" spans="7:78" ht="14.1" hidden="1" customHeight="1" x14ac:dyDescent="0.25">
      <c r="G361" s="106"/>
      <c r="H361" s="218"/>
      <c r="J361" s="210"/>
      <c r="K361" s="121" t="s">
        <v>100</v>
      </c>
      <c r="L361" s="151">
        <v>2657.1373981352895</v>
      </c>
      <c r="M361" s="151">
        <v>2538.4652571811657</v>
      </c>
      <c r="N361" s="151">
        <v>2449.0781561844956</v>
      </c>
      <c r="O361" s="151">
        <v>2375.7376204658867</v>
      </c>
      <c r="P361" s="151">
        <v>2312.5468803779154</v>
      </c>
      <c r="Q361" s="151">
        <v>2256.3604194122127</v>
      </c>
      <c r="R361" s="151">
        <v>2205.3006445287783</v>
      </c>
      <c r="S361" s="151">
        <v>2158.1564697188683</v>
      </c>
      <c r="T361" s="151">
        <v>2114.1009739577075</v>
      </c>
      <c r="U361" s="151">
        <v>2072.5443481349444</v>
      </c>
      <c r="V361" s="151">
        <v>2033.0510990172695</v>
      </c>
      <c r="W361" s="151">
        <v>1995.2905082424088</v>
      </c>
      <c r="X361" s="151">
        <v>1976.8646380515722</v>
      </c>
      <c r="Y361" s="151">
        <v>1959.7105632986606</v>
      </c>
      <c r="Z361" s="151">
        <v>1943.6639980205994</v>
      </c>
      <c r="AA361" s="151">
        <v>1928.5905669241299</v>
      </c>
      <c r="AB361" s="151">
        <v>1914.378958063151</v>
      </c>
      <c r="AC361" s="151">
        <v>1900.9359293072318</v>
      </c>
      <c r="AD361" s="151">
        <v>1888.1825971544522</v>
      </c>
      <c r="AE361" s="151">
        <v>1876.0516319499152</v>
      </c>
      <c r="AF361" s="151">
        <v>1864.4851061841555</v>
      </c>
      <c r="AG361" s="151">
        <v>1853.4328214827865</v>
      </c>
      <c r="AH361" s="151">
        <v>1842.8509919189421</v>
      </c>
      <c r="AI361" s="151">
        <v>1832.7011962883048</v>
      </c>
      <c r="AJ361" s="151">
        <v>1822.9495359965433</v>
      </c>
      <c r="AK361" s="151">
        <v>1813.565951961494</v>
      </c>
      <c r="AL361" s="151">
        <v>1804.523665805707</v>
      </c>
      <c r="AM361" s="151">
        <v>1795.7987191518382</v>
      </c>
      <c r="AN361" s="151">
        <v>1787.3695910527949</v>
      </c>
      <c r="AO361" s="151">
        <v>1779.2168781751075</v>
      </c>
      <c r="AP361" s="151">
        <v>1771.3230257747337</v>
      </c>
      <c r="AQ361" s="151">
        <v>1763.6721000824989</v>
      </c>
      <c r="AR361" s="149"/>
      <c r="AS361" s="149"/>
      <c r="AT361" s="149"/>
      <c r="AU361" s="149"/>
      <c r="AV361" s="149"/>
      <c r="AW361" s="149"/>
      <c r="AX361" s="149"/>
      <c r="AY361" s="149"/>
      <c r="AZ361" s="149"/>
      <c r="BA361" s="149"/>
      <c r="BB361" s="149"/>
      <c r="BC361" s="149"/>
      <c r="BD361" s="149"/>
      <c r="BE361" s="149"/>
      <c r="BF361" s="149"/>
      <c r="BG361" s="149"/>
      <c r="BH361" s="149"/>
      <c r="BI361" s="149"/>
      <c r="BJ361" s="149"/>
      <c r="BK361" s="149"/>
      <c r="BL361" s="149"/>
      <c r="BM361" s="149"/>
      <c r="BN361" s="149"/>
      <c r="BO361" s="149"/>
      <c r="BP361" s="149"/>
      <c r="BQ361" s="149"/>
      <c r="BR361" s="149"/>
      <c r="BS361" s="149"/>
      <c r="BT361" s="149"/>
      <c r="BU361" s="149"/>
      <c r="BV361" s="149"/>
      <c r="BW361" s="149"/>
      <c r="BX361" s="149"/>
      <c r="BY361" s="149"/>
      <c r="BZ361" s="149"/>
    </row>
    <row r="362" spans="7:78" ht="14.1" hidden="1" customHeight="1" x14ac:dyDescent="0.25">
      <c r="G362" s="106"/>
      <c r="H362" s="218"/>
      <c r="J362" s="210"/>
      <c r="K362" s="119" t="s">
        <v>101</v>
      </c>
      <c r="L362" s="152">
        <v>2542.8973752182878</v>
      </c>
      <c r="M362" s="152">
        <v>2340.1492510697021</v>
      </c>
      <c r="N362" s="152">
        <v>2189.2798361526911</v>
      </c>
      <c r="O362" s="152">
        <v>2066.8370546101132</v>
      </c>
      <c r="P362" s="152">
        <v>1962.3747264678675</v>
      </c>
      <c r="Q362" s="152">
        <v>1870.3205412029829</v>
      </c>
      <c r="R362" s="152">
        <v>1787.3483260146186</v>
      </c>
      <c r="S362" s="152">
        <v>1711.3126312468071</v>
      </c>
      <c r="T362" s="152">
        <v>1640.7485589358037</v>
      </c>
      <c r="U362" s="152">
        <v>1574.6112569870841</v>
      </c>
      <c r="V362" s="152">
        <v>1512.1292452573207</v>
      </c>
      <c r="W362" s="152">
        <v>1452.7166532208591</v>
      </c>
      <c r="X362" s="152">
        <v>1420.0750599924359</v>
      </c>
      <c r="Y362" s="152">
        <v>1389.6864637147432</v>
      </c>
      <c r="Z362" s="152">
        <v>1361.2598303403095</v>
      </c>
      <c r="AA362" s="152">
        <v>1334.5571128397648</v>
      </c>
      <c r="AB362" s="152">
        <v>1309.381121108735</v>
      </c>
      <c r="AC362" s="152">
        <v>1285.5666758823197</v>
      </c>
      <c r="AD362" s="152">
        <v>1262.974034333969</v>
      </c>
      <c r="AE362" s="152">
        <v>1241.4839213800876</v>
      </c>
      <c r="AF362" s="152">
        <v>1220.9937179214869</v>
      </c>
      <c r="AG362" s="152">
        <v>1201.4144970906448</v>
      </c>
      <c r="AH362" s="152">
        <v>1182.6686917279608</v>
      </c>
      <c r="AI362" s="152">
        <v>1164.6882383276288</v>
      </c>
      <c r="AJ362" s="152">
        <v>1147.4130852277367</v>
      </c>
      <c r="AK362" s="152">
        <v>1130.7899824963865</v>
      </c>
      <c r="AL362" s="152">
        <v>1114.7714919993134</v>
      </c>
      <c r="AM362" s="152">
        <v>1099.3151712575718</v>
      </c>
      <c r="AN362" s="152">
        <v>1084.3828957216208</v>
      </c>
      <c r="AO362" s="152">
        <v>1069.9402922133233</v>
      </c>
      <c r="AP362" s="152">
        <v>1055.956262347187</v>
      </c>
      <c r="AQ362" s="152">
        <v>1042.4025793091387</v>
      </c>
      <c r="AR362" s="149"/>
      <c r="AS362" s="149"/>
      <c r="AT362" s="149"/>
      <c r="AU362" s="149"/>
      <c r="AV362" s="149"/>
      <c r="AW362" s="149"/>
      <c r="AX362" s="149"/>
      <c r="AY362" s="149"/>
      <c r="AZ362" s="149"/>
      <c r="BA362" s="149"/>
      <c r="BB362" s="149"/>
      <c r="BC362" s="149"/>
      <c r="BD362" s="149"/>
      <c r="BE362" s="149"/>
      <c r="BF362" s="149"/>
      <c r="BG362" s="149"/>
      <c r="BH362" s="149"/>
      <c r="BI362" s="149"/>
      <c r="BJ362" s="149"/>
      <c r="BK362" s="149"/>
      <c r="BL362" s="149"/>
      <c r="BM362" s="149"/>
      <c r="BN362" s="149"/>
      <c r="BO362" s="149"/>
      <c r="BP362" s="149"/>
      <c r="BQ362" s="149"/>
      <c r="BR362" s="149"/>
      <c r="BS362" s="149"/>
      <c r="BT362" s="149"/>
      <c r="BU362" s="149"/>
      <c r="BV362" s="149"/>
      <c r="BW362" s="149"/>
      <c r="BX362" s="149"/>
      <c r="BY362" s="149"/>
      <c r="BZ362" s="149"/>
    </row>
    <row r="363" spans="7:78" ht="14.1" hidden="1" customHeight="1" x14ac:dyDescent="0.25">
      <c r="G363" s="106"/>
      <c r="H363" s="218"/>
      <c r="J363" s="210"/>
      <c r="K363" s="7" t="s">
        <v>102</v>
      </c>
      <c r="L363" s="150">
        <v>2639.0236691645</v>
      </c>
      <c r="M363" s="150">
        <v>2456.6290172490244</v>
      </c>
      <c r="N363" s="150">
        <v>2320.3234010847418</v>
      </c>
      <c r="O363" s="150">
        <v>2209.2720007883336</v>
      </c>
      <c r="P363" s="150">
        <v>2114.1944319897534</v>
      </c>
      <c r="Q363" s="150">
        <v>2030.1402550440403</v>
      </c>
      <c r="R363" s="150">
        <v>1954.1544986459473</v>
      </c>
      <c r="S363" s="150">
        <v>1884.3311457152415</v>
      </c>
      <c r="T363" s="150">
        <v>1819.3687811700154</v>
      </c>
      <c r="U363" s="150">
        <v>1758.3391586014423</v>
      </c>
      <c r="V363" s="150">
        <v>1700.5568951919226</v>
      </c>
      <c r="W363" s="150">
        <v>1645.5015036740679</v>
      </c>
      <c r="X363" s="150">
        <v>1616.5027182462095</v>
      </c>
      <c r="Y363" s="150">
        <v>1589.5054948955037</v>
      </c>
      <c r="Z363" s="150">
        <v>1564.2512790276398</v>
      </c>
      <c r="AA363" s="150">
        <v>1540.528589705455</v>
      </c>
      <c r="AB363" s="150">
        <v>1518.162243276447</v>
      </c>
      <c r="AC363" s="150">
        <v>1497.0054945120223</v>
      </c>
      <c r="AD363" s="150">
        <v>1476.9341959107442</v>
      </c>
      <c r="AE363" s="150">
        <v>1457.8423835102572</v>
      </c>
      <c r="AF363" s="150">
        <v>1439.6388905216943</v>
      </c>
      <c r="AG363" s="150">
        <v>1422.2447143322847</v>
      </c>
      <c r="AH363" s="150">
        <v>1405.5909442916877</v>
      </c>
      <c r="AI363" s="150">
        <v>1389.6171127938483</v>
      </c>
      <c r="AJ363" s="150">
        <v>1374.2698699533564</v>
      </c>
      <c r="AK363" s="150">
        <v>1359.5019085404949</v>
      </c>
      <c r="AL363" s="150">
        <v>1345.2710845254976</v>
      </c>
      <c r="AM363" s="150">
        <v>1331.5396920178664</v>
      </c>
      <c r="AN363" s="150">
        <v>1318.2738611747918</v>
      </c>
      <c r="AO363" s="150">
        <v>1305.4430548711323</v>
      </c>
      <c r="AP363" s="150">
        <v>1293.0196453069282</v>
      </c>
      <c r="AQ363" s="150">
        <v>1280.9785557857424</v>
      </c>
      <c r="AR363" s="149"/>
      <c r="AS363" s="149"/>
      <c r="AT363" s="149"/>
      <c r="AU363" s="149"/>
      <c r="AV363" s="149"/>
      <c r="AW363" s="149"/>
      <c r="AX363" s="149"/>
      <c r="AY363" s="149"/>
      <c r="AZ363" s="149"/>
      <c r="BA363" s="149"/>
      <c r="BB363" s="149"/>
      <c r="BC363" s="149"/>
      <c r="BD363" s="149"/>
      <c r="BE363" s="149"/>
      <c r="BF363" s="149"/>
      <c r="BG363" s="149"/>
      <c r="BH363" s="149"/>
      <c r="BI363" s="149"/>
      <c r="BJ363" s="149"/>
      <c r="BK363" s="149"/>
      <c r="BL363" s="149"/>
      <c r="BM363" s="149"/>
      <c r="BN363" s="149"/>
      <c r="BO363" s="149"/>
      <c r="BP363" s="149"/>
      <c r="BQ363" s="149"/>
      <c r="BR363" s="149"/>
      <c r="BS363" s="149"/>
      <c r="BT363" s="149"/>
      <c r="BU363" s="149"/>
      <c r="BV363" s="149"/>
      <c r="BW363" s="149"/>
      <c r="BX363" s="149"/>
      <c r="BY363" s="149"/>
      <c r="BZ363" s="149"/>
    </row>
    <row r="364" spans="7:78" ht="14.1" hidden="1" customHeight="1" x14ac:dyDescent="0.25">
      <c r="G364" s="106"/>
      <c r="H364" s="218"/>
      <c r="J364" s="210"/>
      <c r="K364" s="121" t="s">
        <v>103</v>
      </c>
      <c r="L364" s="151">
        <v>2795.3451677739449</v>
      </c>
      <c r="M364" s="151">
        <v>2670.5004397601447</v>
      </c>
      <c r="N364" s="151">
        <v>2576.4639774350444</v>
      </c>
      <c r="O364" s="151">
        <v>2499.3087229620023</v>
      </c>
      <c r="P364" s="151">
        <v>2432.8311933931768</v>
      </c>
      <c r="Q364" s="151">
        <v>2373.7222620052039</v>
      </c>
      <c r="R364" s="151">
        <v>2320.0066750399992</v>
      </c>
      <c r="S364" s="151">
        <v>2270.4103533232314</v>
      </c>
      <c r="T364" s="151">
        <v>2224.0633645388843</v>
      </c>
      <c r="U364" s="151">
        <v>2180.3452213731707</v>
      </c>
      <c r="V364" s="151">
        <v>2138.7977789419815</v>
      </c>
      <c r="W364" s="151">
        <v>2099.0731169697137</v>
      </c>
      <c r="X364" s="151">
        <v>2079.688847554014</v>
      </c>
      <c r="Y364" s="151">
        <v>2061.6425244689394</v>
      </c>
      <c r="Z364" s="151">
        <v>2044.7613166168817</v>
      </c>
      <c r="AA364" s="151">
        <v>2028.903859337157</v>
      </c>
      <c r="AB364" s="151">
        <v>2013.9530509281865</v>
      </c>
      <c r="AC364" s="151">
        <v>1999.8107993835445</v>
      </c>
      <c r="AD364" s="151">
        <v>1986.3941181719117</v>
      </c>
      <c r="AE364" s="151">
        <v>1973.6321755682911</v>
      </c>
      <c r="AF364" s="151">
        <v>1961.4640310342752</v>
      </c>
      <c r="AG364" s="151">
        <v>1949.8368751880946</v>
      </c>
      <c r="AH364" s="151">
        <v>1938.7046446311583</v>
      </c>
      <c r="AI364" s="151">
        <v>1928.0269197269413</v>
      </c>
      <c r="AJ364" s="151">
        <v>1917.7680386869627</v>
      </c>
      <c r="AK364" s="151">
        <v>1907.8963789424633</v>
      </c>
      <c r="AL364" s="151">
        <v>1898.3837692712634</v>
      </c>
      <c r="AM364" s="151">
        <v>1889.2050051301646</v>
      </c>
      <c r="AN364" s="151">
        <v>1880.3374461861883</v>
      </c>
      <c r="AO364" s="151">
        <v>1871.760679865077</v>
      </c>
      <c r="AP364" s="151">
        <v>1863.4562383341306</v>
      </c>
      <c r="AQ364" s="151">
        <v>1855.4073590485525</v>
      </c>
      <c r="AR364" s="149"/>
      <c r="AS364" s="149"/>
      <c r="AT364" s="149"/>
      <c r="AU364" s="149"/>
      <c r="AV364" s="149"/>
      <c r="AW364" s="149"/>
      <c r="AX364" s="149"/>
      <c r="AY364" s="149"/>
      <c r="AZ364" s="149"/>
      <c r="BA364" s="149"/>
      <c r="BB364" s="149"/>
      <c r="BC364" s="149"/>
      <c r="BD364" s="149"/>
      <c r="BE364" s="149"/>
      <c r="BF364" s="149"/>
      <c r="BG364" s="149"/>
      <c r="BH364" s="149"/>
      <c r="BI364" s="149"/>
      <c r="BJ364" s="149"/>
      <c r="BK364" s="149"/>
      <c r="BL364" s="149"/>
      <c r="BM364" s="149"/>
      <c r="BN364" s="149"/>
      <c r="BO364" s="149"/>
      <c r="BP364" s="149"/>
      <c r="BQ364" s="149"/>
      <c r="BR364" s="149"/>
      <c r="BS364" s="149"/>
      <c r="BT364" s="149"/>
      <c r="BU364" s="149"/>
      <c r="BV364" s="149"/>
      <c r="BW364" s="149"/>
      <c r="BX364" s="149"/>
      <c r="BY364" s="149"/>
      <c r="BZ364" s="149"/>
    </row>
    <row r="365" spans="7:78" ht="14.1" hidden="1" customHeight="1" x14ac:dyDescent="0.25">
      <c r="G365" s="106"/>
      <c r="H365" s="218"/>
      <c r="J365" s="210"/>
      <c r="K365" s="119" t="s">
        <v>104</v>
      </c>
      <c r="L365" s="152">
        <v>2655.2684090885914</v>
      </c>
      <c r="M365" s="152">
        <v>2443.5608135323619</v>
      </c>
      <c r="N365" s="152">
        <v>2286.0244555059467</v>
      </c>
      <c r="O365" s="152">
        <v>2158.1709082415655</v>
      </c>
      <c r="P365" s="152">
        <v>2049.0923734335533</v>
      </c>
      <c r="Q365" s="152">
        <v>1952.9702992828986</v>
      </c>
      <c r="R365" s="152">
        <v>1866.3315288909744</v>
      </c>
      <c r="S365" s="152">
        <v>1786.9358048449965</v>
      </c>
      <c r="T365" s="152">
        <v>1713.2534951104301</v>
      </c>
      <c r="U365" s="152">
        <v>1644.193575414806</v>
      </c>
      <c r="V365" s="152">
        <v>1578.9504737862542</v>
      </c>
      <c r="W365" s="152">
        <v>1516.9124299886976</v>
      </c>
      <c r="X365" s="152">
        <v>1482.8283996355997</v>
      </c>
      <c r="Y365" s="152">
        <v>1451.0969265218732</v>
      </c>
      <c r="Z365" s="152">
        <v>1421.4141157598394</v>
      </c>
      <c r="AA365" s="152">
        <v>1393.5314009845617</v>
      </c>
      <c r="AB365" s="152">
        <v>1367.2428782300246</v>
      </c>
      <c r="AC365" s="152">
        <v>1342.3760689337025</v>
      </c>
      <c r="AD365" s="152">
        <v>1318.7850550116216</v>
      </c>
      <c r="AE365" s="152">
        <v>1296.3452905955335</v>
      </c>
      <c r="AF365" s="152">
        <v>1274.9496218321608</v>
      </c>
      <c r="AG365" s="152">
        <v>1254.5051921617573</v>
      </c>
      <c r="AH365" s="152">
        <v>1234.9310067197728</v>
      </c>
      <c r="AI365" s="152">
        <v>1216.155994263404</v>
      </c>
      <c r="AJ365" s="152">
        <v>1198.1174494383795</v>
      </c>
      <c r="AK365" s="152">
        <v>1180.7597691899584</v>
      </c>
      <c r="AL365" s="152">
        <v>1164.0334190852816</v>
      </c>
      <c r="AM365" s="152">
        <v>1147.8940811056025</v>
      </c>
      <c r="AN365" s="152">
        <v>1132.3019459715554</v>
      </c>
      <c r="AO365" s="152">
        <v>1117.2211215488701</v>
      </c>
      <c r="AP365" s="152">
        <v>1102.6191352095213</v>
      </c>
      <c r="AQ365" s="152">
        <v>1088.4665127920946</v>
      </c>
      <c r="AR365" s="149"/>
      <c r="AS365" s="149"/>
      <c r="AT365" s="149"/>
      <c r="AU365" s="149"/>
      <c r="AV365" s="149"/>
      <c r="AW365" s="149"/>
      <c r="AX365" s="149"/>
      <c r="AY365" s="149"/>
      <c r="AZ365" s="149"/>
      <c r="BA365" s="149"/>
      <c r="BB365" s="149"/>
      <c r="BC365" s="149"/>
      <c r="BD365" s="149"/>
      <c r="BE365" s="149"/>
      <c r="BF365" s="149"/>
      <c r="BG365" s="149"/>
      <c r="BH365" s="149"/>
      <c r="BI365" s="149"/>
      <c r="BJ365" s="149"/>
      <c r="BK365" s="149"/>
      <c r="BL365" s="149"/>
      <c r="BM365" s="149"/>
      <c r="BN365" s="149"/>
      <c r="BO365" s="149"/>
      <c r="BP365" s="149"/>
      <c r="BQ365" s="149"/>
      <c r="BR365" s="149"/>
      <c r="BS365" s="149"/>
      <c r="BT365" s="149"/>
      <c r="BU365" s="149"/>
      <c r="BV365" s="149"/>
      <c r="BW365" s="149"/>
      <c r="BX365" s="149"/>
      <c r="BY365" s="149"/>
      <c r="BZ365" s="149"/>
    </row>
    <row r="366" spans="7:78" ht="14.1" hidden="1" customHeight="1" x14ac:dyDescent="0.25">
      <c r="G366" s="106"/>
      <c r="H366" s="218"/>
      <c r="J366" s="210"/>
      <c r="K366" s="7" t="s">
        <v>105</v>
      </c>
      <c r="L366" s="150">
        <v>2755.6425390419208</v>
      </c>
      <c r="M366" s="150">
        <v>2565.1878388492723</v>
      </c>
      <c r="N366" s="150">
        <v>2422.8588561268348</v>
      </c>
      <c r="O366" s="150">
        <v>2306.9000770326561</v>
      </c>
      <c r="P366" s="150">
        <v>2207.6210155557278</v>
      </c>
      <c r="Q366" s="150">
        <v>2119.8524713466886</v>
      </c>
      <c r="R366" s="150">
        <v>2040.5088924548204</v>
      </c>
      <c r="S366" s="150">
        <v>1967.6000346061503</v>
      </c>
      <c r="T366" s="150">
        <v>1899.7669729821716</v>
      </c>
      <c r="U366" s="150">
        <v>1836.040441819654</v>
      </c>
      <c r="V366" s="150">
        <v>1775.7047711267846</v>
      </c>
      <c r="W366" s="150">
        <v>1718.2164732221886</v>
      </c>
      <c r="X366" s="150">
        <v>1687.9362269177457</v>
      </c>
      <c r="Y366" s="150">
        <v>1659.7459920325946</v>
      </c>
      <c r="Z366" s="150">
        <v>1633.3757884043468</v>
      </c>
      <c r="AA366" s="150">
        <v>1608.6047897200554</v>
      </c>
      <c r="AB366" s="150">
        <v>1585.2500709341359</v>
      </c>
      <c r="AC366" s="150">
        <v>1563.1584021233255</v>
      </c>
      <c r="AD366" s="150">
        <v>1542.2001496886267</v>
      </c>
      <c r="AE366" s="150">
        <v>1522.2646671035668</v>
      </c>
      <c r="AF366" s="150">
        <v>1503.2567589045786</v>
      </c>
      <c r="AG366" s="150">
        <v>1485.093931341042</v>
      </c>
      <c r="AH366" s="150">
        <v>1467.704228590168</v>
      </c>
      <c r="AI366" s="150">
        <v>1451.0245109729062</v>
      </c>
      <c r="AJ366" s="150">
        <v>1434.999071064042</v>
      </c>
      <c r="AK366" s="150">
        <v>1419.5785111199568</v>
      </c>
      <c r="AL366" s="150">
        <v>1404.7188247595989</v>
      </c>
      <c r="AM366" s="150">
        <v>1390.3806398632541</v>
      </c>
      <c r="AN366" s="150">
        <v>1376.5285898744476</v>
      </c>
      <c r="AO366" s="150">
        <v>1363.1307882276874</v>
      </c>
      <c r="AP366" s="150">
        <v>1350.1583862462001</v>
      </c>
      <c r="AQ366" s="150">
        <v>1337.5851990904</v>
      </c>
      <c r="AR366" s="149"/>
      <c r="AS366" s="149"/>
      <c r="AT366" s="149"/>
      <c r="AU366" s="149"/>
      <c r="AV366" s="149"/>
      <c r="AW366" s="149"/>
      <c r="AX366" s="149"/>
      <c r="AY366" s="149"/>
      <c r="AZ366" s="149"/>
      <c r="BA366" s="149"/>
      <c r="BB366" s="149"/>
      <c r="BC366" s="149"/>
      <c r="BD366" s="149"/>
      <c r="BE366" s="149"/>
      <c r="BF366" s="149"/>
      <c r="BG366" s="149"/>
      <c r="BH366" s="149"/>
      <c r="BI366" s="149"/>
      <c r="BJ366" s="149"/>
      <c r="BK366" s="149"/>
      <c r="BL366" s="149"/>
      <c r="BM366" s="149"/>
      <c r="BN366" s="149"/>
      <c r="BO366" s="149"/>
      <c r="BP366" s="149"/>
      <c r="BQ366" s="149"/>
      <c r="BR366" s="149"/>
      <c r="BS366" s="149"/>
      <c r="BT366" s="149"/>
      <c r="BU366" s="149"/>
      <c r="BV366" s="149"/>
      <c r="BW366" s="149"/>
      <c r="BX366" s="149"/>
      <c r="BY366" s="149"/>
      <c r="BZ366" s="149"/>
    </row>
    <row r="367" spans="7:78" ht="14.1" hidden="1" customHeight="1" x14ac:dyDescent="0.25">
      <c r="G367" s="106"/>
      <c r="H367" s="218"/>
      <c r="J367" s="210"/>
      <c r="K367" s="121" t="s">
        <v>106</v>
      </c>
      <c r="L367" s="151">
        <v>2918.8719091943103</v>
      </c>
      <c r="M367" s="151">
        <v>2788.5102730673921</v>
      </c>
      <c r="N367" s="151">
        <v>2690.3183247223064</v>
      </c>
      <c r="O367" s="151">
        <v>2609.7535674521182</v>
      </c>
      <c r="P367" s="151">
        <v>2540.3383854244903</v>
      </c>
      <c r="Q367" s="151">
        <v>2478.6174210871086</v>
      </c>
      <c r="R367" s="151">
        <v>2422.5281339084959</v>
      </c>
      <c r="S367" s="151">
        <v>2370.7401429557654</v>
      </c>
      <c r="T367" s="151">
        <v>2322.3450734674038</v>
      </c>
      <c r="U367" s="151">
        <v>2276.6950186979043</v>
      </c>
      <c r="V367" s="151">
        <v>2233.3115882688671</v>
      </c>
      <c r="W367" s="151">
        <v>2191.8314872531382</v>
      </c>
      <c r="X367" s="151">
        <v>2171.5906239314913</v>
      </c>
      <c r="Y367" s="151">
        <v>2152.7468309986789</v>
      </c>
      <c r="Z367" s="151">
        <v>2135.1196399237815</v>
      </c>
      <c r="AA367" s="151">
        <v>2118.5614391195868</v>
      </c>
      <c r="AB367" s="151">
        <v>2102.9499521419543</v>
      </c>
      <c r="AC367" s="151">
        <v>2088.1827522833096</v>
      </c>
      <c r="AD367" s="151">
        <v>2074.1731858244966</v>
      </c>
      <c r="AE367" s="151">
        <v>2060.8472909754819</v>
      </c>
      <c r="AF367" s="151">
        <v>2048.1414342259054</v>
      </c>
      <c r="AG367" s="151">
        <v>2036.0004725391357</v>
      </c>
      <c r="AH367" s="151">
        <v>2024.3763069677721</v>
      </c>
      <c r="AI367" s="151">
        <v>2013.2267317252115</v>
      </c>
      <c r="AJ367" s="151">
        <v>2002.5145091229467</v>
      </c>
      <c r="AK367" s="151">
        <v>1992.2066191859451</v>
      </c>
      <c r="AL367" s="151">
        <v>1982.2736458012996</v>
      </c>
      <c r="AM367" s="151">
        <v>1972.689270633095</v>
      </c>
      <c r="AN367" s="151">
        <v>1963.4298528684872</v>
      </c>
      <c r="AO367" s="151">
        <v>1954.4740778983601</v>
      </c>
      <c r="AP367" s="151">
        <v>1945.80266179359</v>
      </c>
      <c r="AQ367" s="151">
        <v>1937.3981012698966</v>
      </c>
      <c r="AR367" s="149"/>
      <c r="AS367" s="149"/>
      <c r="AT367" s="149"/>
      <c r="AU367" s="149"/>
      <c r="AV367" s="149"/>
      <c r="AW367" s="149"/>
      <c r="AX367" s="149"/>
      <c r="AY367" s="149"/>
      <c r="AZ367" s="149"/>
      <c r="BA367" s="149"/>
      <c r="BB367" s="149"/>
      <c r="BC367" s="149"/>
      <c r="BD367" s="149"/>
      <c r="BE367" s="149"/>
      <c r="BF367" s="149"/>
      <c r="BG367" s="149"/>
      <c r="BH367" s="149"/>
      <c r="BI367" s="149"/>
      <c r="BJ367" s="149"/>
      <c r="BK367" s="149"/>
      <c r="BL367" s="149"/>
      <c r="BM367" s="149"/>
      <c r="BN367" s="149"/>
      <c r="BO367" s="149"/>
      <c r="BP367" s="149"/>
      <c r="BQ367" s="149"/>
      <c r="BR367" s="149"/>
      <c r="BS367" s="149"/>
      <c r="BT367" s="149"/>
      <c r="BU367" s="149"/>
      <c r="BV367" s="149"/>
      <c r="BW367" s="149"/>
      <c r="BX367" s="149"/>
      <c r="BY367" s="149"/>
      <c r="BZ367" s="149"/>
    </row>
    <row r="368" spans="7:78" ht="14.1" hidden="1" customHeight="1" x14ac:dyDescent="0.25">
      <c r="G368" s="106"/>
      <c r="H368" s="218"/>
      <c r="J368" s="210"/>
      <c r="K368" s="119" t="s">
        <v>107</v>
      </c>
      <c r="L368" s="152">
        <v>2702.1247924906847</v>
      </c>
      <c r="M368" s="152">
        <v>2486.6812837467096</v>
      </c>
      <c r="N368" s="152">
        <v>2326.3649491400779</v>
      </c>
      <c r="O368" s="152">
        <v>2196.2552251330999</v>
      </c>
      <c r="P368" s="152">
        <v>2085.2518281791708</v>
      </c>
      <c r="Q368" s="152">
        <v>1987.4335289898759</v>
      </c>
      <c r="R368" s="152">
        <v>1899.2658813556079</v>
      </c>
      <c r="S368" s="152">
        <v>1818.4690950013332</v>
      </c>
      <c r="T368" s="152">
        <v>1743.4865451316989</v>
      </c>
      <c r="U368" s="152">
        <v>1673.2079546365803</v>
      </c>
      <c r="V368" s="152">
        <v>1606.8135359608386</v>
      </c>
      <c r="W368" s="152">
        <v>1543.6807333977483</v>
      </c>
      <c r="X368" s="152">
        <v>1508.9952367715434</v>
      </c>
      <c r="Y368" s="152">
        <v>1476.7038119538611</v>
      </c>
      <c r="Z368" s="152">
        <v>1446.4972013542072</v>
      </c>
      <c r="AA368" s="152">
        <v>1418.122452263555</v>
      </c>
      <c r="AB368" s="152">
        <v>1391.3700272168635</v>
      </c>
      <c r="AC368" s="152">
        <v>1366.0644039963495</v>
      </c>
      <c r="AD368" s="152">
        <v>1342.0570895641606</v>
      </c>
      <c r="AE368" s="152">
        <v>1319.2213402444997</v>
      </c>
      <c r="AF368" s="152">
        <v>1297.4481112859735</v>
      </c>
      <c r="AG368" s="152">
        <v>1276.6429075289298</v>
      </c>
      <c r="AH368" s="152">
        <v>1256.723304827163</v>
      </c>
      <c r="AI368" s="152">
        <v>1237.6169777741143</v>
      </c>
      <c r="AJ368" s="152">
        <v>1219.2601144810039</v>
      </c>
      <c r="AK368" s="152">
        <v>1201.5961306898198</v>
      </c>
      <c r="AL368" s="152">
        <v>1184.5746178547993</v>
      </c>
      <c r="AM368" s="152">
        <v>1168.1504758961159</v>
      </c>
      <c r="AN368" s="152">
        <v>1152.2831930371167</v>
      </c>
      <c r="AO368" s="152">
        <v>1136.9362437704231</v>
      </c>
      <c r="AP368" s="152">
        <v>1122.0765824374628</v>
      </c>
      <c r="AQ368" s="152">
        <v>1107.6742147589296</v>
      </c>
      <c r="AR368" s="149"/>
      <c r="AS368" s="149"/>
      <c r="AT368" s="149"/>
      <c r="AU368" s="149"/>
      <c r="AV368" s="149"/>
      <c r="AW368" s="149"/>
      <c r="AX368" s="149"/>
      <c r="AY368" s="149"/>
      <c r="AZ368" s="149"/>
      <c r="BA368" s="149"/>
      <c r="BB368" s="149"/>
      <c r="BC368" s="149"/>
      <c r="BD368" s="149"/>
      <c r="BE368" s="149"/>
      <c r="BF368" s="149"/>
      <c r="BG368" s="149"/>
      <c r="BH368" s="149"/>
      <c r="BI368" s="149"/>
      <c r="BJ368" s="149"/>
      <c r="BK368" s="149"/>
      <c r="BL368" s="149"/>
      <c r="BM368" s="149"/>
      <c r="BN368" s="149"/>
      <c r="BO368" s="149"/>
      <c r="BP368" s="149"/>
      <c r="BQ368" s="149"/>
      <c r="BR368" s="149"/>
      <c r="BS368" s="149"/>
      <c r="BT368" s="149"/>
      <c r="BU368" s="149"/>
      <c r="BV368" s="149"/>
      <c r="BW368" s="149"/>
      <c r="BX368" s="149"/>
      <c r="BY368" s="149"/>
      <c r="BZ368" s="149"/>
    </row>
    <row r="369" spans="7:78" ht="14.1" hidden="1" customHeight="1" x14ac:dyDescent="0.25">
      <c r="G369" s="106"/>
      <c r="H369" s="218"/>
      <c r="J369" s="210"/>
      <c r="K369" s="7" t="s">
        <v>108</v>
      </c>
      <c r="L369" s="150">
        <v>2804.2701816887088</v>
      </c>
      <c r="M369" s="150">
        <v>2610.4546090424838</v>
      </c>
      <c r="N369" s="150">
        <v>2465.6140077729929</v>
      </c>
      <c r="O369" s="150">
        <v>2347.6089538112801</v>
      </c>
      <c r="P369" s="150">
        <v>2246.5779572936453</v>
      </c>
      <c r="Q369" s="150">
        <v>2157.260599208003</v>
      </c>
      <c r="R369" s="150">
        <v>2076.5168781910197</v>
      </c>
      <c r="S369" s="150">
        <v>2002.3214289811629</v>
      </c>
      <c r="T369" s="150">
        <v>1933.2913463961727</v>
      </c>
      <c r="U369" s="150">
        <v>1868.4402604553825</v>
      </c>
      <c r="V369" s="150">
        <v>1807.039872045415</v>
      </c>
      <c r="W369" s="150">
        <v>1748.5371027907547</v>
      </c>
      <c r="X369" s="150">
        <v>1717.7225139597731</v>
      </c>
      <c r="Y369" s="150">
        <v>1689.0348180836907</v>
      </c>
      <c r="Z369" s="150">
        <v>1662.1992707759239</v>
      </c>
      <c r="AA369" s="150">
        <v>1636.9911488962405</v>
      </c>
      <c r="AB369" s="150">
        <v>1613.2242993991899</v>
      </c>
      <c r="AC369" s="150">
        <v>1590.7427883787377</v>
      </c>
      <c r="AD369" s="150">
        <v>1569.4146946473336</v>
      </c>
      <c r="AE369" s="150">
        <v>1549.1274191466821</v>
      </c>
      <c r="AF369" s="150">
        <v>1529.7840865396774</v>
      </c>
      <c r="AG369" s="150">
        <v>1511.300747343844</v>
      </c>
      <c r="AH369" s="150">
        <v>1493.6041759628329</v>
      </c>
      <c r="AI369" s="150">
        <v>1476.6301185187433</v>
      </c>
      <c r="AJ369" s="150">
        <v>1460.3218845413069</v>
      </c>
      <c r="AK369" s="150">
        <v>1444.6292045860989</v>
      </c>
      <c r="AL369" s="150">
        <v>1429.507295710325</v>
      </c>
      <c r="AM369" s="150">
        <v>1414.9160910113519</v>
      </c>
      <c r="AN369" s="150">
        <v>1400.8195998342426</v>
      </c>
      <c r="AO369" s="150">
        <v>1387.1853729249524</v>
      </c>
      <c r="AP369" s="150">
        <v>1373.9840525264758</v>
      </c>
      <c r="AQ369" s="150">
        <v>1361.1889917265869</v>
      </c>
      <c r="AR369" s="149"/>
      <c r="AS369" s="149"/>
      <c r="AT369" s="149"/>
      <c r="AU369" s="149"/>
      <c r="AV369" s="149"/>
      <c r="AW369" s="149"/>
      <c r="AX369" s="149"/>
      <c r="AY369" s="149"/>
      <c r="AZ369" s="149"/>
      <c r="BA369" s="149"/>
      <c r="BB369" s="149"/>
      <c r="BC369" s="149"/>
      <c r="BD369" s="149"/>
      <c r="BE369" s="149"/>
      <c r="BF369" s="149"/>
      <c r="BG369" s="149"/>
      <c r="BH369" s="149"/>
      <c r="BI369" s="149"/>
      <c r="BJ369" s="149"/>
      <c r="BK369" s="149"/>
      <c r="BL369" s="149"/>
      <c r="BM369" s="149"/>
      <c r="BN369" s="149"/>
      <c r="BO369" s="149"/>
      <c r="BP369" s="149"/>
      <c r="BQ369" s="149"/>
      <c r="BR369" s="149"/>
      <c r="BS369" s="149"/>
      <c r="BT369" s="149"/>
      <c r="BU369" s="149"/>
      <c r="BV369" s="149"/>
      <c r="BW369" s="149"/>
      <c r="BX369" s="149"/>
      <c r="BY369" s="149"/>
      <c r="BZ369" s="149"/>
    </row>
    <row r="370" spans="7:78" ht="14.1" hidden="1" customHeight="1" x14ac:dyDescent="0.25">
      <c r="G370" s="106"/>
      <c r="H370" s="218"/>
      <c r="J370" s="210"/>
      <c r="K370" s="121" t="s">
        <v>109</v>
      </c>
      <c r="L370" s="151">
        <v>2970.379990565923</v>
      </c>
      <c r="M370" s="151">
        <v>2837.7179185273735</v>
      </c>
      <c r="N370" s="151">
        <v>2737.7932189610151</v>
      </c>
      <c r="O370" s="151">
        <v>2655.8067699543426</v>
      </c>
      <c r="P370" s="151">
        <v>2585.1666479651353</v>
      </c>
      <c r="Q370" s="151">
        <v>2522.3565202275336</v>
      </c>
      <c r="R370" s="151">
        <v>2465.2774494414348</v>
      </c>
      <c r="S370" s="151">
        <v>2412.5755780119134</v>
      </c>
      <c r="T370" s="151">
        <v>2363.3265014774261</v>
      </c>
      <c r="U370" s="151">
        <v>2316.8708797598606</v>
      </c>
      <c r="V370" s="151">
        <v>2272.7218805308771</v>
      </c>
      <c r="W370" s="151">
        <v>2230.5097979534735</v>
      </c>
      <c r="X370" s="151">
        <v>2209.9117527932813</v>
      </c>
      <c r="Y370" s="151">
        <v>2190.7354315242046</v>
      </c>
      <c r="Z370" s="151">
        <v>2172.7971809645187</v>
      </c>
      <c r="AA370" s="151">
        <v>2155.9467846886059</v>
      </c>
      <c r="AB370" s="151">
        <v>2140.0598084923336</v>
      </c>
      <c r="AC370" s="151">
        <v>2125.0320181879229</v>
      </c>
      <c r="AD370" s="151">
        <v>2110.7752309151824</v>
      </c>
      <c r="AE370" s="151">
        <v>2097.2141797120735</v>
      </c>
      <c r="AF370" s="151">
        <v>2084.2841081549577</v>
      </c>
      <c r="AG370" s="151">
        <v>2071.9289001216721</v>
      </c>
      <c r="AH370" s="151">
        <v>2060.0996078833105</v>
      </c>
      <c r="AI370" s="151">
        <v>2048.7532808658457</v>
      </c>
      <c r="AJ370" s="151">
        <v>2037.852024263243</v>
      </c>
      <c r="AK370" s="151">
        <v>2027.3622354111258</v>
      </c>
      <c r="AL370" s="151">
        <v>2017.2539791030513</v>
      </c>
      <c r="AM370" s="151">
        <v>2007.5004725747121</v>
      </c>
      <c r="AN370" s="151">
        <v>1998.0776578339744</v>
      </c>
      <c r="AO370" s="151">
        <v>1988.9638441419513</v>
      </c>
      <c r="AP370" s="151">
        <v>1980.1394072742883</v>
      </c>
      <c r="AQ370" s="151">
        <v>1971.5865350737504</v>
      </c>
      <c r="AR370" s="149"/>
      <c r="AS370" s="149"/>
      <c r="AT370" s="149"/>
      <c r="AU370" s="149"/>
      <c r="AV370" s="149"/>
      <c r="AW370" s="149"/>
      <c r="AX370" s="149"/>
      <c r="AY370" s="149"/>
      <c r="AZ370" s="149"/>
      <c r="BA370" s="149"/>
      <c r="BB370" s="149"/>
      <c r="BC370" s="149"/>
      <c r="BD370" s="149"/>
      <c r="BE370" s="149"/>
      <c r="BF370" s="149"/>
      <c r="BG370" s="149"/>
      <c r="BH370" s="149"/>
      <c r="BI370" s="149"/>
      <c r="BJ370" s="149"/>
      <c r="BK370" s="149"/>
      <c r="BL370" s="149"/>
      <c r="BM370" s="149"/>
      <c r="BN370" s="149"/>
      <c r="BO370" s="149"/>
      <c r="BP370" s="149"/>
      <c r="BQ370" s="149"/>
      <c r="BR370" s="149"/>
      <c r="BS370" s="149"/>
      <c r="BT370" s="149"/>
      <c r="BU370" s="149"/>
      <c r="BV370" s="149"/>
      <c r="BW370" s="149"/>
      <c r="BX370" s="149"/>
      <c r="BY370" s="149"/>
      <c r="BZ370" s="149"/>
    </row>
    <row r="371" spans="7:78" ht="14.1" hidden="1" customHeight="1" x14ac:dyDescent="0.25">
      <c r="G371" s="106"/>
      <c r="H371" s="218"/>
      <c r="J371" s="210"/>
      <c r="K371" s="119" t="s">
        <v>110</v>
      </c>
      <c r="L371" s="152">
        <v>2727.140045572462</v>
      </c>
      <c r="M371" s="152">
        <v>2509.7020420105441</v>
      </c>
      <c r="N371" s="152">
        <v>2347.9015591904504</v>
      </c>
      <c r="O371" s="152">
        <v>2216.5873283881238</v>
      </c>
      <c r="P371" s="152">
        <v>2104.556303814828</v>
      </c>
      <c r="Q371" s="152">
        <v>2005.8324396727041</v>
      </c>
      <c r="R371" s="152">
        <v>1916.8485691810295</v>
      </c>
      <c r="S371" s="152">
        <v>1835.3037966255017</v>
      </c>
      <c r="T371" s="152">
        <v>1759.627086564999</v>
      </c>
      <c r="U371" s="152">
        <v>1688.6978833622989</v>
      </c>
      <c r="V371" s="152">
        <v>1621.6888101779989</v>
      </c>
      <c r="W371" s="152">
        <v>1557.9715479192398</v>
      </c>
      <c r="X371" s="152">
        <v>1522.9649460358751</v>
      </c>
      <c r="Y371" s="152">
        <v>1490.3745793756727</v>
      </c>
      <c r="Z371" s="152">
        <v>1459.8883273579049</v>
      </c>
      <c r="AA371" s="152">
        <v>1431.2508955326853</v>
      </c>
      <c r="AB371" s="152">
        <v>1404.2508066160813</v>
      </c>
      <c r="AC371" s="152">
        <v>1378.7109134717605</v>
      </c>
      <c r="AD371" s="152">
        <v>1354.4813483692826</v>
      </c>
      <c r="AE371" s="152">
        <v>1331.4341942876615</v>
      </c>
      <c r="AF371" s="152">
        <v>1309.4593969802868</v>
      </c>
      <c r="AG371" s="152">
        <v>1288.461586486927</v>
      </c>
      <c r="AH371" s="152">
        <v>1268.3575756096911</v>
      </c>
      <c r="AI371" s="152">
        <v>1249.0743693806608</v>
      </c>
      <c r="AJ371" s="152">
        <v>1230.5475651646364</v>
      </c>
      <c r="AK371" s="152">
        <v>1212.7200548678677</v>
      </c>
      <c r="AL371" s="152">
        <v>1195.5409632812714</v>
      </c>
      <c r="AM371" s="152">
        <v>1178.9647728054772</v>
      </c>
      <c r="AN371" s="152">
        <v>1162.9505966210693</v>
      </c>
      <c r="AO371" s="152">
        <v>1147.4615710812861</v>
      </c>
      <c r="AP371" s="152">
        <v>1132.4643446033015</v>
      </c>
      <c r="AQ371" s="152">
        <v>1117.9286452320734</v>
      </c>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c r="BS371" s="149"/>
      <c r="BT371" s="149"/>
      <c r="BU371" s="149"/>
      <c r="BV371" s="149"/>
      <c r="BW371" s="149"/>
      <c r="BX371" s="149"/>
      <c r="BY371" s="149"/>
      <c r="BZ371" s="149"/>
    </row>
    <row r="372" spans="7:78" ht="14.1" hidden="1" customHeight="1" x14ac:dyDescent="0.25">
      <c r="G372" s="106"/>
      <c r="H372" s="218"/>
      <c r="J372" s="210"/>
      <c r="K372" s="7" t="s">
        <v>111</v>
      </c>
      <c r="L372" s="150">
        <v>2830.23105829203</v>
      </c>
      <c r="M372" s="150">
        <v>2634.6212141101569</v>
      </c>
      <c r="N372" s="150">
        <v>2488.4397331346868</v>
      </c>
      <c r="O372" s="150">
        <v>2369.3422328514775</v>
      </c>
      <c r="P372" s="150">
        <v>2267.3759294397955</v>
      </c>
      <c r="Q372" s="150">
        <v>2177.2317049106355</v>
      </c>
      <c r="R372" s="150">
        <v>2095.7404889512954</v>
      </c>
      <c r="S372" s="150">
        <v>2020.8581662318732</v>
      </c>
      <c r="T372" s="150">
        <v>1951.1890291550556</v>
      </c>
      <c r="U372" s="150">
        <v>1885.7375762985903</v>
      </c>
      <c r="V372" s="150">
        <v>1823.7687662303547</v>
      </c>
      <c r="W372" s="150">
        <v>1764.7244003836506</v>
      </c>
      <c r="X372" s="150">
        <v>1733.6245417011951</v>
      </c>
      <c r="Y372" s="150">
        <v>1704.6712659471336</v>
      </c>
      <c r="Z372" s="150">
        <v>1677.5872852548846</v>
      </c>
      <c r="AA372" s="150">
        <v>1652.1457960820662</v>
      </c>
      <c r="AB372" s="150">
        <v>1628.1589220484816</v>
      </c>
      <c r="AC372" s="150">
        <v>1605.4692856707547</v>
      </c>
      <c r="AD372" s="150">
        <v>1583.9437444846938</v>
      </c>
      <c r="AE372" s="150">
        <v>1563.4686570323518</v>
      </c>
      <c r="AF372" s="150">
        <v>1543.9462511412585</v>
      </c>
      <c r="AG372" s="150">
        <v>1525.2918001562637</v>
      </c>
      <c r="AH372" s="150">
        <v>1507.4314005860415</v>
      </c>
      <c r="AI372" s="150">
        <v>1490.3002037145027</v>
      </c>
      <c r="AJ372" s="150">
        <v>1473.8409942523676</v>
      </c>
      <c r="AK372" s="150">
        <v>1458.0030373796385</v>
      </c>
      <c r="AL372" s="150">
        <v>1442.7411355699119</v>
      </c>
      <c r="AM372" s="150">
        <v>1428.0148509962685</v>
      </c>
      <c r="AN372" s="150">
        <v>1413.7878598158504</v>
      </c>
      <c r="AO372" s="150">
        <v>1400.0274123716472</v>
      </c>
      <c r="AP372" s="150">
        <v>1386.7038791236016</v>
      </c>
      <c r="AQ372" s="150">
        <v>1373.7903664724156</v>
      </c>
      <c r="AR372" s="149"/>
      <c r="AS372" s="149"/>
      <c r="AT372" s="149"/>
      <c r="AU372" s="149"/>
      <c r="AV372" s="149"/>
      <c r="AW372" s="149"/>
      <c r="AX372" s="149"/>
      <c r="AY372" s="149"/>
      <c r="AZ372" s="149"/>
      <c r="BA372" s="149"/>
      <c r="BB372" s="149"/>
      <c r="BC372" s="149"/>
      <c r="BD372" s="149"/>
      <c r="BE372" s="149"/>
      <c r="BF372" s="149"/>
      <c r="BG372" s="149"/>
      <c r="BH372" s="149"/>
      <c r="BI372" s="149"/>
      <c r="BJ372" s="149"/>
      <c r="BK372" s="149"/>
      <c r="BL372" s="149"/>
      <c r="BM372" s="149"/>
      <c r="BN372" s="149"/>
      <c r="BO372" s="149"/>
      <c r="BP372" s="149"/>
      <c r="BQ372" s="149"/>
      <c r="BR372" s="149"/>
      <c r="BS372" s="149"/>
      <c r="BT372" s="149"/>
      <c r="BU372" s="149"/>
      <c r="BV372" s="149"/>
      <c r="BW372" s="149"/>
      <c r="BX372" s="149"/>
      <c r="BY372" s="149"/>
      <c r="BZ372" s="149"/>
    </row>
    <row r="373" spans="7:78" ht="14.1" hidden="1" customHeight="1" x14ac:dyDescent="0.25">
      <c r="G373" s="106"/>
      <c r="H373" s="218"/>
      <c r="J373" s="210"/>
      <c r="K373" s="121" t="s">
        <v>112</v>
      </c>
      <c r="L373" s="151">
        <v>2997.8786491843371</v>
      </c>
      <c r="M373" s="151">
        <v>2863.9884416741693</v>
      </c>
      <c r="N373" s="151">
        <v>2763.1386768940501</v>
      </c>
      <c r="O373" s="151">
        <v>2680.3932282375922</v>
      </c>
      <c r="P373" s="151">
        <v>2609.0991466184673</v>
      </c>
      <c r="Q373" s="151">
        <v>2545.7075463871374</v>
      </c>
      <c r="R373" s="151">
        <v>2488.1000590729213</v>
      </c>
      <c r="S373" s="151">
        <v>2434.9102935774572</v>
      </c>
      <c r="T373" s="151">
        <v>2385.205287651042</v>
      </c>
      <c r="U373" s="151">
        <v>2338.31959729358</v>
      </c>
      <c r="V373" s="151">
        <v>2293.7618832664907</v>
      </c>
      <c r="W373" s="151">
        <v>2251.1590171354492</v>
      </c>
      <c r="X373" s="151">
        <v>2230.3702830351663</v>
      </c>
      <c r="Y373" s="151">
        <v>2211.0164346100323</v>
      </c>
      <c r="Z373" s="151">
        <v>2192.9121184863716</v>
      </c>
      <c r="AA373" s="151">
        <v>2175.9057275915052</v>
      </c>
      <c r="AB373" s="151">
        <v>2159.8716757563284</v>
      </c>
      <c r="AC373" s="151">
        <v>2144.7047638322319</v>
      </c>
      <c r="AD373" s="151">
        <v>2130.3159925953341</v>
      </c>
      <c r="AE373" s="151">
        <v>2116.6293982904253</v>
      </c>
      <c r="AF373" s="151">
        <v>2103.5796250032986</v>
      </c>
      <c r="AG373" s="151">
        <v>2091.1100371098787</v>
      </c>
      <c r="AH373" s="151">
        <v>2079.1712337416302</v>
      </c>
      <c r="AI373" s="151">
        <v>2067.7198667042967</v>
      </c>
      <c r="AJ373" s="151">
        <v>2056.7176903760096</v>
      </c>
      <c r="AK373" s="151">
        <v>2046.1307910115872</v>
      </c>
      <c r="AL373" s="151">
        <v>2035.9289562757272</v>
      </c>
      <c r="AM373" s="151">
        <v>2026.0851554593823</v>
      </c>
      <c r="AN373" s="151">
        <v>2016.5751078505928</v>
      </c>
      <c r="AO373" s="151">
        <v>2007.3769219057856</v>
      </c>
      <c r="AP373" s="151">
        <v>1998.470791726932</v>
      </c>
      <c r="AQ373" s="151">
        <v>1989.8387402585577</v>
      </c>
      <c r="AR373" s="149"/>
      <c r="AS373" s="149"/>
      <c r="AT373" s="149"/>
      <c r="AU373" s="149"/>
      <c r="AV373" s="149"/>
      <c r="AW373" s="149"/>
      <c r="AX373" s="149"/>
      <c r="AY373" s="149"/>
      <c r="AZ373" s="149"/>
      <c r="BA373" s="149"/>
      <c r="BB373" s="149"/>
      <c r="BC373" s="149"/>
      <c r="BD373" s="149"/>
      <c r="BE373" s="149"/>
      <c r="BF373" s="149"/>
      <c r="BG373" s="149"/>
      <c r="BH373" s="149"/>
      <c r="BI373" s="149"/>
      <c r="BJ373" s="149"/>
      <c r="BK373" s="149"/>
      <c r="BL373" s="149"/>
      <c r="BM373" s="149"/>
      <c r="BN373" s="149"/>
      <c r="BO373" s="149"/>
      <c r="BP373" s="149"/>
      <c r="BQ373" s="149"/>
      <c r="BR373" s="149"/>
      <c r="BS373" s="149"/>
      <c r="BT373" s="149"/>
      <c r="BU373" s="149"/>
      <c r="BV373" s="149"/>
      <c r="BW373" s="149"/>
      <c r="BX373" s="149"/>
      <c r="BY373" s="149"/>
      <c r="BZ373" s="149"/>
    </row>
    <row r="374" spans="7:78" ht="14.1" hidden="1" customHeight="1" x14ac:dyDescent="0.25">
      <c r="G374" s="106"/>
      <c r="H374" s="218"/>
      <c r="J374" s="210"/>
      <c r="K374" s="119" t="s">
        <v>113</v>
      </c>
      <c r="L374" s="152">
        <v>2976.2538883260845</v>
      </c>
      <c r="M374" s="152">
        <v>2738.953752375357</v>
      </c>
      <c r="N374" s="152">
        <v>2562.3734125031315</v>
      </c>
      <c r="O374" s="152">
        <v>2419.064127506022</v>
      </c>
      <c r="P374" s="152">
        <v>2296.7994960872002</v>
      </c>
      <c r="Q374" s="152">
        <v>2189.0575834558322</v>
      </c>
      <c r="R374" s="152">
        <v>2091.9453757497704</v>
      </c>
      <c r="S374" s="152">
        <v>2002.951799206066</v>
      </c>
      <c r="T374" s="152">
        <v>1920.3623102874585</v>
      </c>
      <c r="U374" s="152">
        <v>1842.9539948726945</v>
      </c>
      <c r="V374" s="152">
        <v>1769.8238984034331</v>
      </c>
      <c r="W374" s="152">
        <v>1700.2863072338837</v>
      </c>
      <c r="X374" s="152">
        <v>1662.0819857720653</v>
      </c>
      <c r="Y374" s="152">
        <v>1626.5146134063243</v>
      </c>
      <c r="Z374" s="152">
        <v>1593.2435585312073</v>
      </c>
      <c r="AA374" s="152">
        <v>1561.9902065224394</v>
      </c>
      <c r="AB374" s="152">
        <v>1532.5237624527056</v>
      </c>
      <c r="AC374" s="152">
        <v>1504.6508974703497</v>
      </c>
      <c r="AD374" s="152">
        <v>1478.2080539993015</v>
      </c>
      <c r="AE374" s="152">
        <v>1453.0556302865411</v>
      </c>
      <c r="AF374" s="152">
        <v>1429.0735190497408</v>
      </c>
      <c r="AG374" s="152">
        <v>1406.1576386465113</v>
      </c>
      <c r="AH374" s="152">
        <v>1384.2172030456827</v>
      </c>
      <c r="AI374" s="152">
        <v>1363.172549467396</v>
      </c>
      <c r="AJ374" s="152">
        <v>1342.9533923413367</v>
      </c>
      <c r="AK374" s="152">
        <v>1323.4974069671814</v>
      </c>
      <c r="AL374" s="152">
        <v>1304.7490708795183</v>
      </c>
      <c r="AM374" s="152">
        <v>1286.6587086198638</v>
      </c>
      <c r="AN374" s="152">
        <v>1269.1816985137773</v>
      </c>
      <c r="AO374" s="152">
        <v>1252.2778095609515</v>
      </c>
      <c r="AP374" s="152">
        <v>1235.9106436386603</v>
      </c>
      <c r="AQ374" s="152">
        <v>1220.0471635642164</v>
      </c>
      <c r="AR374" s="149"/>
      <c r="AS374" s="149"/>
      <c r="AT374" s="149"/>
      <c r="AU374" s="149"/>
      <c r="AV374" s="149"/>
      <c r="AW374" s="149"/>
      <c r="AX374" s="149"/>
      <c r="AY374" s="149"/>
      <c r="AZ374" s="149"/>
      <c r="BA374" s="149"/>
      <c r="BB374" s="149"/>
      <c r="BC374" s="149"/>
      <c r="BD374" s="149"/>
      <c r="BE374" s="149"/>
      <c r="BF374" s="149"/>
      <c r="BG374" s="149"/>
      <c r="BH374" s="149"/>
      <c r="BI374" s="149"/>
      <c r="BJ374" s="149"/>
      <c r="BK374" s="149"/>
      <c r="BL374" s="149"/>
      <c r="BM374" s="149"/>
      <c r="BN374" s="149"/>
      <c r="BO374" s="149"/>
      <c r="BP374" s="149"/>
      <c r="BQ374" s="149"/>
      <c r="BR374" s="149"/>
      <c r="BS374" s="149"/>
      <c r="BT374" s="149"/>
      <c r="BU374" s="149"/>
      <c r="BV374" s="149"/>
      <c r="BW374" s="149"/>
      <c r="BX374" s="149"/>
      <c r="BY374" s="149"/>
      <c r="BZ374" s="149"/>
    </row>
    <row r="375" spans="7:78" ht="14.1" hidden="1" customHeight="1" x14ac:dyDescent="0.25">
      <c r="G375" s="106"/>
      <c r="H375" s="218"/>
      <c r="J375" s="210"/>
      <c r="K375" s="7" t="s">
        <v>114</v>
      </c>
      <c r="L375" s="150">
        <v>3088.7618719025868</v>
      </c>
      <c r="M375" s="150">
        <v>2875.2838144458965</v>
      </c>
      <c r="N375" s="150">
        <v>2715.7492126710981</v>
      </c>
      <c r="O375" s="150">
        <v>2585.7726099354609</v>
      </c>
      <c r="P375" s="150">
        <v>2474.492073572851</v>
      </c>
      <c r="Q375" s="150">
        <v>2376.1135179131861</v>
      </c>
      <c r="R375" s="150">
        <v>2287.1783901564831</v>
      </c>
      <c r="S375" s="150">
        <v>2205.455852833034</v>
      </c>
      <c r="T375" s="150">
        <v>2129.4227057792768</v>
      </c>
      <c r="U375" s="150">
        <v>2057.9925123145495</v>
      </c>
      <c r="V375" s="150">
        <v>1990.36308777511</v>
      </c>
      <c r="W375" s="150">
        <v>1925.9252442839763</v>
      </c>
      <c r="X375" s="150">
        <v>1891.9845321154451</v>
      </c>
      <c r="Y375" s="150">
        <v>1860.3864850394602</v>
      </c>
      <c r="Z375" s="150">
        <v>1830.8284860003114</v>
      </c>
      <c r="AA375" s="150">
        <v>1803.0630138169743</v>
      </c>
      <c r="AB375" s="150">
        <v>1776.8850303184195</v>
      </c>
      <c r="AC375" s="150">
        <v>1752.1227821883499</v>
      </c>
      <c r="AD375" s="150">
        <v>1728.6309649062309</v>
      </c>
      <c r="AE375" s="150">
        <v>1706.2855563003238</v>
      </c>
      <c r="AF375" s="150">
        <v>1684.9798530830731</v>
      </c>
      <c r="AG375" s="150">
        <v>1664.6213891425</v>
      </c>
      <c r="AH375" s="150">
        <v>1645.1295101851902</v>
      </c>
      <c r="AI375" s="150">
        <v>1626.4334438121505</v>
      </c>
      <c r="AJ375" s="150">
        <v>1608.4707483356262</v>
      </c>
      <c r="AK375" s="150">
        <v>1591.1860545032982</v>
      </c>
      <c r="AL375" s="150">
        <v>1574.5300361670947</v>
      </c>
      <c r="AM375" s="150">
        <v>1558.4585616588238</v>
      </c>
      <c r="AN375" s="150">
        <v>1542.9319890911097</v>
      </c>
      <c r="AO375" s="150">
        <v>1527.9145772506704</v>
      </c>
      <c r="AP375" s="150">
        <v>1513.3739900519611</v>
      </c>
      <c r="AQ375" s="150">
        <v>1499.2808772679521</v>
      </c>
      <c r="AR375" s="149"/>
      <c r="AS375" s="149"/>
      <c r="AT375" s="149"/>
      <c r="AU375" s="149"/>
      <c r="AV375" s="149"/>
      <c r="AW375" s="149"/>
      <c r="AX375" s="149"/>
      <c r="AY375" s="149"/>
      <c r="AZ375" s="149"/>
      <c r="BA375" s="149"/>
      <c r="BB375" s="149"/>
      <c r="BC375" s="149"/>
      <c r="BD375" s="149"/>
      <c r="BE375" s="149"/>
      <c r="BF375" s="149"/>
      <c r="BG375" s="149"/>
      <c r="BH375" s="149"/>
      <c r="BI375" s="149"/>
      <c r="BJ375" s="149"/>
      <c r="BK375" s="149"/>
      <c r="BL375" s="149"/>
      <c r="BM375" s="149"/>
      <c r="BN375" s="149"/>
      <c r="BO375" s="149"/>
      <c r="BP375" s="149"/>
      <c r="BQ375" s="149"/>
      <c r="BR375" s="149"/>
      <c r="BS375" s="149"/>
      <c r="BT375" s="149"/>
      <c r="BU375" s="149"/>
      <c r="BV375" s="149"/>
      <c r="BW375" s="149"/>
      <c r="BX375" s="149"/>
      <c r="BY375" s="149"/>
      <c r="BZ375" s="149"/>
    </row>
    <row r="376" spans="7:78" ht="14.1" hidden="1" customHeight="1" x14ac:dyDescent="0.25">
      <c r="G376" s="106"/>
      <c r="H376" s="218"/>
      <c r="J376" s="210"/>
      <c r="K376" s="121" t="s">
        <v>115</v>
      </c>
      <c r="L376" s="151">
        <v>3271.7234308704878</v>
      </c>
      <c r="M376" s="151">
        <v>3125.6028635171983</v>
      </c>
      <c r="N376" s="151">
        <v>3015.540857332036</v>
      </c>
      <c r="O376" s="151">
        <v>2925.2369275045621</v>
      </c>
      <c r="P376" s="151">
        <v>2847.4304034215584</v>
      </c>
      <c r="Q376" s="151">
        <v>2778.2482222636763</v>
      </c>
      <c r="R376" s="151">
        <v>2715.3785106791947</v>
      </c>
      <c r="S376" s="151">
        <v>2657.3300629538794</v>
      </c>
      <c r="T376" s="151">
        <v>2603.0846942945254</v>
      </c>
      <c r="U376" s="151">
        <v>2551.9161749294126</v>
      </c>
      <c r="V376" s="151">
        <v>2503.2882836543213</v>
      </c>
      <c r="W376" s="151">
        <v>2456.7938081754382</v>
      </c>
      <c r="X376" s="151">
        <v>2434.1061024964456</v>
      </c>
      <c r="Y376" s="151">
        <v>2412.9843538268469</v>
      </c>
      <c r="Z376" s="151">
        <v>2393.2262774691585</v>
      </c>
      <c r="AA376" s="151">
        <v>2374.6664176227919</v>
      </c>
      <c r="AB376" s="151">
        <v>2357.1677163010381</v>
      </c>
      <c r="AC376" s="151">
        <v>2340.6153648142567</v>
      </c>
      <c r="AD376" s="151">
        <v>2324.9122341988791</v>
      </c>
      <c r="AE376" s="151">
        <v>2309.9754217003569</v>
      </c>
      <c r="AF376" s="151">
        <v>2295.7336013909667</v>
      </c>
      <c r="AG376" s="151">
        <v>2282.1249641983641</v>
      </c>
      <c r="AH376" s="151">
        <v>2269.0955966730698</v>
      </c>
      <c r="AI376" s="151">
        <v>2256.5981909285997</v>
      </c>
      <c r="AJ376" s="151">
        <v>2244.5910077513822</v>
      </c>
      <c r="AK376" s="151">
        <v>2233.0370355049499</v>
      </c>
      <c r="AL376" s="151">
        <v>2221.9033020723896</v>
      </c>
      <c r="AM376" s="151">
        <v>2211.1603075924695</v>
      </c>
      <c r="AN376" s="151">
        <v>2200.7815534027905</v>
      </c>
      <c r="AO376" s="151">
        <v>2190.7431482507618</v>
      </c>
      <c r="AP376" s="151">
        <v>2181.0234770451025</v>
      </c>
      <c r="AQ376" s="151">
        <v>2171.6029205948789</v>
      </c>
      <c r="AR376" s="149"/>
      <c r="AS376" s="149"/>
      <c r="AT376" s="149"/>
      <c r="AU376" s="149"/>
      <c r="AV376" s="149"/>
      <c r="AW376" s="149"/>
      <c r="AX376" s="149"/>
      <c r="AY376" s="149"/>
      <c r="AZ376" s="149"/>
      <c r="BA376" s="149"/>
      <c r="BB376" s="149"/>
      <c r="BC376" s="149"/>
      <c r="BD376" s="149"/>
      <c r="BE376" s="149"/>
      <c r="BF376" s="149"/>
      <c r="BG376" s="149"/>
      <c r="BH376" s="149"/>
      <c r="BI376" s="149"/>
      <c r="BJ376" s="149"/>
      <c r="BK376" s="149"/>
      <c r="BL376" s="149"/>
      <c r="BM376" s="149"/>
      <c r="BN376" s="149"/>
      <c r="BO376" s="149"/>
      <c r="BP376" s="149"/>
      <c r="BQ376" s="149"/>
      <c r="BR376" s="149"/>
      <c r="BS376" s="149"/>
      <c r="BT376" s="149"/>
      <c r="BU376" s="149"/>
      <c r="BV376" s="149"/>
      <c r="BW376" s="149"/>
      <c r="BX376" s="149"/>
      <c r="BY376" s="149"/>
      <c r="BZ376" s="149"/>
    </row>
    <row r="377" spans="7:78" ht="14.1" customHeight="1" thickTop="1" x14ac:dyDescent="0.25">
      <c r="G377" s="106"/>
      <c r="H377" s="218"/>
      <c r="J377" s="210"/>
      <c r="K377" s="119" t="s">
        <v>116</v>
      </c>
      <c r="L377" s="152">
        <v>3630.4002384804216</v>
      </c>
      <c r="M377" s="152">
        <v>3354.0791465893467</v>
      </c>
      <c r="N377" s="152">
        <v>3148.2757787864839</v>
      </c>
      <c r="O377" s="152">
        <v>2981.1121828427836</v>
      </c>
      <c r="P377" s="152">
        <v>2838.3890687585103</v>
      </c>
      <c r="Q377" s="152">
        <v>2712.5321028269809</v>
      </c>
      <c r="R377" s="152">
        <v>2599.0200828187344</v>
      </c>
      <c r="S377" s="152">
        <v>2494.9367405936082</v>
      </c>
      <c r="T377" s="152">
        <v>2398.290868738105</v>
      </c>
      <c r="U377" s="152">
        <v>2307.6622200485826</v>
      </c>
      <c r="V377" s="152">
        <v>2222.0021365169182</v>
      </c>
      <c r="W377" s="152">
        <v>2140.5142556913356</v>
      </c>
      <c r="X377" s="152">
        <v>2096.1451705854038</v>
      </c>
      <c r="Y377" s="152">
        <v>2054.8385405732179</v>
      </c>
      <c r="Z377" s="152">
        <v>2016.1987687140704</v>
      </c>
      <c r="AA377" s="152">
        <v>1979.9022822941106</v>
      </c>
      <c r="AB377" s="152">
        <v>1945.681044625858</v>
      </c>
      <c r="AC377" s="152">
        <v>1913.3105307355841</v>
      </c>
      <c r="AD377" s="152">
        <v>1882.6007909072684</v>
      </c>
      <c r="AE377" s="152">
        <v>1853.389696831242</v>
      </c>
      <c r="AF377" s="152">
        <v>1825.5377603546592</v>
      </c>
      <c r="AG377" s="152">
        <v>1798.9241049098325</v>
      </c>
      <c r="AH377" s="152">
        <v>1773.4432949599086</v>
      </c>
      <c r="AI377" s="152">
        <v>1749.0028131004672</v>
      </c>
      <c r="AJ377" s="152">
        <v>1725.5210322712246</v>
      </c>
      <c r="AK377" s="152">
        <v>1702.9255708716969</v>
      </c>
      <c r="AL377" s="152">
        <v>1681.1519471652934</v>
      </c>
      <c r="AM377" s="152">
        <v>1660.142469912885</v>
      </c>
      <c r="AN377" s="152">
        <v>1639.8453171531073</v>
      </c>
      <c r="AO377" s="152">
        <v>1620.2137660910444</v>
      </c>
      <c r="AP377" s="152">
        <v>1601.2055452939596</v>
      </c>
      <c r="AQ377" s="152">
        <v>1582.7822866004979</v>
      </c>
      <c r="AR377" s="149"/>
      <c r="AS377" s="149"/>
      <c r="AT377" s="149"/>
      <c r="AU377" s="149"/>
      <c r="AV377" s="149"/>
      <c r="AW377" s="149"/>
      <c r="AX377" s="149"/>
      <c r="AY377" s="149"/>
      <c r="AZ377" s="149"/>
      <c r="BA377" s="149"/>
      <c r="BB377" s="149"/>
      <c r="BC377" s="149"/>
      <c r="BD377" s="149"/>
      <c r="BE377" s="149"/>
      <c r="BF377" s="149"/>
      <c r="BG377" s="149"/>
      <c r="BH377" s="149"/>
      <c r="BI377" s="149"/>
      <c r="BJ377" s="149"/>
      <c r="BK377" s="149"/>
      <c r="BL377" s="149"/>
      <c r="BM377" s="149"/>
      <c r="BN377" s="149"/>
      <c r="BO377" s="149"/>
      <c r="BP377" s="149"/>
      <c r="BQ377" s="149"/>
      <c r="BR377" s="149"/>
      <c r="BS377" s="149"/>
      <c r="BT377" s="149"/>
      <c r="BU377" s="149"/>
      <c r="BV377" s="149"/>
      <c r="BW377" s="149"/>
      <c r="BX377" s="149"/>
      <c r="BY377" s="149"/>
      <c r="BZ377" s="149"/>
    </row>
    <row r="378" spans="7:78" ht="14.1" customHeight="1" x14ac:dyDescent="0.25">
      <c r="G378" s="106"/>
      <c r="H378" s="218"/>
      <c r="J378" s="210"/>
      <c r="K378" s="7" t="s">
        <v>117</v>
      </c>
      <c r="L378" s="150">
        <v>3761.7686899569867</v>
      </c>
      <c r="M378" s="150">
        <v>3518.7141579432387</v>
      </c>
      <c r="N378" s="150">
        <v>3337.3855494917575</v>
      </c>
      <c r="O378" s="150">
        <v>3189.8792975482252</v>
      </c>
      <c r="P378" s="150">
        <v>3063.7664092531604</v>
      </c>
      <c r="Q378" s="150">
        <v>2952.4168813065353</v>
      </c>
      <c r="R378" s="150">
        <v>2851.8731925768375</v>
      </c>
      <c r="S378" s="150">
        <v>2759.5826607897288</v>
      </c>
      <c r="T378" s="150">
        <v>2673.8023324084634</v>
      </c>
      <c r="U378" s="150">
        <v>2593.2890296154933</v>
      </c>
      <c r="V378" s="150">
        <v>2517.1248358885568</v>
      </c>
      <c r="W378" s="150">
        <v>2444.6126753015274</v>
      </c>
      <c r="X378" s="150">
        <v>2405.7753079419322</v>
      </c>
      <c r="Y378" s="150">
        <v>2369.6185839450322</v>
      </c>
      <c r="Z378" s="150">
        <v>2335.7962274370761</v>
      </c>
      <c r="AA378" s="150">
        <v>2304.025007147342</v>
      </c>
      <c r="AB378" s="150">
        <v>2274.0703038748088</v>
      </c>
      <c r="AC378" s="150">
        <v>2245.7355853072772</v>
      </c>
      <c r="AD378" s="150">
        <v>2218.8545837183933</v>
      </c>
      <c r="AE378" s="150">
        <v>2193.2853841530259</v>
      </c>
      <c r="AF378" s="150">
        <v>2168.9058891502641</v>
      </c>
      <c r="AG378" s="150">
        <v>2145.6102924341117</v>
      </c>
      <c r="AH378" s="150">
        <v>2123.3063036481699</v>
      </c>
      <c r="AI378" s="150">
        <v>2101.91293999971</v>
      </c>
      <c r="AJ378" s="150">
        <v>2081.3587512859817</v>
      </c>
      <c r="AK378" s="150">
        <v>2061.5803800859026</v>
      </c>
      <c r="AL378" s="150">
        <v>2042.5213839263865</v>
      </c>
      <c r="AM378" s="150">
        <v>2024.1312642262233</v>
      </c>
      <c r="AN378" s="150">
        <v>2006.3646599294866</v>
      </c>
      <c r="AO378" s="150">
        <v>1989.1806734078887</v>
      </c>
      <c r="AP378" s="150">
        <v>1972.5423034215305</v>
      </c>
      <c r="AQ378" s="150">
        <v>1956.4159653613581</v>
      </c>
      <c r="AR378" s="149"/>
      <c r="AS378" s="149"/>
      <c r="AT378" s="149"/>
      <c r="AU378" s="149"/>
      <c r="AV378" s="149"/>
      <c r="AW378" s="149"/>
      <c r="AX378" s="149"/>
      <c r="AY378" s="149"/>
      <c r="AZ378" s="149"/>
      <c r="BA378" s="149"/>
      <c r="BB378" s="149"/>
      <c r="BC378" s="149"/>
      <c r="BD378" s="149"/>
      <c r="BE378" s="149"/>
      <c r="BF378" s="149"/>
      <c r="BG378" s="149"/>
      <c r="BH378" s="149"/>
      <c r="BI378" s="149"/>
      <c r="BJ378" s="149"/>
      <c r="BK378" s="149"/>
      <c r="BL378" s="149"/>
      <c r="BM378" s="149"/>
      <c r="BN378" s="149"/>
      <c r="BO378" s="149"/>
      <c r="BP378" s="149"/>
      <c r="BQ378" s="149"/>
      <c r="BR378" s="149"/>
      <c r="BS378" s="149"/>
      <c r="BT378" s="149"/>
      <c r="BU378" s="149"/>
      <c r="BV378" s="149"/>
      <c r="BW378" s="149"/>
      <c r="BX378" s="149"/>
      <c r="BY378" s="149"/>
      <c r="BZ378" s="149"/>
    </row>
    <row r="379" spans="7:78" ht="14.1" customHeight="1" thickBot="1" x14ac:dyDescent="0.3">
      <c r="G379" s="106"/>
      <c r="H379" s="218"/>
      <c r="J379" s="210"/>
      <c r="K379" s="121" t="s">
        <v>118</v>
      </c>
      <c r="L379" s="151">
        <v>3969.4257414985477</v>
      </c>
      <c r="M379" s="151">
        <v>3811.0163185122569</v>
      </c>
      <c r="N379" s="151">
        <v>3691.4673154659672</v>
      </c>
      <c r="O379" s="151">
        <v>3593.2116508001604</v>
      </c>
      <c r="P379" s="151">
        <v>3508.4244779337532</v>
      </c>
      <c r="Q379" s="151">
        <v>3432.9317854048854</v>
      </c>
      <c r="R379" s="151">
        <v>3364.2420603415408</v>
      </c>
      <c r="S379" s="151">
        <v>3300.7482258556229</v>
      </c>
      <c r="T379" s="151">
        <v>3241.3529811298249</v>
      </c>
      <c r="U379" s="151">
        <v>3185.273666152556</v>
      </c>
      <c r="V379" s="151">
        <v>3131.9323937174941</v>
      </c>
      <c r="W379" s="151">
        <v>3080.8903099095392</v>
      </c>
      <c r="X379" s="151">
        <v>3056.4397011886263</v>
      </c>
      <c r="Y379" s="151">
        <v>3033.6767290516946</v>
      </c>
      <c r="Z379" s="151">
        <v>3012.3833906712048</v>
      </c>
      <c r="AA379" s="151">
        <v>2992.3813738326894</v>
      </c>
      <c r="AB379" s="151">
        <v>2973.5229707312037</v>
      </c>
      <c r="AC379" s="151">
        <v>2955.6844516962424</v>
      </c>
      <c r="AD379" s="151">
        <v>2938.7611405513212</v>
      </c>
      <c r="AE379" s="151">
        <v>2922.6636927482514</v>
      </c>
      <c r="AF379" s="151">
        <v>2907.3152401199686</v>
      </c>
      <c r="AG379" s="151">
        <v>2892.6491708431045</v>
      </c>
      <c r="AH379" s="151">
        <v>2878.6073822308299</v>
      </c>
      <c r="AI379" s="151">
        <v>2865.1388904314381</v>
      </c>
      <c r="AJ379" s="151">
        <v>2852.1987129687909</v>
      </c>
      <c r="AK379" s="151">
        <v>2839.7469622908288</v>
      </c>
      <c r="AL379" s="151">
        <v>2827.748104247878</v>
      </c>
      <c r="AM379" s="151">
        <v>2816.1703467506682</v>
      </c>
      <c r="AN379" s="151">
        <v>2804.9851321109463</v>
      </c>
      <c r="AO379" s="151">
        <v>2794.1667126538609</v>
      </c>
      <c r="AP379" s="151">
        <v>2783.6917937304561</v>
      </c>
      <c r="AQ379" s="151">
        <v>2773.5392316795933</v>
      </c>
      <c r="AR379" s="149"/>
      <c r="AS379" s="149"/>
      <c r="AT379" s="149"/>
      <c r="AU379" s="149"/>
      <c r="AV379" s="149"/>
      <c r="AW379" s="149"/>
      <c r="AX379" s="149"/>
      <c r="AY379" s="149"/>
      <c r="AZ379" s="149"/>
      <c r="BA379" s="149"/>
      <c r="BB379" s="149"/>
      <c r="BC379" s="149"/>
      <c r="BD379" s="149"/>
      <c r="BE379" s="149"/>
      <c r="BF379" s="149"/>
      <c r="BG379" s="149"/>
      <c r="BH379" s="149"/>
      <c r="BI379" s="149"/>
      <c r="BJ379" s="149"/>
      <c r="BK379" s="149"/>
      <c r="BL379" s="149"/>
      <c r="BM379" s="149"/>
      <c r="BN379" s="149"/>
      <c r="BO379" s="149"/>
      <c r="BP379" s="149"/>
      <c r="BQ379" s="149"/>
      <c r="BR379" s="149"/>
      <c r="BS379" s="149"/>
      <c r="BT379" s="149"/>
      <c r="BU379" s="149"/>
      <c r="BV379" s="149"/>
      <c r="BW379" s="149"/>
      <c r="BX379" s="149"/>
      <c r="BY379" s="149"/>
      <c r="BZ379" s="149"/>
    </row>
    <row r="380" spans="7:78" ht="14.1" hidden="1" customHeight="1" thickTop="1" x14ac:dyDescent="0.25">
      <c r="G380" s="106"/>
      <c r="H380" s="218"/>
      <c r="J380" s="210"/>
      <c r="K380" s="119" t="s">
        <v>119</v>
      </c>
      <c r="L380" s="152">
        <v>3644.1713283502922</v>
      </c>
      <c r="M380" s="152">
        <v>3366.8020758324528</v>
      </c>
      <c r="N380" s="152">
        <v>3160.2180402003255</v>
      </c>
      <c r="O380" s="152">
        <v>2992.4203475313352</v>
      </c>
      <c r="P380" s="152">
        <v>2849.1558460788792</v>
      </c>
      <c r="Q380" s="152">
        <v>2722.8214706402046</v>
      </c>
      <c r="R380" s="152">
        <v>2608.8788688431305</v>
      </c>
      <c r="S380" s="152">
        <v>2504.4007103537956</v>
      </c>
      <c r="T380" s="152">
        <v>2407.3882345705033</v>
      </c>
      <c r="U380" s="152">
        <v>2316.4158069078912</v>
      </c>
      <c r="V380" s="152">
        <v>2230.4307915144254</v>
      </c>
      <c r="W380" s="152">
        <v>2148.6338051201892</v>
      </c>
      <c r="X380" s="152">
        <v>2104.0964160757658</v>
      </c>
      <c r="Y380" s="152">
        <v>2062.6330988454351</v>
      </c>
      <c r="Z380" s="152">
        <v>2023.8467558823131</v>
      </c>
      <c r="AA380" s="152">
        <v>1987.4125870737421</v>
      </c>
      <c r="AB380" s="152">
        <v>1953.0615389966003</v>
      </c>
      <c r="AC380" s="152">
        <v>1920.5682349932167</v>
      </c>
      <c r="AD380" s="152">
        <v>1889.7420048169297</v>
      </c>
      <c r="AE380" s="152">
        <v>1860.4201051615473</v>
      </c>
      <c r="AF380" s="152">
        <v>1832.4625187579391</v>
      </c>
      <c r="AG380" s="152">
        <v>1805.7479105209072</v>
      </c>
      <c r="AH380" s="152">
        <v>1780.1704449680947</v>
      </c>
      <c r="AI380" s="152">
        <v>1755.6372537515465</v>
      </c>
      <c r="AJ380" s="152">
        <v>1732.0664001774655</v>
      </c>
      <c r="AK380" s="152">
        <v>1709.3852280823824</v>
      </c>
      <c r="AL380" s="152">
        <v>1687.5290111330426</v>
      </c>
      <c r="AM380" s="152">
        <v>1666.4398392518449</v>
      </c>
      <c r="AN380" s="152">
        <v>1646.0656939027117</v>
      </c>
      <c r="AO380" s="152">
        <v>1626.3596750585307</v>
      </c>
      <c r="AP380" s="152">
        <v>1607.2793509395894</v>
      </c>
      <c r="AQ380" s="152">
        <v>1588.7862078437211</v>
      </c>
      <c r="AR380" s="149"/>
      <c r="AS380" s="149"/>
      <c r="AT380" s="149"/>
      <c r="AU380" s="149"/>
      <c r="AV380" s="149"/>
      <c r="AW380" s="149"/>
      <c r="AX380" s="149"/>
      <c r="AY380" s="149"/>
      <c r="AZ380" s="149"/>
      <c r="BA380" s="149"/>
      <c r="BB380" s="149"/>
      <c r="BC380" s="149"/>
      <c r="BD380" s="149"/>
      <c r="BE380" s="149"/>
      <c r="BF380" s="149"/>
      <c r="BG380" s="149"/>
      <c r="BH380" s="149"/>
      <c r="BI380" s="149"/>
      <c r="BJ380" s="149"/>
      <c r="BK380" s="149"/>
      <c r="BL380" s="149"/>
      <c r="BM380" s="149"/>
      <c r="BN380" s="149"/>
      <c r="BO380" s="149"/>
      <c r="BP380" s="149"/>
      <c r="BQ380" s="149"/>
      <c r="BR380" s="149"/>
      <c r="BS380" s="149"/>
      <c r="BT380" s="149"/>
      <c r="BU380" s="149"/>
      <c r="BV380" s="149"/>
      <c r="BW380" s="149"/>
      <c r="BX380" s="149"/>
      <c r="BY380" s="149"/>
      <c r="BZ380" s="149"/>
    </row>
    <row r="381" spans="7:78" ht="14.1" hidden="1" customHeight="1" x14ac:dyDescent="0.25">
      <c r="G381" s="106"/>
      <c r="H381" s="218"/>
      <c r="J381" s="210"/>
      <c r="K381" s="7" t="s">
        <v>120</v>
      </c>
      <c r="L381" s="150">
        <v>3776.0380958891396</v>
      </c>
      <c r="M381" s="150">
        <v>3532.0615923064825</v>
      </c>
      <c r="N381" s="150">
        <v>3350.0451554066403</v>
      </c>
      <c r="O381" s="150">
        <v>3201.9793723595258</v>
      </c>
      <c r="P381" s="150">
        <v>3075.3881037745819</v>
      </c>
      <c r="Q381" s="150">
        <v>2963.61619695632</v>
      </c>
      <c r="R381" s="150">
        <v>2862.6911188253466</v>
      </c>
      <c r="S381" s="150">
        <v>2770.050504093138</v>
      </c>
      <c r="T381" s="150">
        <v>2683.9447877288385</v>
      </c>
      <c r="U381" s="150">
        <v>2603.1260762052466</v>
      </c>
      <c r="V381" s="150">
        <v>2526.6729710945015</v>
      </c>
      <c r="W381" s="150">
        <v>2453.8857522729782</v>
      </c>
      <c r="X381" s="150">
        <v>2414.9010642762396</v>
      </c>
      <c r="Y381" s="150">
        <v>2378.6071880473946</v>
      </c>
      <c r="Z381" s="150">
        <v>2344.6565341946593</v>
      </c>
      <c r="AA381" s="150">
        <v>2312.7647970745088</v>
      </c>
      <c r="AB381" s="150">
        <v>2282.6964675118443</v>
      </c>
      <c r="AC381" s="150">
        <v>2254.2542676942576</v>
      </c>
      <c r="AD381" s="150">
        <v>2227.2712991969465</v>
      </c>
      <c r="AE381" s="150">
        <v>2201.6051087429755</v>
      </c>
      <c r="AF381" s="150">
        <v>2177.1331357227473</v>
      </c>
      <c r="AG381" s="150">
        <v>2153.7491725084469</v>
      </c>
      <c r="AH381" s="150">
        <v>2131.3605786613953</v>
      </c>
      <c r="AI381" s="150">
        <v>2109.8860641992324</v>
      </c>
      <c r="AJ381" s="150">
        <v>2089.2539078892651</v>
      </c>
      <c r="AK381" s="150">
        <v>2069.4005119785802</v>
      </c>
      <c r="AL381" s="150">
        <v>2050.269219892527</v>
      </c>
      <c r="AM381" s="150">
        <v>2031.8093414951202</v>
      </c>
      <c r="AN381" s="150">
        <v>2013.9753436636818</v>
      </c>
      <c r="AO381" s="150">
        <v>1996.72617363416</v>
      </c>
      <c r="AP381" s="150">
        <v>1980.0246898109467</v>
      </c>
      <c r="AQ381" s="150">
        <v>1963.8371801894837</v>
      </c>
      <c r="AR381" s="149"/>
      <c r="AS381" s="149"/>
      <c r="AT381" s="149"/>
      <c r="AU381" s="149"/>
      <c r="AV381" s="149"/>
      <c r="AW381" s="149"/>
      <c r="AX381" s="149"/>
      <c r="AY381" s="149"/>
      <c r="AZ381" s="149"/>
      <c r="BA381" s="149"/>
      <c r="BB381" s="149"/>
      <c r="BC381" s="149"/>
      <c r="BD381" s="149"/>
      <c r="BE381" s="149"/>
      <c r="BF381" s="149"/>
      <c r="BG381" s="149"/>
      <c r="BH381" s="149"/>
      <c r="BI381" s="149"/>
      <c r="BJ381" s="149"/>
      <c r="BK381" s="149"/>
      <c r="BL381" s="149"/>
      <c r="BM381" s="149"/>
      <c r="BN381" s="149"/>
      <c r="BO381" s="149"/>
      <c r="BP381" s="149"/>
      <c r="BQ381" s="149"/>
      <c r="BR381" s="149"/>
      <c r="BS381" s="149"/>
      <c r="BT381" s="149"/>
      <c r="BU381" s="149"/>
      <c r="BV381" s="149"/>
      <c r="BW381" s="149"/>
      <c r="BX381" s="149"/>
      <c r="BY381" s="149"/>
      <c r="BZ381" s="149"/>
    </row>
    <row r="382" spans="7:78" ht="14.1" hidden="1" customHeight="1" thickBot="1" x14ac:dyDescent="0.3">
      <c r="G382" s="106"/>
      <c r="H382" s="218"/>
      <c r="J382" s="210"/>
      <c r="K382" s="121" t="s">
        <v>121</v>
      </c>
      <c r="L382" s="151">
        <v>3984.482846783676</v>
      </c>
      <c r="M382" s="151">
        <v>3825.4725340175046</v>
      </c>
      <c r="N382" s="151">
        <v>3705.4700492731495</v>
      </c>
      <c r="O382" s="151">
        <v>3606.8416743000889</v>
      </c>
      <c r="P382" s="151">
        <v>3521.7328807580939</v>
      </c>
      <c r="Q382" s="151">
        <v>3445.9538240310549</v>
      </c>
      <c r="R382" s="151">
        <v>3377.0035402648546</v>
      </c>
      <c r="S382" s="151">
        <v>3313.2688564941609</v>
      </c>
      <c r="T382" s="151">
        <v>3253.6483095429244</v>
      </c>
      <c r="U382" s="151">
        <v>3197.3562705584768</v>
      </c>
      <c r="V382" s="151">
        <v>3143.8126602520447</v>
      </c>
      <c r="W382" s="151">
        <v>3092.5769600169488</v>
      </c>
      <c r="X382" s="151">
        <v>3068.0336035250052</v>
      </c>
      <c r="Y382" s="151">
        <v>3045.1842852789919</v>
      </c>
      <c r="Z382" s="151">
        <v>3023.8101755076896</v>
      </c>
      <c r="AA382" s="151">
        <v>3003.7322856101814</v>
      </c>
      <c r="AB382" s="151">
        <v>2984.8023474858737</v>
      </c>
      <c r="AC382" s="151">
        <v>2966.896162124161</v>
      </c>
      <c r="AD382" s="151">
        <v>2949.9086562835137</v>
      </c>
      <c r="AE382" s="151">
        <v>2933.7501465077107</v>
      </c>
      <c r="AF382" s="151">
        <v>2918.343473047943</v>
      </c>
      <c r="AG382" s="151">
        <v>2903.6217714041823</v>
      </c>
      <c r="AH382" s="151">
        <v>2889.5267184903951</v>
      </c>
      <c r="AI382" s="151">
        <v>2876.0071370593382</v>
      </c>
      <c r="AJ382" s="151">
        <v>2863.017874004177</v>
      </c>
      <c r="AK382" s="151">
        <v>2850.5188904685792</v>
      </c>
      <c r="AL382" s="151">
        <v>2838.474517512233</v>
      </c>
      <c r="AM382" s="151">
        <v>2826.8528424498754</v>
      </c>
      <c r="AN382" s="151">
        <v>2815.6251992662192</v>
      </c>
      <c r="AO382" s="151">
        <v>2804.7657426185192</v>
      </c>
      <c r="AP382" s="151">
        <v>2794.2510894949169</v>
      </c>
      <c r="AQ382" s="151">
        <v>2784.0600160306485</v>
      </c>
      <c r="AR382" s="149"/>
      <c r="AS382" s="149"/>
      <c r="AT382" s="149"/>
      <c r="AU382" s="149"/>
      <c r="AV382" s="149"/>
      <c r="AW382" s="149"/>
      <c r="AX382" s="149"/>
      <c r="AY382" s="149"/>
      <c r="AZ382" s="149"/>
      <c r="BA382" s="149"/>
      <c r="BB382" s="149"/>
      <c r="BC382" s="149"/>
      <c r="BD382" s="149"/>
      <c r="BE382" s="149"/>
      <c r="BF382" s="149"/>
      <c r="BG382" s="149"/>
      <c r="BH382" s="149"/>
      <c r="BI382" s="149"/>
      <c r="BJ382" s="149"/>
      <c r="BK382" s="149"/>
      <c r="BL382" s="149"/>
      <c r="BM382" s="149"/>
      <c r="BN382" s="149"/>
      <c r="BO382" s="149"/>
      <c r="BP382" s="149"/>
      <c r="BQ382" s="149"/>
      <c r="BR382" s="149"/>
      <c r="BS382" s="149"/>
      <c r="BT382" s="149"/>
      <c r="BU382" s="149"/>
      <c r="BV382" s="149"/>
      <c r="BW382" s="149"/>
      <c r="BX382" s="149"/>
      <c r="BY382" s="149"/>
      <c r="BZ382" s="149"/>
    </row>
    <row r="383" spans="7:78" ht="14.1" hidden="1" customHeight="1" thickTop="1" x14ac:dyDescent="0.25">
      <c r="G383" s="106"/>
      <c r="H383" s="218"/>
      <c r="J383" s="210"/>
      <c r="K383" s="119" t="s">
        <v>122</v>
      </c>
      <c r="L383" s="152">
        <v>3744.4254887333518</v>
      </c>
      <c r="M383" s="152">
        <v>3459.4255791959254</v>
      </c>
      <c r="N383" s="152">
        <v>3247.1582462721149</v>
      </c>
      <c r="O383" s="152">
        <v>3074.7443006125277</v>
      </c>
      <c r="P383" s="152">
        <v>2927.5384745044289</v>
      </c>
      <c r="Q383" s="152">
        <v>2797.728536147351</v>
      </c>
      <c r="R383" s="152">
        <v>2680.6512793503439</v>
      </c>
      <c r="S383" s="152">
        <v>2573.2988405064521</v>
      </c>
      <c r="T383" s="152">
        <v>2473.6174714604658</v>
      </c>
      <c r="U383" s="152">
        <v>2380.1423172431582</v>
      </c>
      <c r="V383" s="152">
        <v>2291.7917831220921</v>
      </c>
      <c r="W383" s="152">
        <v>2207.7444941339513</v>
      </c>
      <c r="X383" s="152">
        <v>2161.9818447650296</v>
      </c>
      <c r="Y383" s="152">
        <v>2119.3778374625053</v>
      </c>
      <c r="Z383" s="152">
        <v>2079.524450198297</v>
      </c>
      <c r="AA383" s="152">
        <v>2042.0879473406262</v>
      </c>
      <c r="AB383" s="152">
        <v>2006.7918735846808</v>
      </c>
      <c r="AC383" s="152">
        <v>1973.4046519749572</v>
      </c>
      <c r="AD383" s="152">
        <v>1941.7303667689696</v>
      </c>
      <c r="AE383" s="152">
        <v>1911.6017974578776</v>
      </c>
      <c r="AF383" s="152">
        <v>1882.8750747819363</v>
      </c>
      <c r="AG383" s="152">
        <v>1855.4255256276292</v>
      </c>
      <c r="AH383" s="152">
        <v>1829.1444028911451</v>
      </c>
      <c r="AI383" s="152">
        <v>1803.9362833396426</v>
      </c>
      <c r="AJ383" s="152">
        <v>1779.7169761332646</v>
      </c>
      <c r="AK383" s="152">
        <v>1756.4118262775294</v>
      </c>
      <c r="AL383" s="152">
        <v>1733.954326764343</v>
      </c>
      <c r="AM383" s="152">
        <v>1712.2849743620829</v>
      </c>
      <c r="AN383" s="152">
        <v>1691.3503194618181</v>
      </c>
      <c r="AO383" s="152">
        <v>1671.1021717779893</v>
      </c>
      <c r="AP383" s="152">
        <v>1651.49693219761</v>
      </c>
      <c r="AQ383" s="152">
        <v>1632.4950274747848</v>
      </c>
      <c r="AR383" s="149"/>
      <c r="AS383" s="149"/>
      <c r="AT383" s="149"/>
      <c r="AU383" s="149"/>
      <c r="AV383" s="149"/>
      <c r="AW383" s="149"/>
      <c r="AX383" s="149"/>
      <c r="AY383" s="149"/>
      <c r="AZ383" s="149"/>
      <c r="BA383" s="149"/>
      <c r="BB383" s="149"/>
      <c r="BC383" s="149"/>
      <c r="BD383" s="149"/>
      <c r="BE383" s="149"/>
      <c r="BF383" s="149"/>
      <c r="BG383" s="149"/>
      <c r="BH383" s="149"/>
      <c r="BI383" s="149"/>
      <c r="BJ383" s="149"/>
      <c r="BK383" s="149"/>
      <c r="BL383" s="149"/>
      <c r="BM383" s="149"/>
      <c r="BN383" s="149"/>
      <c r="BO383" s="149"/>
      <c r="BP383" s="149"/>
      <c r="BQ383" s="149"/>
      <c r="BR383" s="149"/>
      <c r="BS383" s="149"/>
      <c r="BT383" s="149"/>
      <c r="BU383" s="149"/>
      <c r="BV383" s="149"/>
      <c r="BW383" s="149"/>
      <c r="BX383" s="149"/>
      <c r="BY383" s="149"/>
      <c r="BZ383" s="149"/>
    </row>
    <row r="384" spans="7:78" ht="14.1" hidden="1" customHeight="1" x14ac:dyDescent="0.25">
      <c r="G384" s="106"/>
      <c r="H384" s="218"/>
      <c r="J384" s="210"/>
      <c r="K384" s="7" t="s">
        <v>123</v>
      </c>
      <c r="L384" s="150">
        <v>3879.9200198625626</v>
      </c>
      <c r="M384" s="150">
        <v>3629.2315213389465</v>
      </c>
      <c r="N384" s="150">
        <v>3442.2076620615267</v>
      </c>
      <c r="O384" s="150">
        <v>3290.0684671401223</v>
      </c>
      <c r="P384" s="150">
        <v>3159.9945682943353</v>
      </c>
      <c r="Q384" s="150">
        <v>3045.1477240862464</v>
      </c>
      <c r="R384" s="150">
        <v>2941.4461137733474</v>
      </c>
      <c r="S384" s="150">
        <v>2846.2568792835841</v>
      </c>
      <c r="T384" s="150">
        <v>2757.782323608375</v>
      </c>
      <c r="U384" s="150">
        <v>2674.7402226398349</v>
      </c>
      <c r="V384" s="150">
        <v>2596.1838295190209</v>
      </c>
      <c r="W384" s="150">
        <v>2521.3941742443044</v>
      </c>
      <c r="X384" s="150">
        <v>2481.3369853109325</v>
      </c>
      <c r="Y384" s="150">
        <v>2444.0446345976243</v>
      </c>
      <c r="Z384" s="150">
        <v>2409.1599702416006</v>
      </c>
      <c r="AA384" s="150">
        <v>2376.3908651164761</v>
      </c>
      <c r="AB384" s="150">
        <v>2345.4953309954049</v>
      </c>
      <c r="AC384" s="150">
        <v>2316.2706627905677</v>
      </c>
      <c r="AD384" s="150">
        <v>2288.5453705637724</v>
      </c>
      <c r="AE384" s="150">
        <v>2262.173082030884</v>
      </c>
      <c r="AF384" s="150">
        <v>2237.0278648387985</v>
      </c>
      <c r="AG384" s="150">
        <v>2213.0005895002191</v>
      </c>
      <c r="AH384" s="150">
        <v>2189.9960669615521</v>
      </c>
      <c r="AI384" s="150">
        <v>2167.9307708859428</v>
      </c>
      <c r="AJ384" s="150">
        <v>2146.7310069304031</v>
      </c>
      <c r="AK384" s="150">
        <v>2126.3314277153563</v>
      </c>
      <c r="AL384" s="150">
        <v>2106.6738179970312</v>
      </c>
      <c r="AM384" s="150">
        <v>2087.7060931119722</v>
      </c>
      <c r="AN384" s="150">
        <v>2069.3814672837229</v>
      </c>
      <c r="AO384" s="150">
        <v>2051.657758352816</v>
      </c>
      <c r="AP384" s="150">
        <v>2034.4968029276995</v>
      </c>
      <c r="AQ384" s="150">
        <v>2017.8639615587504</v>
      </c>
      <c r="AR384" s="149"/>
      <c r="AS384" s="149"/>
      <c r="AT384" s="149"/>
      <c r="AU384" s="149"/>
      <c r="AV384" s="149"/>
      <c r="AW384" s="149"/>
      <c r="AX384" s="149"/>
      <c r="AY384" s="149"/>
      <c r="AZ384" s="149"/>
      <c r="BA384" s="149"/>
      <c r="BB384" s="149"/>
      <c r="BC384" s="149"/>
      <c r="BD384" s="149"/>
      <c r="BE384" s="149"/>
      <c r="BF384" s="149"/>
      <c r="BG384" s="149"/>
      <c r="BH384" s="149"/>
      <c r="BI384" s="149"/>
      <c r="BJ384" s="149"/>
      <c r="BK384" s="149"/>
      <c r="BL384" s="149"/>
      <c r="BM384" s="149"/>
      <c r="BN384" s="149"/>
      <c r="BO384" s="149"/>
      <c r="BP384" s="149"/>
      <c r="BQ384" s="149"/>
      <c r="BR384" s="149"/>
      <c r="BS384" s="149"/>
      <c r="BT384" s="149"/>
      <c r="BU384" s="149"/>
      <c r="BV384" s="149"/>
      <c r="BW384" s="149"/>
      <c r="BX384" s="149"/>
      <c r="BY384" s="149"/>
      <c r="BZ384" s="149"/>
    </row>
    <row r="385" spans="7:78" ht="14.1" hidden="1" customHeight="1" thickBot="1" x14ac:dyDescent="0.3">
      <c r="G385" s="106"/>
      <c r="H385" s="218"/>
      <c r="I385" s="202"/>
      <c r="J385" s="210"/>
      <c r="K385" s="121" t="s">
        <v>124</v>
      </c>
      <c r="L385" s="151">
        <v>4094.0992578610981</v>
      </c>
      <c r="M385" s="151">
        <v>3930.7144401767296</v>
      </c>
      <c r="N385" s="151">
        <v>3807.410588051996</v>
      </c>
      <c r="O385" s="151">
        <v>3706.0688650961047</v>
      </c>
      <c r="P385" s="151">
        <v>3618.6186584126945</v>
      </c>
      <c r="Q385" s="151">
        <v>3540.7548573028416</v>
      </c>
      <c r="R385" s="151">
        <v>3469.9076943330269</v>
      </c>
      <c r="S385" s="151">
        <v>3404.4196168184662</v>
      </c>
      <c r="T385" s="151">
        <v>3343.1588594222171</v>
      </c>
      <c r="U385" s="151">
        <v>3285.3181799935805</v>
      </c>
      <c r="V385" s="151">
        <v>3230.3015407838725</v>
      </c>
      <c r="W385" s="151">
        <v>3177.6563041560321</v>
      </c>
      <c r="X385" s="151">
        <v>3152.4377396740197</v>
      </c>
      <c r="Y385" s="151">
        <v>3128.9598178279889</v>
      </c>
      <c r="Z385" s="151">
        <v>3106.9976886591389</v>
      </c>
      <c r="AA385" s="151">
        <v>3086.3674394424411</v>
      </c>
      <c r="AB385" s="151">
        <v>3066.9167230995049</v>
      </c>
      <c r="AC385" s="151">
        <v>3048.5179238024548</v>
      </c>
      <c r="AD385" s="151">
        <v>3031.0630776581816</v>
      </c>
      <c r="AE385" s="151">
        <v>3014.4600339445774</v>
      </c>
      <c r="AF385" s="151">
        <v>2998.6295101844717</v>
      </c>
      <c r="AG385" s="151">
        <v>2983.5028023802643</v>
      </c>
      <c r="AH385" s="151">
        <v>2969.0199829296971</v>
      </c>
      <c r="AI385" s="151">
        <v>2955.1284666572246</v>
      </c>
      <c r="AJ385" s="151">
        <v>2941.7818582567829</v>
      </c>
      <c r="AK385" s="151">
        <v>2928.9390173700626</v>
      </c>
      <c r="AL385" s="151">
        <v>2916.56329377477</v>
      </c>
      <c r="AM385" s="151">
        <v>2904.6218968413368</v>
      </c>
      <c r="AN385" s="151">
        <v>2893.0853719287393</v>
      </c>
      <c r="AO385" s="151">
        <v>2881.9271626675272</v>
      </c>
      <c r="AP385" s="151">
        <v>2871.1232427598898</v>
      </c>
      <c r="AQ385" s="151">
        <v>2860.6518044550294</v>
      </c>
      <c r="AR385" s="149"/>
      <c r="AS385" s="149"/>
      <c r="AT385" s="149"/>
      <c r="AU385" s="149"/>
      <c r="AV385" s="149"/>
      <c r="AW385" s="149"/>
      <c r="AX385" s="149"/>
      <c r="AY385" s="149"/>
      <c r="AZ385" s="149"/>
      <c r="BA385" s="149"/>
      <c r="BB385" s="149"/>
      <c r="BC385" s="149"/>
      <c r="BD385" s="149"/>
      <c r="BE385" s="149"/>
      <c r="BF385" s="149"/>
      <c r="BG385" s="149"/>
      <c r="BH385" s="149"/>
      <c r="BI385" s="149"/>
      <c r="BJ385" s="149"/>
      <c r="BK385" s="149"/>
      <c r="BL385" s="149"/>
      <c r="BM385" s="149"/>
      <c r="BN385" s="149"/>
      <c r="BO385" s="149"/>
      <c r="BP385" s="149"/>
      <c r="BQ385" s="149"/>
      <c r="BR385" s="149"/>
      <c r="BS385" s="149"/>
      <c r="BT385" s="149"/>
      <c r="BU385" s="149"/>
      <c r="BV385" s="149"/>
      <c r="BW385" s="149"/>
      <c r="BX385" s="149"/>
      <c r="BY385" s="149"/>
      <c r="BZ385" s="149"/>
    </row>
    <row r="386" spans="7:78" ht="14.1" hidden="1" customHeight="1" thickTop="1" x14ac:dyDescent="0.25">
      <c r="G386" s="106"/>
      <c r="H386" s="218"/>
      <c r="J386" s="211"/>
      <c r="K386" s="119" t="s">
        <v>125</v>
      </c>
      <c r="L386" s="152">
        <v>3881.241431498494</v>
      </c>
      <c r="M386" s="152">
        <v>3585.8280335824984</v>
      </c>
      <c r="N386" s="152">
        <v>3365.8047564264957</v>
      </c>
      <c r="O386" s="152">
        <v>3187.0910522078852</v>
      </c>
      <c r="P386" s="152">
        <v>3034.5065361138054</v>
      </c>
      <c r="Q386" s="152">
        <v>2899.9535285862908</v>
      </c>
      <c r="R386" s="152">
        <v>2778.598436561093</v>
      </c>
      <c r="S386" s="152">
        <v>2667.323493404388</v>
      </c>
      <c r="T386" s="152">
        <v>2563.999909945755</v>
      </c>
      <c r="U386" s="152">
        <v>2467.1093075140716</v>
      </c>
      <c r="V386" s="152">
        <v>2375.5305714549645</v>
      </c>
      <c r="W386" s="152">
        <v>2288.4123149407333</v>
      </c>
      <c r="X386" s="152">
        <v>2240.9775639274658</v>
      </c>
      <c r="Y386" s="152">
        <v>2196.816867236354</v>
      </c>
      <c r="Z386" s="152">
        <v>2155.5072942989782</v>
      </c>
      <c r="AA386" s="152">
        <v>2116.7029152617138</v>
      </c>
      <c r="AB386" s="152">
        <v>2080.1171735389844</v>
      </c>
      <c r="AC386" s="152">
        <v>2045.5100306851109</v>
      </c>
      <c r="AD386" s="152">
        <v>2012.6784124770622</v>
      </c>
      <c r="AE386" s="152">
        <v>1981.4489884081806</v>
      </c>
      <c r="AF386" s="152">
        <v>1951.6726324420888</v>
      </c>
      <c r="AG386" s="152">
        <v>1923.2201160883212</v>
      </c>
      <c r="AH386" s="152">
        <v>1895.9787187796928</v>
      </c>
      <c r="AI386" s="152">
        <v>1869.8495306551467</v>
      </c>
      <c r="AJ386" s="152">
        <v>1844.7452846621568</v>
      </c>
      <c r="AK386" s="152">
        <v>1820.5885980196997</v>
      </c>
      <c r="AL386" s="152">
        <v>1797.31053364889</v>
      </c>
      <c r="AM386" s="152">
        <v>1774.8494141552706</v>
      </c>
      <c r="AN386" s="152">
        <v>1753.1498369577776</v>
      </c>
      <c r="AO386" s="152">
        <v>1732.1618509668583</v>
      </c>
      <c r="AP386" s="152">
        <v>1711.8402640204017</v>
      </c>
      <c r="AQ386" s="152">
        <v>1692.1440569228041</v>
      </c>
      <c r="AR386" s="149"/>
      <c r="AS386" s="149"/>
      <c r="AT386" s="149"/>
      <c r="AU386" s="149"/>
      <c r="AV386" s="149"/>
      <c r="AW386" s="149"/>
      <c r="AX386" s="149"/>
      <c r="AY386" s="149"/>
      <c r="AZ386" s="149"/>
      <c r="BA386" s="149"/>
      <c r="BB386" s="149"/>
      <c r="BC386" s="149"/>
      <c r="BD386" s="149"/>
      <c r="BE386" s="149"/>
      <c r="BF386" s="149"/>
      <c r="BG386" s="149"/>
      <c r="BH386" s="149"/>
      <c r="BI386" s="149"/>
      <c r="BJ386" s="149"/>
      <c r="BK386" s="149"/>
      <c r="BL386" s="149"/>
      <c r="BM386" s="149"/>
      <c r="BN386" s="149"/>
      <c r="BO386" s="149"/>
      <c r="BP386" s="149"/>
      <c r="BQ386" s="149"/>
      <c r="BR386" s="149"/>
      <c r="BS386" s="149"/>
      <c r="BT386" s="149"/>
      <c r="BU386" s="149"/>
      <c r="BV386" s="149"/>
      <c r="BW386" s="149"/>
      <c r="BX386" s="149"/>
      <c r="BY386" s="149"/>
      <c r="BZ386" s="149"/>
    </row>
    <row r="387" spans="7:78" ht="14.1" hidden="1" customHeight="1" x14ac:dyDescent="0.25">
      <c r="G387" s="106"/>
      <c r="H387" s="218"/>
      <c r="J387" s="211"/>
      <c r="K387" s="7" t="s">
        <v>126</v>
      </c>
      <c r="L387" s="150">
        <v>4021.6867386737877</v>
      </c>
      <c r="M387" s="150">
        <v>3761.8384415725031</v>
      </c>
      <c r="N387" s="150">
        <v>3567.98099842391</v>
      </c>
      <c r="O387" s="150">
        <v>3410.2828552880651</v>
      </c>
      <c r="P387" s="150">
        <v>3275.4562425337567</v>
      </c>
      <c r="Q387" s="150">
        <v>3156.4130591779913</v>
      </c>
      <c r="R387" s="150">
        <v>3048.9223405963035</v>
      </c>
      <c r="S387" s="150">
        <v>2950.2550278547506</v>
      </c>
      <c r="T387" s="150">
        <v>2858.547738671597</v>
      </c>
      <c r="U387" s="150">
        <v>2772.4713983070815</v>
      </c>
      <c r="V387" s="150">
        <v>2691.0446671284285</v>
      </c>
      <c r="W387" s="150">
        <v>2613.5223050002096</v>
      </c>
      <c r="X387" s="150">
        <v>2572.0014837726631</v>
      </c>
      <c r="Y387" s="150">
        <v>2533.3465239925913</v>
      </c>
      <c r="Z387" s="150">
        <v>2497.1872239798358</v>
      </c>
      <c r="AA387" s="150">
        <v>2463.2207827013403</v>
      </c>
      <c r="AB387" s="150">
        <v>2431.196370027144</v>
      </c>
      <c r="AC387" s="150">
        <v>2400.9038743159308</v>
      </c>
      <c r="AD387" s="150">
        <v>2372.1655396328597</v>
      </c>
      <c r="AE387" s="150">
        <v>2344.8296454602387</v>
      </c>
      <c r="AF387" s="150">
        <v>2318.7656580572038</v>
      </c>
      <c r="AG387" s="150">
        <v>2293.8604605013397</v>
      </c>
      <c r="AH387" s="150">
        <v>2270.0153856674119</v>
      </c>
      <c r="AI387" s="150">
        <v>2247.1438552858826</v>
      </c>
      <c r="AJ387" s="150">
        <v>2225.1694823280532</v>
      </c>
      <c r="AK387" s="150">
        <v>2204.0245317147196</v>
      </c>
      <c r="AL387" s="150">
        <v>2183.6486611005066</v>
      </c>
      <c r="AM387" s="150">
        <v>2163.9878827229782</v>
      </c>
      <c r="AN387" s="150">
        <v>2144.9937013204349</v>
      </c>
      <c r="AO387" s="150">
        <v>2126.6223934577365</v>
      </c>
      <c r="AP387" s="150">
        <v>2108.8344013076794</v>
      </c>
      <c r="AQ387" s="150">
        <v>2091.5938197447799</v>
      </c>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c r="BS387" s="149"/>
      <c r="BT387" s="149"/>
      <c r="BU387" s="149"/>
      <c r="BV387" s="149"/>
      <c r="BW387" s="149"/>
      <c r="BX387" s="149"/>
      <c r="BY387" s="149"/>
      <c r="BZ387" s="149"/>
    </row>
    <row r="388" spans="7:78" ht="14.1" hidden="1" customHeight="1" thickBot="1" x14ac:dyDescent="0.3">
      <c r="G388" s="106"/>
      <c r="H388" s="218"/>
      <c r="J388" s="211"/>
      <c r="K388" s="121" t="s">
        <v>127</v>
      </c>
      <c r="L388" s="151">
        <v>4243.6917791767819</v>
      </c>
      <c r="M388" s="151">
        <v>4074.3371143336817</v>
      </c>
      <c r="N388" s="151">
        <v>3946.5279161082503</v>
      </c>
      <c r="O388" s="151">
        <v>3841.4833117866133</v>
      </c>
      <c r="P388" s="151">
        <v>3750.837799839846</v>
      </c>
      <c r="Q388" s="151">
        <v>3670.1289669919665</v>
      </c>
      <c r="R388" s="151">
        <v>3596.6931501891099</v>
      </c>
      <c r="S388" s="151">
        <v>3528.8122321461447</v>
      </c>
      <c r="T388" s="151">
        <v>3465.3130944421841</v>
      </c>
      <c r="U388" s="151">
        <v>3405.3589994548674</v>
      </c>
      <c r="V388" s="151">
        <v>3348.3321310701117</v>
      </c>
      <c r="W388" s="151">
        <v>3293.7633129200844</v>
      </c>
      <c r="X388" s="151">
        <v>3267.6232982222318</v>
      </c>
      <c r="Y388" s="151">
        <v>3243.2875267484824</v>
      </c>
      <c r="Z388" s="151">
        <v>3220.5229328446799</v>
      </c>
      <c r="AA388" s="151">
        <v>3199.1388838783128</v>
      </c>
      <c r="AB388" s="151">
        <v>3178.977466227012</v>
      </c>
      <c r="AC388" s="151">
        <v>3159.9064011633855</v>
      </c>
      <c r="AD388" s="151">
        <v>3141.8137799483475</v>
      </c>
      <c r="AE388" s="151">
        <v>3124.6040848044286</v>
      </c>
      <c r="AF388" s="151">
        <v>3108.1951363863286</v>
      </c>
      <c r="AG388" s="151">
        <v>3092.515720350807</v>
      </c>
      <c r="AH388" s="151">
        <v>3077.5037194268766</v>
      </c>
      <c r="AI388" s="151">
        <v>3063.1046270520155</v>
      </c>
      <c r="AJ388" s="151">
        <v>3049.2703527021467</v>
      </c>
      <c r="AK388" s="151">
        <v>3035.9582528092087</v>
      </c>
      <c r="AL388" s="151">
        <v>3023.1303380042937</v>
      </c>
      <c r="AM388" s="151">
        <v>3010.7526195352079</v>
      </c>
      <c r="AN388" s="151">
        <v>2998.7945665305442</v>
      </c>
      <c r="AO388" s="151">
        <v>2987.2286522891591</v>
      </c>
      <c r="AP388" s="151">
        <v>2976.0299726267417</v>
      </c>
      <c r="AQ388" s="151">
        <v>2965.1759229685254</v>
      </c>
      <c r="AR388" s="149"/>
      <c r="AS388" s="149"/>
      <c r="AT388" s="149"/>
      <c r="AU388" s="149"/>
      <c r="AV388" s="149"/>
      <c r="AW388" s="149"/>
      <c r="AX388" s="149"/>
      <c r="AY388" s="149"/>
      <c r="AZ388" s="149"/>
      <c r="BA388" s="149"/>
      <c r="BB388" s="149"/>
      <c r="BC388" s="149"/>
      <c r="BD388" s="149"/>
      <c r="BE388" s="149"/>
      <c r="BF388" s="149"/>
      <c r="BG388" s="149"/>
      <c r="BH388" s="149"/>
      <c r="BI388" s="149"/>
      <c r="BJ388" s="149"/>
      <c r="BK388" s="149"/>
      <c r="BL388" s="149"/>
      <c r="BM388" s="149"/>
      <c r="BN388" s="149"/>
      <c r="BO388" s="149"/>
      <c r="BP388" s="149"/>
      <c r="BQ388" s="149"/>
      <c r="BR388" s="149"/>
      <c r="BS388" s="149"/>
      <c r="BT388" s="149"/>
      <c r="BU388" s="149"/>
      <c r="BV388" s="149"/>
      <c r="BW388" s="149"/>
      <c r="BX388" s="149"/>
      <c r="BY388" s="149"/>
      <c r="BZ388" s="149"/>
    </row>
    <row r="389" spans="7:78" ht="14.1" hidden="1" customHeight="1" thickTop="1" x14ac:dyDescent="0.25">
      <c r="G389" s="106"/>
      <c r="H389" s="218"/>
      <c r="J389" s="211"/>
      <c r="K389" s="119" t="s">
        <v>128</v>
      </c>
      <c r="L389" s="152">
        <v>3922.7839861665807</v>
      </c>
      <c r="M389" s="152">
        <v>3624.2086547689382</v>
      </c>
      <c r="N389" s="152">
        <v>3401.8303762091773</v>
      </c>
      <c r="O389" s="152">
        <v>3221.2038242694261</v>
      </c>
      <c r="P389" s="152">
        <v>3066.9861321121675</v>
      </c>
      <c r="Q389" s="152">
        <v>2930.9929473193056</v>
      </c>
      <c r="R389" s="152">
        <v>2808.3389408530234</v>
      </c>
      <c r="S389" s="152">
        <v>2695.8729753157577</v>
      </c>
      <c r="T389" s="152">
        <v>2591.4434762138721</v>
      </c>
      <c r="U389" s="152">
        <v>2493.5158130325854</v>
      </c>
      <c r="V389" s="152">
        <v>2400.9568713572303</v>
      </c>
      <c r="W389" s="152">
        <v>2312.9061516098541</v>
      </c>
      <c r="X389" s="152">
        <v>2264.9636865643847</v>
      </c>
      <c r="Y389" s="152">
        <v>2220.3303194174791</v>
      </c>
      <c r="Z389" s="152">
        <v>2178.5785927974853</v>
      </c>
      <c r="AA389" s="152">
        <v>2139.358874218487</v>
      </c>
      <c r="AB389" s="152">
        <v>2102.3815399596033</v>
      </c>
      <c r="AC389" s="152">
        <v>2067.4039823430085</v>
      </c>
      <c r="AD389" s="152">
        <v>2034.2209535571014</v>
      </c>
      <c r="AE389" s="152">
        <v>2002.657267866125</v>
      </c>
      <c r="AF389" s="152">
        <v>1972.5622030751972</v>
      </c>
      <c r="AG389" s="152">
        <v>1943.8051475071259</v>
      </c>
      <c r="AH389" s="152">
        <v>1916.2721740992258</v>
      </c>
      <c r="AI389" s="152">
        <v>1889.8633143167181</v>
      </c>
      <c r="AJ389" s="152">
        <v>1864.4903670512172</v>
      </c>
      <c r="AK389" s="152">
        <v>1840.0751212613443</v>
      </c>
      <c r="AL389" s="152">
        <v>1816.5479020057485</v>
      </c>
      <c r="AM389" s="152">
        <v>1793.8463717309555</v>
      </c>
      <c r="AN389" s="152">
        <v>1771.9145348588424</v>
      </c>
      <c r="AO389" s="152">
        <v>1750.7019056523982</v>
      </c>
      <c r="AP389" s="152">
        <v>1730.1628082388488</v>
      </c>
      <c r="AQ389" s="152">
        <v>1710.255784376938</v>
      </c>
      <c r="AR389" s="149"/>
      <c r="AS389" s="149"/>
      <c r="AT389" s="149"/>
      <c r="AU389" s="149"/>
      <c r="AV389" s="149"/>
      <c r="AW389" s="149"/>
      <c r="AX389" s="149"/>
      <c r="AY389" s="149"/>
      <c r="AZ389" s="149"/>
      <c r="BA389" s="149"/>
      <c r="BB389" s="149"/>
      <c r="BC389" s="149"/>
      <c r="BD389" s="149"/>
      <c r="BE389" s="149"/>
      <c r="BF389" s="149"/>
      <c r="BG389" s="149"/>
      <c r="BH389" s="149"/>
      <c r="BI389" s="149"/>
      <c r="BJ389" s="149"/>
      <c r="BK389" s="149"/>
      <c r="BL389" s="149"/>
      <c r="BM389" s="149"/>
      <c r="BN389" s="149"/>
      <c r="BO389" s="149"/>
      <c r="BP389" s="149"/>
      <c r="BQ389" s="149"/>
      <c r="BR389" s="149"/>
      <c r="BS389" s="149"/>
      <c r="BT389" s="149"/>
      <c r="BU389" s="149"/>
      <c r="BV389" s="149"/>
      <c r="BW389" s="149"/>
      <c r="BX389" s="149"/>
      <c r="BY389" s="149"/>
      <c r="BZ389" s="149"/>
    </row>
    <row r="390" spans="7:78" ht="14.1" hidden="1" customHeight="1" x14ac:dyDescent="0.25">
      <c r="G390" s="106"/>
      <c r="H390" s="218"/>
      <c r="J390" s="211"/>
      <c r="K390" s="7" t="s">
        <v>129</v>
      </c>
      <c r="L390" s="150">
        <v>4064.7325383613306</v>
      </c>
      <c r="M390" s="150">
        <v>3802.1029759669018</v>
      </c>
      <c r="N390" s="150">
        <v>3606.170595308764</v>
      </c>
      <c r="O390" s="150">
        <v>3446.7845428150749</v>
      </c>
      <c r="P390" s="150">
        <v>3310.5148242839391</v>
      </c>
      <c r="Q390" s="150">
        <v>3190.1974718150941</v>
      </c>
      <c r="R390" s="150">
        <v>3081.5562349954134</v>
      </c>
      <c r="S390" s="150">
        <v>2981.8328446287346</v>
      </c>
      <c r="T390" s="150">
        <v>2889.1439738713361</v>
      </c>
      <c r="U390" s="150">
        <v>2802.1463223391615</v>
      </c>
      <c r="V390" s="150">
        <v>2719.8480467098129</v>
      </c>
      <c r="W390" s="150">
        <v>2641.4959302301704</v>
      </c>
      <c r="X390" s="150">
        <v>2599.5306942409679</v>
      </c>
      <c r="Y390" s="150">
        <v>2560.4619942161321</v>
      </c>
      <c r="Z390" s="150">
        <v>2523.9156660516755</v>
      </c>
      <c r="AA390" s="150">
        <v>2489.5856677081024</v>
      </c>
      <c r="AB390" s="150">
        <v>2457.2184843153841</v>
      </c>
      <c r="AC390" s="150">
        <v>2426.6017553191959</v>
      </c>
      <c r="AD390" s="150">
        <v>2397.555822188383</v>
      </c>
      <c r="AE390" s="150">
        <v>2369.9273404769269</v>
      </c>
      <c r="AF390" s="150">
        <v>2343.5843792865949</v>
      </c>
      <c r="AG390" s="150">
        <v>2318.4126109571152</v>
      </c>
      <c r="AH390" s="150">
        <v>2294.3123122876341</v>
      </c>
      <c r="AI390" s="150">
        <v>2271.1959783250895</v>
      </c>
      <c r="AJ390" s="150">
        <v>2248.9864044383799</v>
      </c>
      <c r="AK390" s="150">
        <v>2227.6151305513431</v>
      </c>
      <c r="AL390" s="150">
        <v>2207.0211684491769</v>
      </c>
      <c r="AM390" s="150">
        <v>2187.1499525157838</v>
      </c>
      <c r="AN390" s="150">
        <v>2167.9524684243415</v>
      </c>
      <c r="AO390" s="150">
        <v>2149.3845247494473</v>
      </c>
      <c r="AP390" s="150">
        <v>2131.4061402598845</v>
      </c>
      <c r="AQ390" s="150">
        <v>2113.9810255225543</v>
      </c>
      <c r="AR390" s="149"/>
      <c r="AS390" s="149"/>
      <c r="AT390" s="149"/>
      <c r="AU390" s="149"/>
      <c r="AV390" s="149"/>
      <c r="AW390" s="149"/>
      <c r="AX390" s="149"/>
      <c r="AY390" s="149"/>
      <c r="AZ390" s="149"/>
      <c r="BA390" s="149"/>
      <c r="BB390" s="149"/>
      <c r="BC390" s="149"/>
      <c r="BD390" s="149"/>
      <c r="BE390" s="149"/>
      <c r="BF390" s="149"/>
      <c r="BG390" s="149"/>
      <c r="BH390" s="149"/>
      <c r="BI390" s="149"/>
      <c r="BJ390" s="149"/>
      <c r="BK390" s="149"/>
      <c r="BL390" s="149"/>
      <c r="BM390" s="149"/>
      <c r="BN390" s="149"/>
      <c r="BO390" s="149"/>
      <c r="BP390" s="149"/>
      <c r="BQ390" s="149"/>
      <c r="BR390" s="149"/>
      <c r="BS390" s="149"/>
      <c r="BT390" s="149"/>
      <c r="BU390" s="149"/>
      <c r="BV390" s="149"/>
      <c r="BW390" s="149"/>
      <c r="BX390" s="149"/>
      <c r="BY390" s="149"/>
      <c r="BZ390" s="149"/>
    </row>
    <row r="391" spans="7:78" ht="14.1" hidden="1" customHeight="1" thickBot="1" x14ac:dyDescent="0.3">
      <c r="G391" s="106"/>
      <c r="H391" s="218"/>
      <c r="J391" s="211"/>
      <c r="K391" s="121" t="s">
        <v>130</v>
      </c>
      <c r="L391" s="151">
        <v>4289.113791912253</v>
      </c>
      <c r="M391" s="151">
        <v>4117.9464530712294</v>
      </c>
      <c r="N391" s="151">
        <v>3988.7692593994766</v>
      </c>
      <c r="O391" s="151">
        <v>3882.6003186265675</v>
      </c>
      <c r="P391" s="151">
        <v>3790.9845897525811</v>
      </c>
      <c r="Q391" s="151">
        <v>3709.411896420896</v>
      </c>
      <c r="R391" s="151">
        <v>3635.1900652749555</v>
      </c>
      <c r="S391" s="151">
        <v>3566.5825892998209</v>
      </c>
      <c r="T391" s="151">
        <v>3502.4037936961909</v>
      </c>
      <c r="U391" s="151">
        <v>3441.8079848880402</v>
      </c>
      <c r="V391" s="151">
        <v>3384.1707340163312</v>
      </c>
      <c r="W391" s="151">
        <v>3329.0178429218145</v>
      </c>
      <c r="X391" s="151">
        <v>3302.5980406846461</v>
      </c>
      <c r="Y391" s="151">
        <v>3278.0017932434307</v>
      </c>
      <c r="Z391" s="151">
        <v>3254.9935403445784</v>
      </c>
      <c r="AA391" s="151">
        <v>3233.380608934568</v>
      </c>
      <c r="AB391" s="151">
        <v>3213.0033951753085</v>
      </c>
      <c r="AC391" s="151">
        <v>3193.7282045047164</v>
      </c>
      <c r="AD391" s="151">
        <v>3175.4419303775417</v>
      </c>
      <c r="AE391" s="151">
        <v>3158.0480326494871</v>
      </c>
      <c r="AF391" s="151">
        <v>3141.4634523752566</v>
      </c>
      <c r="AG391" s="151">
        <v>3125.6162129746299</v>
      </c>
      <c r="AH391" s="151">
        <v>3110.443532309419</v>
      </c>
      <c r="AI391" s="151">
        <v>3095.8903204105059</v>
      </c>
      <c r="AJ391" s="151">
        <v>3081.9079720207669</v>
      </c>
      <c r="AK391" s="151">
        <v>3068.4533871401495</v>
      </c>
      <c r="AL391" s="151">
        <v>3055.4881697835981</v>
      </c>
      <c r="AM391" s="151">
        <v>3042.9779674030515</v>
      </c>
      <c r="AN391" s="151">
        <v>3030.8919223423827</v>
      </c>
      <c r="AO391" s="151">
        <v>3019.202213270622</v>
      </c>
      <c r="AP391" s="151">
        <v>3007.8836694435304</v>
      </c>
      <c r="AQ391" s="151">
        <v>2996.9134443400972</v>
      </c>
      <c r="AR391" s="149"/>
      <c r="AS391" s="149"/>
      <c r="AT391" s="149"/>
      <c r="AU391" s="149"/>
      <c r="AV391" s="149"/>
      <c r="AW391" s="149"/>
      <c r="AX391" s="149"/>
      <c r="AY391" s="149"/>
      <c r="AZ391" s="149"/>
      <c r="BA391" s="149"/>
      <c r="BB391" s="149"/>
      <c r="BC391" s="149"/>
      <c r="BD391" s="149"/>
      <c r="BE391" s="149"/>
      <c r="BF391" s="149"/>
      <c r="BG391" s="149"/>
      <c r="BH391" s="149"/>
      <c r="BI391" s="149"/>
      <c r="BJ391" s="149"/>
      <c r="BK391" s="149"/>
      <c r="BL391" s="149"/>
      <c r="BM391" s="149"/>
      <c r="BN391" s="149"/>
      <c r="BO391" s="149"/>
      <c r="BP391" s="149"/>
      <c r="BQ391" s="149"/>
      <c r="BR391" s="149"/>
      <c r="BS391" s="149"/>
      <c r="BT391" s="149"/>
      <c r="BU391" s="149"/>
      <c r="BV391" s="149"/>
      <c r="BW391" s="149"/>
      <c r="BX391" s="149"/>
      <c r="BY391" s="149"/>
      <c r="BZ391" s="149"/>
    </row>
    <row r="392" spans="7:78" ht="14.1" hidden="1" customHeight="1" thickTop="1" x14ac:dyDescent="0.25">
      <c r="G392" s="106"/>
      <c r="H392" s="218"/>
      <c r="J392" s="211"/>
      <c r="K392" s="119" t="s">
        <v>131</v>
      </c>
      <c r="L392" s="152">
        <v>3927.0331414811176</v>
      </c>
      <c r="M392" s="152">
        <v>3628.1343936117364</v>
      </c>
      <c r="N392" s="152">
        <v>3405.5152351443612</v>
      </c>
      <c r="O392" s="152">
        <v>3224.6930287215114</v>
      </c>
      <c r="P392" s="152">
        <v>3070.3082881291266</v>
      </c>
      <c r="Q392" s="152">
        <v>2934.1677956675426</v>
      </c>
      <c r="R392" s="152">
        <v>2811.3809305158825</v>
      </c>
      <c r="S392" s="152">
        <v>2698.7931419680062</v>
      </c>
      <c r="T392" s="152">
        <v>2594.250524947146</v>
      </c>
      <c r="U392" s="152">
        <v>2496.2167866284276</v>
      </c>
      <c r="V392" s="152">
        <v>2403.5575852088923</v>
      </c>
      <c r="W392" s="152">
        <v>2315.4114890183873</v>
      </c>
      <c r="X392" s="152">
        <v>2267.4170927473242</v>
      </c>
      <c r="Y392" s="152">
        <v>2222.7353787860425</v>
      </c>
      <c r="Z392" s="152">
        <v>2180.938426741533</v>
      </c>
      <c r="AA392" s="152">
        <v>2141.6762254063538</v>
      </c>
      <c r="AB392" s="152">
        <v>2104.6588373395271</v>
      </c>
      <c r="AC392" s="152">
        <v>2069.6433920708564</v>
      </c>
      <c r="AD392" s="152">
        <v>2036.4244194645364</v>
      </c>
      <c r="AE392" s="152">
        <v>2004.8265440238124</v>
      </c>
      <c r="AF392" s="152">
        <v>1974.6988802916867</v>
      </c>
      <c r="AG392" s="152">
        <v>1945.910675112541</v>
      </c>
      <c r="AH392" s="152">
        <v>1918.347878018021</v>
      </c>
      <c r="AI392" s="152">
        <v>1891.9104121875403</v>
      </c>
      <c r="AJ392" s="152">
        <v>1866.5099809733697</v>
      </c>
      <c r="AK392" s="152">
        <v>1842.0682886160155</v>
      </c>
      <c r="AL392" s="152">
        <v>1818.5155847023075</v>
      </c>
      <c r="AM392" s="152">
        <v>1795.7894641548012</v>
      </c>
      <c r="AN392" s="152">
        <v>1773.8338707410248</v>
      </c>
      <c r="AO392" s="152">
        <v>1752.5982640378727</v>
      </c>
      <c r="AP392" s="152">
        <v>1732.0369186965154</v>
      </c>
      <c r="AQ392" s="152">
        <v>1712.1083315681751</v>
      </c>
      <c r="AR392" s="149"/>
      <c r="AS392" s="149"/>
      <c r="AT392" s="149"/>
      <c r="AU392" s="149"/>
      <c r="AV392" s="149"/>
      <c r="AW392" s="149"/>
      <c r="AX392" s="149"/>
      <c r="AY392" s="149"/>
      <c r="AZ392" s="149"/>
      <c r="BA392" s="149"/>
      <c r="BB392" s="149"/>
      <c r="BC392" s="149"/>
      <c r="BD392" s="149"/>
      <c r="BE392" s="149"/>
      <c r="BF392" s="149"/>
      <c r="BG392" s="149"/>
      <c r="BH392" s="149"/>
      <c r="BI392" s="149"/>
      <c r="BJ392" s="149"/>
      <c r="BK392" s="149"/>
      <c r="BL392" s="149"/>
      <c r="BM392" s="149"/>
      <c r="BN392" s="149"/>
      <c r="BO392" s="149"/>
      <c r="BP392" s="149"/>
      <c r="BQ392" s="149"/>
      <c r="BR392" s="149"/>
      <c r="BS392" s="149"/>
      <c r="BT392" s="149"/>
      <c r="BU392" s="149"/>
      <c r="BV392" s="149"/>
      <c r="BW392" s="149"/>
      <c r="BX392" s="149"/>
      <c r="BY392" s="149"/>
      <c r="BZ392" s="149"/>
    </row>
    <row r="393" spans="7:78" ht="14.1" hidden="1" customHeight="1" x14ac:dyDescent="0.25">
      <c r="G393" s="106"/>
      <c r="H393" s="218"/>
      <c r="J393" s="211"/>
      <c r="K393" s="7" t="s">
        <v>132</v>
      </c>
      <c r="L393" s="150">
        <v>4069.1354521920325</v>
      </c>
      <c r="M393" s="150">
        <v>3806.2214097434535</v>
      </c>
      <c r="N393" s="150">
        <v>3610.0767953453246</v>
      </c>
      <c r="O393" s="150">
        <v>3450.518096054258</v>
      </c>
      <c r="P393" s="150">
        <v>3314.1007703133573</v>
      </c>
      <c r="Q393" s="150">
        <v>3193.653090220183</v>
      </c>
      <c r="R393" s="150">
        <v>3084.8941733318475</v>
      </c>
      <c r="S393" s="150">
        <v>2985.0627626980177</v>
      </c>
      <c r="T393" s="150">
        <v>2892.2734914573998</v>
      </c>
      <c r="U393" s="150">
        <v>2805.1816041644329</v>
      </c>
      <c r="V393" s="150">
        <v>2722.7941831331195</v>
      </c>
      <c r="W393" s="150">
        <v>2644.3571957267786</v>
      </c>
      <c r="X393" s="150">
        <v>2602.3465030399452</v>
      </c>
      <c r="Y393" s="150">
        <v>2563.2354838420611</v>
      </c>
      <c r="Z393" s="150">
        <v>2526.6495687349902</v>
      </c>
      <c r="AA393" s="150">
        <v>2492.2823841748368</v>
      </c>
      <c r="AB393" s="150">
        <v>2459.8801406845409</v>
      </c>
      <c r="AC393" s="150">
        <v>2429.2302476810596</v>
      </c>
      <c r="AD393" s="150">
        <v>2400.1528520273127</v>
      </c>
      <c r="AE393" s="150">
        <v>2372.4944431747472</v>
      </c>
      <c r="AF393" s="150">
        <v>2346.122947317725</v>
      </c>
      <c r="AG393" s="150">
        <v>2320.9239129563784</v>
      </c>
      <c r="AH393" s="150">
        <v>2296.7975088697922</v>
      </c>
      <c r="AI393" s="150">
        <v>2273.6561353196339</v>
      </c>
      <c r="AJ393" s="150">
        <v>2251.4225040468314</v>
      </c>
      <c r="AK393" s="150">
        <v>2230.0280808193424</v>
      </c>
      <c r="AL393" s="150">
        <v>2209.411811359998</v>
      </c>
      <c r="AM393" s="150">
        <v>2189.519070947284</v>
      </c>
      <c r="AN393" s="150">
        <v>2170.3007921621138</v>
      </c>
      <c r="AO393" s="150">
        <v>2151.7127357109812</v>
      </c>
      <c r="AP393" s="150">
        <v>2133.7148770550434</v>
      </c>
      <c r="AQ393" s="150">
        <v>2116.2708874525269</v>
      </c>
      <c r="AR393" s="149"/>
      <c r="AS393" s="149"/>
      <c r="AT393" s="149"/>
      <c r="AU393" s="149"/>
      <c r="AV393" s="149"/>
      <c r="AW393" s="149"/>
      <c r="AX393" s="149"/>
      <c r="AY393" s="149"/>
      <c r="AZ393" s="149"/>
      <c r="BA393" s="149"/>
      <c r="BB393" s="149"/>
      <c r="BC393" s="149"/>
      <c r="BD393" s="149"/>
      <c r="BE393" s="149"/>
      <c r="BF393" s="149"/>
      <c r="BG393" s="149"/>
      <c r="BH393" s="149"/>
      <c r="BI393" s="149"/>
      <c r="BJ393" s="149"/>
      <c r="BK393" s="149"/>
      <c r="BL393" s="149"/>
      <c r="BM393" s="149"/>
      <c r="BN393" s="149"/>
      <c r="BO393" s="149"/>
      <c r="BP393" s="149"/>
      <c r="BQ393" s="149"/>
      <c r="BR393" s="149"/>
      <c r="BS393" s="149"/>
      <c r="BT393" s="149"/>
      <c r="BU393" s="149"/>
      <c r="BV393" s="149"/>
      <c r="BW393" s="149"/>
      <c r="BX393" s="149"/>
      <c r="BY393" s="149"/>
      <c r="BZ393" s="149"/>
    </row>
    <row r="394" spans="7:78" ht="14.1" hidden="1" customHeight="1" thickBot="1" x14ac:dyDescent="0.3">
      <c r="G394" s="106"/>
      <c r="H394" s="218"/>
      <c r="J394" s="211"/>
      <c r="K394" s="121" t="s">
        <v>133</v>
      </c>
      <c r="L394" s="151">
        <v>4293.7597552708849</v>
      </c>
      <c r="M394" s="151">
        <v>4122.4070081560239</v>
      </c>
      <c r="N394" s="151">
        <v>3993.0898898896608</v>
      </c>
      <c r="O394" s="151">
        <v>3886.8059470364656</v>
      </c>
      <c r="P394" s="151">
        <v>3795.0909801053713</v>
      </c>
      <c r="Q394" s="151">
        <v>3713.4299273216711</v>
      </c>
      <c r="R394" s="151">
        <v>3639.127699169579</v>
      </c>
      <c r="S394" s="151">
        <v>3570.44590765166</v>
      </c>
      <c r="T394" s="151">
        <v>3506.1975936469703</v>
      </c>
      <c r="U394" s="151">
        <v>3445.5361475251307</v>
      </c>
      <c r="V394" s="151">
        <v>3387.8364640464465</v>
      </c>
      <c r="W394" s="151">
        <v>3332.6238314007423</v>
      </c>
      <c r="X394" s="151">
        <v>3306.1754112627459</v>
      </c>
      <c r="Y394" s="151">
        <v>3281.5525211932591</v>
      </c>
      <c r="Z394" s="151">
        <v>3258.5193457800833</v>
      </c>
      <c r="AA394" s="151">
        <v>3236.8830032664569</v>
      </c>
      <c r="AB394" s="151">
        <v>3216.4837169315865</v>
      </c>
      <c r="AC394" s="151">
        <v>3197.1876473955849</v>
      </c>
      <c r="AD394" s="151">
        <v>3178.8815655963172</v>
      </c>
      <c r="AE394" s="151">
        <v>3161.4688268173068</v>
      </c>
      <c r="AF394" s="151">
        <v>3144.8662821438993</v>
      </c>
      <c r="AG394" s="151">
        <v>3129.0018770309225</v>
      </c>
      <c r="AH394" s="151">
        <v>3113.8127613346437</v>
      </c>
      <c r="AI394" s="151">
        <v>3099.2437854125519</v>
      </c>
      <c r="AJ394" s="151">
        <v>3085.2462913583613</v>
      </c>
      <c r="AK394" s="151">
        <v>3071.7771324861469</v>
      </c>
      <c r="AL394" s="151">
        <v>3058.7978712203649</v>
      </c>
      <c r="AM394" s="151">
        <v>3046.2741178023107</v>
      </c>
      <c r="AN394" s="151">
        <v>3034.174981150878</v>
      </c>
      <c r="AO394" s="151">
        <v>3022.4726097990624</v>
      </c>
      <c r="AP394" s="151">
        <v>3011.1418057377018</v>
      </c>
      <c r="AQ394" s="151">
        <v>3000.1596976984601</v>
      </c>
      <c r="AR394" s="149"/>
      <c r="AS394" s="149"/>
      <c r="AT394" s="149"/>
      <c r="AU394" s="149"/>
      <c r="AV394" s="149"/>
      <c r="AW394" s="149"/>
      <c r="AX394" s="149"/>
      <c r="AY394" s="149"/>
      <c r="AZ394" s="149"/>
      <c r="BA394" s="149"/>
      <c r="BB394" s="149"/>
      <c r="BC394" s="149"/>
      <c r="BD394" s="149"/>
      <c r="BE394" s="149"/>
      <c r="BF394" s="149"/>
      <c r="BG394" s="149"/>
      <c r="BH394" s="149"/>
      <c r="BI394" s="149"/>
      <c r="BJ394" s="149"/>
      <c r="BK394" s="149"/>
      <c r="BL394" s="149"/>
      <c r="BM394" s="149"/>
      <c r="BN394" s="149"/>
      <c r="BO394" s="149"/>
      <c r="BP394" s="149"/>
      <c r="BQ394" s="149"/>
      <c r="BR394" s="149"/>
      <c r="BS394" s="149"/>
      <c r="BT394" s="149"/>
      <c r="BU394" s="149"/>
      <c r="BV394" s="149"/>
      <c r="BW394" s="149"/>
      <c r="BX394" s="149"/>
      <c r="BY394" s="149"/>
      <c r="BZ394" s="149"/>
    </row>
    <row r="395" spans="7:78" ht="14.1" customHeight="1" thickTop="1" x14ac:dyDescent="0.25">
      <c r="G395" s="106"/>
      <c r="H395" s="218"/>
      <c r="J395" s="211"/>
      <c r="K395" s="119" t="s">
        <v>134</v>
      </c>
      <c r="L395" s="152">
        <v>4313.9983509530421</v>
      </c>
      <c r="M395" s="152">
        <v>3985.6464733510848</v>
      </c>
      <c r="N395" s="152">
        <v>3741.0906858344565</v>
      </c>
      <c r="O395" s="152">
        <v>3542.4504726709752</v>
      </c>
      <c r="P395" s="152">
        <v>3372.8528420085904</v>
      </c>
      <c r="Q395" s="152">
        <v>3223.2972261484965</v>
      </c>
      <c r="R395" s="152">
        <v>3088.4110882680366</v>
      </c>
      <c r="S395" s="152">
        <v>2964.7290319587796</v>
      </c>
      <c r="T395" s="152">
        <v>2849.8849088806105</v>
      </c>
      <c r="U395" s="152">
        <v>2742.191041727453</v>
      </c>
      <c r="V395" s="152">
        <v>2640.4013119942992</v>
      </c>
      <c r="W395" s="152">
        <v>2543.5694035512329</v>
      </c>
      <c r="X395" s="152">
        <v>2490.8456961342231</v>
      </c>
      <c r="Y395" s="152">
        <v>2441.7610988308179</v>
      </c>
      <c r="Z395" s="152">
        <v>2395.8455244776892</v>
      </c>
      <c r="AA395" s="152">
        <v>2352.7144721762393</v>
      </c>
      <c r="AB395" s="152">
        <v>2312.0494343923588</v>
      </c>
      <c r="AC395" s="152">
        <v>2273.5836084864536</v>
      </c>
      <c r="AD395" s="152">
        <v>2237.0912775381166</v>
      </c>
      <c r="AE395" s="152">
        <v>2202.3797847561914</v>
      </c>
      <c r="AF395" s="152">
        <v>2169.2833766088847</v>
      </c>
      <c r="AG395" s="152">
        <v>2137.6584156789927</v>
      </c>
      <c r="AH395" s="152">
        <v>2107.3796130996575</v>
      </c>
      <c r="AI395" s="152">
        <v>2078.3370305985445</v>
      </c>
      <c r="AJ395" s="152">
        <v>2050.4336708805004</v>
      </c>
      <c r="AK395" s="152">
        <v>2023.583523014328</v>
      </c>
      <c r="AL395" s="152">
        <v>1997.7099634634908</v>
      </c>
      <c r="AM395" s="152">
        <v>1972.7444378278897</v>
      </c>
      <c r="AN395" s="152">
        <v>1948.6253661600854</v>
      </c>
      <c r="AO395" s="152">
        <v>1925.2972278433474</v>
      </c>
      <c r="AP395" s="152">
        <v>1902.7097918069564</v>
      </c>
      <c r="AQ395" s="152">
        <v>1880.8174652308537</v>
      </c>
      <c r="AR395" s="149"/>
      <c r="AS395" s="149"/>
      <c r="AT395" s="149"/>
      <c r="AU395" s="149"/>
      <c r="AV395" s="149"/>
      <c r="AW395" s="149"/>
      <c r="AX395" s="149"/>
      <c r="AY395" s="149"/>
      <c r="AZ395" s="149"/>
      <c r="BA395" s="149"/>
      <c r="BB395" s="149"/>
      <c r="BC395" s="149"/>
      <c r="BD395" s="149"/>
      <c r="BE395" s="149"/>
      <c r="BF395" s="149"/>
      <c r="BG395" s="149"/>
      <c r="BH395" s="149"/>
      <c r="BI395" s="149"/>
      <c r="BJ395" s="149"/>
      <c r="BK395" s="149"/>
      <c r="BL395" s="149"/>
      <c r="BM395" s="149"/>
      <c r="BN395" s="149"/>
      <c r="BO395" s="149"/>
      <c r="BP395" s="149"/>
      <c r="BQ395" s="149"/>
      <c r="BR395" s="149"/>
      <c r="BS395" s="149"/>
      <c r="BT395" s="149"/>
      <c r="BU395" s="149"/>
      <c r="BV395" s="149"/>
      <c r="BW395" s="149"/>
      <c r="BX395" s="149"/>
      <c r="BY395" s="149"/>
      <c r="BZ395" s="149"/>
    </row>
    <row r="396" spans="7:78" ht="14.1" customHeight="1" x14ac:dyDescent="0.25">
      <c r="G396" s="106"/>
      <c r="H396" s="218"/>
      <c r="J396" s="211"/>
      <c r="K396" s="7" t="s">
        <v>135</v>
      </c>
      <c r="L396" s="150">
        <v>4470.1032555941811</v>
      </c>
      <c r="M396" s="150">
        <v>4181.2819738013341</v>
      </c>
      <c r="N396" s="150">
        <v>3965.8095006704584</v>
      </c>
      <c r="O396" s="150">
        <v>3790.528075527644</v>
      </c>
      <c r="P396" s="150">
        <v>3640.6683475637215</v>
      </c>
      <c r="Q396" s="150">
        <v>3508.3518952757486</v>
      </c>
      <c r="R396" s="150">
        <v>3388.876003118964</v>
      </c>
      <c r="S396" s="150">
        <v>3279.2073231431118</v>
      </c>
      <c r="T396" s="150">
        <v>3177.2747066622678</v>
      </c>
      <c r="U396" s="150">
        <v>3081.6008876168944</v>
      </c>
      <c r="V396" s="150">
        <v>2991.0951073844644</v>
      </c>
      <c r="W396" s="150">
        <v>2904.9290318424946</v>
      </c>
      <c r="X396" s="150">
        <v>2858.7786550964915</v>
      </c>
      <c r="Y396" s="150">
        <v>2815.8136822416586</v>
      </c>
      <c r="Z396" s="150">
        <v>2775.6226342535883</v>
      </c>
      <c r="AA396" s="150">
        <v>2737.8689479010754</v>
      </c>
      <c r="AB396" s="150">
        <v>2702.2738255916174</v>
      </c>
      <c r="AC396" s="150">
        <v>2668.6037283171045</v>
      </c>
      <c r="AD396" s="150">
        <v>2636.6610804246643</v>
      </c>
      <c r="AE396" s="150">
        <v>2606.2772446175259</v>
      </c>
      <c r="AF396" s="150">
        <v>2577.3071326931713</v>
      </c>
      <c r="AG396" s="150">
        <v>2549.6250152360576</v>
      </c>
      <c r="AH396" s="150">
        <v>2523.1212237746226</v>
      </c>
      <c r="AI396" s="150">
        <v>2497.6995265957394</v>
      </c>
      <c r="AJ396" s="150">
        <v>2473.2750195465342</v>
      </c>
      <c r="AK396" s="150">
        <v>2449.7724151126517</v>
      </c>
      <c r="AL396" s="150">
        <v>2427.1246428005311</v>
      </c>
      <c r="AM396" s="150">
        <v>2405.2716952330916</v>
      </c>
      <c r="AN396" s="150">
        <v>2384.1596699456982</v>
      </c>
      <c r="AO396" s="150">
        <v>2363.7399683570925</v>
      </c>
      <c r="AP396" s="150">
        <v>2343.9686219576279</v>
      </c>
      <c r="AQ396" s="150">
        <v>2324.8057222142061</v>
      </c>
      <c r="AR396" s="149"/>
      <c r="AS396" s="149"/>
      <c r="AT396" s="149"/>
      <c r="AU396" s="149"/>
      <c r="AV396" s="149"/>
      <c r="AW396" s="149"/>
      <c r="AX396" s="149"/>
      <c r="AY396" s="149"/>
      <c r="AZ396" s="149"/>
      <c r="BA396" s="149"/>
      <c r="BB396" s="149"/>
      <c r="BC396" s="149"/>
      <c r="BD396" s="149"/>
      <c r="BE396" s="149"/>
      <c r="BF396" s="149"/>
      <c r="BG396" s="149"/>
      <c r="BH396" s="149"/>
      <c r="BI396" s="149"/>
      <c r="BJ396" s="149"/>
      <c r="BK396" s="149"/>
      <c r="BL396" s="149"/>
      <c r="BM396" s="149"/>
      <c r="BN396" s="149"/>
      <c r="BO396" s="149"/>
      <c r="BP396" s="149"/>
      <c r="BQ396" s="149"/>
      <c r="BR396" s="149"/>
      <c r="BS396" s="149"/>
      <c r="BT396" s="149"/>
      <c r="BU396" s="149"/>
      <c r="BV396" s="149"/>
      <c r="BW396" s="149"/>
      <c r="BX396" s="149"/>
      <c r="BY396" s="149"/>
      <c r="BZ396" s="149"/>
    </row>
    <row r="397" spans="7:78" ht="14.1" customHeight="1" thickBot="1" x14ac:dyDescent="0.3">
      <c r="G397" s="106"/>
      <c r="H397" s="218"/>
      <c r="J397" s="211"/>
      <c r="K397" s="121" t="s">
        <v>136</v>
      </c>
      <c r="L397" s="151">
        <v>4716.8617723050093</v>
      </c>
      <c r="M397" s="151">
        <v>4528.6241277900008</v>
      </c>
      <c r="N397" s="151">
        <v>4386.5642533625887</v>
      </c>
      <c r="O397" s="151">
        <v>4269.8072162603912</v>
      </c>
      <c r="P397" s="151">
        <v>4169.0547647673984</v>
      </c>
      <c r="Q397" s="151">
        <v>4079.3469282521442</v>
      </c>
      <c r="R397" s="151">
        <v>3997.7230462598041</v>
      </c>
      <c r="S397" s="151">
        <v>3922.2734320920326</v>
      </c>
      <c r="T397" s="151">
        <v>3851.6941650774415</v>
      </c>
      <c r="U397" s="151">
        <v>3785.0552116721888</v>
      </c>
      <c r="V397" s="151">
        <v>3721.6698695042651</v>
      </c>
      <c r="W397" s="151">
        <v>3661.0166492221697</v>
      </c>
      <c r="X397" s="151">
        <v>3631.9620329890113</v>
      </c>
      <c r="Y397" s="151">
        <v>3604.9128324020762</v>
      </c>
      <c r="Z397" s="151">
        <v>3579.6099950768539</v>
      </c>
      <c r="AA397" s="151">
        <v>3555.8416329159895</v>
      </c>
      <c r="AB397" s="151">
        <v>3533.4322249892566</v>
      </c>
      <c r="AC397" s="151">
        <v>3512.2347435422857</v>
      </c>
      <c r="AD397" s="151">
        <v>3492.1248020548383</v>
      </c>
      <c r="AE397" s="151">
        <v>3472.9962325541755</v>
      </c>
      <c r="AF397" s="151">
        <v>3454.75769272976</v>
      </c>
      <c r="AG397" s="151">
        <v>3437.3300278666052</v>
      </c>
      <c r="AH397" s="151">
        <v>3420.6441946420182</v>
      </c>
      <c r="AI397" s="151">
        <v>3404.6396090328235</v>
      </c>
      <c r="AJ397" s="151">
        <v>3389.2628184400969</v>
      </c>
      <c r="AK397" s="151">
        <v>3374.4664245544209</v>
      </c>
      <c r="AL397" s="151">
        <v>3360.208202206938</v>
      </c>
      <c r="AM397" s="151">
        <v>3346.4503729127209</v>
      </c>
      <c r="AN397" s="151">
        <v>3333.159001620003</v>
      </c>
      <c r="AO397" s="151">
        <v>3320.3034924111012</v>
      </c>
      <c r="AP397" s="151">
        <v>3307.8561642947807</v>
      </c>
      <c r="AQ397" s="151">
        <v>3295.7918922949243</v>
      </c>
      <c r="AR397" s="149"/>
      <c r="AS397" s="149"/>
      <c r="AT397" s="149"/>
      <c r="AU397" s="149"/>
      <c r="AV397" s="149"/>
      <c r="AW397" s="149"/>
      <c r="AX397" s="149"/>
      <c r="AY397" s="149"/>
      <c r="AZ397" s="149"/>
      <c r="BA397" s="149"/>
      <c r="BB397" s="149"/>
      <c r="BC397" s="149"/>
      <c r="BD397" s="149"/>
      <c r="BE397" s="149"/>
      <c r="BF397" s="149"/>
      <c r="BG397" s="149"/>
      <c r="BH397" s="149"/>
      <c r="BI397" s="149"/>
      <c r="BJ397" s="149"/>
      <c r="BK397" s="149"/>
      <c r="BL397" s="149"/>
      <c r="BM397" s="149"/>
      <c r="BN397" s="149"/>
      <c r="BO397" s="149"/>
      <c r="BP397" s="149"/>
      <c r="BQ397" s="149"/>
      <c r="BR397" s="149"/>
      <c r="BS397" s="149"/>
      <c r="BT397" s="149"/>
      <c r="BU397" s="149"/>
      <c r="BV397" s="149"/>
      <c r="BW397" s="149"/>
      <c r="BX397" s="149"/>
      <c r="BY397" s="149"/>
      <c r="BZ397" s="149"/>
    </row>
    <row r="398" spans="7:78" ht="14.1" customHeight="1" thickTop="1" thickBot="1" x14ac:dyDescent="0.3">
      <c r="G398" s="106"/>
      <c r="H398" s="218"/>
      <c r="J398" s="129"/>
      <c r="K398" s="7"/>
      <c r="L398" s="107">
        <v>2019</v>
      </c>
      <c r="M398" s="107">
        <v>2020</v>
      </c>
      <c r="N398" s="107">
        <v>2021</v>
      </c>
      <c r="O398" s="107">
        <v>2022</v>
      </c>
      <c r="P398" s="107">
        <v>2023</v>
      </c>
      <c r="Q398" s="107">
        <v>2024</v>
      </c>
      <c r="R398" s="107">
        <v>2025</v>
      </c>
      <c r="S398" s="107">
        <v>2026</v>
      </c>
      <c r="T398" s="107">
        <v>2027</v>
      </c>
      <c r="U398" s="107">
        <v>2028</v>
      </c>
      <c r="V398" s="107">
        <v>2029</v>
      </c>
      <c r="W398" s="107">
        <v>2030</v>
      </c>
      <c r="X398" s="107">
        <v>2031</v>
      </c>
      <c r="Y398" s="107">
        <v>2032</v>
      </c>
      <c r="Z398" s="107">
        <v>2033</v>
      </c>
      <c r="AA398" s="107">
        <v>2034</v>
      </c>
      <c r="AB398" s="107">
        <v>2035</v>
      </c>
      <c r="AC398" s="107">
        <v>2036</v>
      </c>
      <c r="AD398" s="107">
        <v>2037</v>
      </c>
      <c r="AE398" s="107">
        <v>2038</v>
      </c>
      <c r="AF398" s="107">
        <v>2039</v>
      </c>
      <c r="AG398" s="107">
        <v>2040</v>
      </c>
      <c r="AH398" s="107">
        <v>2041</v>
      </c>
      <c r="AI398" s="107">
        <v>2042</v>
      </c>
      <c r="AJ398" s="107">
        <v>2043</v>
      </c>
      <c r="AK398" s="107">
        <v>2044</v>
      </c>
      <c r="AL398" s="107">
        <v>2045</v>
      </c>
      <c r="AM398" s="107">
        <v>2046</v>
      </c>
      <c r="AN398" s="107">
        <v>2047</v>
      </c>
      <c r="AO398" s="107">
        <v>2048</v>
      </c>
      <c r="AP398" s="107">
        <v>2049</v>
      </c>
      <c r="AQ398" s="107">
        <v>2050</v>
      </c>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c r="BS398" s="107"/>
      <c r="BT398" s="107"/>
      <c r="BU398" s="107"/>
      <c r="BV398" s="107"/>
      <c r="BW398" s="107"/>
      <c r="BX398" s="107"/>
      <c r="BY398" s="107"/>
      <c r="BZ398" s="107"/>
    </row>
    <row r="399" spans="7:78" ht="14.1" hidden="1" customHeight="1" x14ac:dyDescent="0.25">
      <c r="G399" s="106"/>
      <c r="H399" s="218"/>
      <c r="J399" s="209" t="s">
        <v>141</v>
      </c>
      <c r="K399" s="119" t="s">
        <v>95</v>
      </c>
      <c r="L399" s="148">
        <v>109.87290355345478</v>
      </c>
      <c r="M399" s="148">
        <v>102.33303645943096</v>
      </c>
      <c r="N399" s="148">
        <v>96.98341562093178</v>
      </c>
      <c r="O399" s="148">
        <v>92.833927326741005</v>
      </c>
      <c r="P399" s="148">
        <v>89.443548526907975</v>
      </c>
      <c r="Q399" s="148">
        <v>86.577024095807261</v>
      </c>
      <c r="R399" s="148">
        <v>84.093927688408783</v>
      </c>
      <c r="S399" s="148">
        <v>81.90368143288417</v>
      </c>
      <c r="T399" s="148">
        <v>79.944439394218023</v>
      </c>
      <c r="U399" s="148">
        <v>78.172089384163854</v>
      </c>
      <c r="V399" s="148">
        <v>76.554060594384978</v>
      </c>
      <c r="W399" s="148">
        <v>75.065618393969388</v>
      </c>
      <c r="X399" s="148">
        <v>73.687536163284264</v>
      </c>
      <c r="Y399" s="148">
        <v>72.404572300194218</v>
      </c>
      <c r="Z399" s="148">
        <v>71.204439755885815</v>
      </c>
      <c r="AA399" s="148">
        <v>70.07708851904539</v>
      </c>
      <c r="AB399" s="148">
        <v>69.014193500361174</v>
      </c>
      <c r="AC399" s="148">
        <v>68.008781063214272</v>
      </c>
      <c r="AD399" s="148">
        <v>67.054951461695026</v>
      </c>
      <c r="AE399" s="148">
        <v>66.147669069260459</v>
      </c>
      <c r="AF399" s="148">
        <v>65.282601451640858</v>
      </c>
      <c r="AG399" s="148">
        <v>64.455994241360813</v>
      </c>
      <c r="AH399" s="148">
        <v>63.664572661861989</v>
      </c>
      <c r="AI399" s="148">
        <v>62.905463167504259</v>
      </c>
      <c r="AJ399" s="148">
        <v>62.176130461446391</v>
      </c>
      <c r="AK399" s="148">
        <v>61.474326406337369</v>
      </c>
      <c r="AL399" s="148">
        <v>60.798048230761275</v>
      </c>
      <c r="AM399" s="148">
        <v>60.145504072854898</v>
      </c>
      <c r="AN399" s="148">
        <v>59.515084367671221</v>
      </c>
      <c r="AO399" s="148">
        <v>58.905337927896213</v>
      </c>
      <c r="AP399" s="148">
        <v>58.314951823362819</v>
      </c>
      <c r="AQ399" s="148">
        <v>57.742734357617053</v>
      </c>
      <c r="AR399" s="149"/>
      <c r="AS399" s="149"/>
      <c r="AT399" s="149"/>
      <c r="AU399" s="149"/>
      <c r="AV399" s="149"/>
      <c r="AW399" s="149"/>
      <c r="AX399" s="149"/>
      <c r="AY399" s="149"/>
      <c r="AZ399" s="149"/>
      <c r="BA399" s="149"/>
      <c r="BB399" s="149"/>
      <c r="BC399" s="149"/>
      <c r="BD399" s="149"/>
      <c r="BE399" s="149"/>
      <c r="BF399" s="149"/>
      <c r="BG399" s="149"/>
      <c r="BH399" s="149"/>
      <c r="BI399" s="149"/>
      <c r="BJ399" s="149"/>
      <c r="BK399" s="149"/>
      <c r="BL399" s="149"/>
      <c r="BM399" s="149"/>
      <c r="BN399" s="149"/>
      <c r="BO399" s="149"/>
      <c r="BP399" s="149"/>
      <c r="BQ399" s="149"/>
      <c r="BR399" s="149"/>
      <c r="BS399" s="149"/>
      <c r="BT399" s="149"/>
      <c r="BU399" s="149"/>
      <c r="BV399" s="149"/>
      <c r="BW399" s="149"/>
      <c r="BX399" s="149"/>
      <c r="BY399" s="149"/>
      <c r="BZ399" s="149"/>
    </row>
    <row r="400" spans="7:78" ht="14.1" hidden="1" customHeight="1" x14ac:dyDescent="0.25">
      <c r="G400" s="106"/>
      <c r="H400" s="218"/>
      <c r="J400" s="210"/>
      <c r="K400" s="7" t="s">
        <v>96</v>
      </c>
      <c r="L400" s="150">
        <v>113.93122070304592</v>
      </c>
      <c r="M400" s="150">
        <v>107.23280416179153</v>
      </c>
      <c r="N400" s="150">
        <v>102.48020199159619</v>
      </c>
      <c r="O400" s="150">
        <v>98.793797353299652</v>
      </c>
      <c r="P400" s="150">
        <v>95.781785450341815</v>
      </c>
      <c r="Q400" s="150">
        <v>93.235165672333537</v>
      </c>
      <c r="R400" s="150">
        <v>91.029183280146484</v>
      </c>
      <c r="S400" s="150">
        <v>89.083368909087426</v>
      </c>
      <c r="T400" s="150">
        <v>87.342778641849918</v>
      </c>
      <c r="U400" s="150">
        <v>85.768223218499131</v>
      </c>
      <c r="V400" s="150">
        <v>84.330766738892095</v>
      </c>
      <c r="W400" s="150">
        <v>83.008434961470243</v>
      </c>
      <c r="X400" s="150">
        <v>81.784146960883803</v>
      </c>
      <c r="Y400" s="150">
        <v>80.644362100595529</v>
      </c>
      <c r="Z400" s="150">
        <v>79.578164568696749</v>
      </c>
      <c r="AA400" s="150">
        <v>78.576625936982552</v>
      </c>
      <c r="AB400" s="150">
        <v>77.632350197637706</v>
      </c>
      <c r="AC400" s="150">
        <v>76.739141973171044</v>
      </c>
      <c r="AD400" s="150">
        <v>75.891759930400198</v>
      </c>
      <c r="AE400" s="150">
        <v>75.085730419629414</v>
      </c>
      <c r="AF400" s="150">
        <v>74.317204507049397</v>
      </c>
      <c r="AG400" s="150">
        <v>73.582846813284675</v>
      </c>
      <c r="AH400" s="150">
        <v>72.879748027442361</v>
      </c>
      <c r="AI400" s="150">
        <v>72.205355292103633</v>
      </c>
      <c r="AJ400" s="150">
        <v>71.557416250020523</v>
      </c>
      <c r="AK400" s="150">
        <v>70.933933656383317</v>
      </c>
      <c r="AL400" s="150">
        <v>70.333128249434068</v>
      </c>
      <c r="AM400" s="150">
        <v>69.75340813942266</v>
      </c>
      <c r="AN400" s="150">
        <v>69.193343389145809</v>
      </c>
      <c r="AO400" s="150">
        <v>68.65164476406035</v>
      </c>
      <c r="AP400" s="150">
        <v>68.127145857247015</v>
      </c>
      <c r="AQ400" s="150">
        <v>67.618787965795022</v>
      </c>
      <c r="AR400" s="149"/>
      <c r="AS400" s="149"/>
      <c r="AT400" s="149"/>
      <c r="AU400" s="149"/>
      <c r="AV400" s="149"/>
      <c r="AW400" s="149"/>
      <c r="AX400" s="149"/>
      <c r="AY400" s="149"/>
      <c r="AZ400" s="149"/>
      <c r="BA400" s="149"/>
      <c r="BB400" s="149"/>
      <c r="BC400" s="149"/>
      <c r="BD400" s="149"/>
      <c r="BE400" s="149"/>
      <c r="BF400" s="149"/>
      <c r="BG400" s="149"/>
      <c r="BH400" s="149"/>
      <c r="BI400" s="149"/>
      <c r="BJ400" s="149"/>
      <c r="BK400" s="149"/>
      <c r="BL400" s="149"/>
      <c r="BM400" s="149"/>
      <c r="BN400" s="149"/>
      <c r="BO400" s="149"/>
      <c r="BP400" s="149"/>
      <c r="BQ400" s="149"/>
      <c r="BR400" s="149"/>
      <c r="BS400" s="149"/>
      <c r="BT400" s="149"/>
      <c r="BU400" s="149"/>
      <c r="BV400" s="149"/>
      <c r="BW400" s="149"/>
      <c r="BX400" s="149"/>
      <c r="BY400" s="149"/>
      <c r="BZ400" s="149"/>
    </row>
    <row r="401" spans="7:78" ht="14.1" hidden="1" customHeight="1" thickBot="1" x14ac:dyDescent="0.3">
      <c r="G401" s="106"/>
      <c r="H401" s="218"/>
      <c r="J401" s="210"/>
      <c r="K401" s="121" t="s">
        <v>97</v>
      </c>
      <c r="L401" s="151">
        <v>120.53089486723958</v>
      </c>
      <c r="M401" s="151">
        <v>116.05333110108563</v>
      </c>
      <c r="N401" s="151">
        <v>112.87644905125326</v>
      </c>
      <c r="O401" s="151">
        <v>110.41226789229425</v>
      </c>
      <c r="P401" s="151">
        <v>108.39888528509931</v>
      </c>
      <c r="Q401" s="151">
        <v>106.69659454609346</v>
      </c>
      <c r="R401" s="151">
        <v>105.22200323526694</v>
      </c>
      <c r="S401" s="151">
        <v>103.92132151894535</v>
      </c>
      <c r="T401" s="151">
        <v>102.75782207630792</v>
      </c>
      <c r="U401" s="151">
        <v>101.70530880425686</v>
      </c>
      <c r="V401" s="151">
        <v>100.74443946911299</v>
      </c>
      <c r="W401" s="151">
        <v>99.860525365391211</v>
      </c>
      <c r="X401" s="151">
        <v>99.042148730107144</v>
      </c>
      <c r="Y401" s="151">
        <v>98.280258310153968</v>
      </c>
      <c r="Z401" s="151">
        <v>97.567557419280604</v>
      </c>
      <c r="AA401" s="151">
        <v>96.898077840017677</v>
      </c>
      <c r="AB401" s="151">
        <v>96.266875702959027</v>
      </c>
      <c r="AC401" s="151">
        <v>95.669809701334472</v>
      </c>
      <c r="AD401" s="151">
        <v>95.103376260321596</v>
      </c>
      <c r="AE401" s="151">
        <v>94.564584963953195</v>
      </c>
      <c r="AF401" s="151">
        <v>94.050862988270524</v>
      </c>
      <c r="AG401" s="151">
        <v>93.559980795330404</v>
      </c>
      <c r="AH401" s="151">
        <v>93.089993653126655</v>
      </c>
      <c r="AI401" s="151">
        <v>92.639195101362574</v>
      </c>
      <c r="AJ401" s="151">
        <v>92.206079549404876</v>
      </c>
      <c r="AK401" s="151">
        <v>91.789311936805078</v>
      </c>
      <c r="AL401" s="151">
        <v>91.387702914120823</v>
      </c>
      <c r="AM401" s="151">
        <v>91.000188380930595</v>
      </c>
      <c r="AN401" s="151">
        <v>90.625812494167633</v>
      </c>
      <c r="AO401" s="151">
        <v>90.263713463610216</v>
      </c>
      <c r="AP401" s="151">
        <v>89.913111603294283</v>
      </c>
      <c r="AQ401" s="151">
        <v>89.573299222116574</v>
      </c>
      <c r="AR401" s="149"/>
      <c r="AS401" s="149"/>
      <c r="AT401" s="149"/>
      <c r="AU401" s="149"/>
      <c r="AV401" s="149"/>
      <c r="AW401" s="149"/>
      <c r="AX401" s="149"/>
      <c r="AY401" s="149"/>
      <c r="AZ401" s="149"/>
      <c r="BA401" s="149"/>
      <c r="BB401" s="149"/>
      <c r="BC401" s="149"/>
      <c r="BD401" s="149"/>
      <c r="BE401" s="149"/>
      <c r="BF401" s="149"/>
      <c r="BG401" s="149"/>
      <c r="BH401" s="149"/>
      <c r="BI401" s="149"/>
      <c r="BJ401" s="149"/>
      <c r="BK401" s="149"/>
      <c r="BL401" s="149"/>
      <c r="BM401" s="149"/>
      <c r="BN401" s="149"/>
      <c r="BO401" s="149"/>
      <c r="BP401" s="149"/>
      <c r="BQ401" s="149"/>
      <c r="BR401" s="149"/>
      <c r="BS401" s="149"/>
      <c r="BT401" s="149"/>
      <c r="BU401" s="149"/>
      <c r="BV401" s="149"/>
      <c r="BW401" s="149"/>
      <c r="BX401" s="149"/>
      <c r="BY401" s="149"/>
      <c r="BZ401" s="149"/>
    </row>
    <row r="402" spans="7:78" ht="14.1" hidden="1" customHeight="1" thickTop="1" x14ac:dyDescent="0.25">
      <c r="G402" s="106"/>
      <c r="H402" s="218"/>
      <c r="J402" s="210"/>
      <c r="K402" s="119" t="s">
        <v>98</v>
      </c>
      <c r="L402" s="152">
        <v>112.23504039222381</v>
      </c>
      <c r="M402" s="152">
        <v>104.53307511706336</v>
      </c>
      <c r="N402" s="152">
        <v>99.068443788740211</v>
      </c>
      <c r="O402" s="152">
        <v>94.829746428030319</v>
      </c>
      <c r="P402" s="152">
        <v>91.366478513579764</v>
      </c>
      <c r="Q402" s="152">
        <v>88.438327214170798</v>
      </c>
      <c r="R402" s="152">
        <v>85.901847185256599</v>
      </c>
      <c r="S402" s="152">
        <v>83.664513238419318</v>
      </c>
      <c r="T402" s="152">
        <v>81.663149824546707</v>
      </c>
      <c r="U402" s="152">
        <v>79.852696395773791</v>
      </c>
      <c r="V402" s="152">
        <v>78.199881910096153</v>
      </c>
      <c r="W402" s="152">
        <v>76.679439971435087</v>
      </c>
      <c r="X402" s="152">
        <v>75.271730610687186</v>
      </c>
      <c r="Y402" s="152">
        <v>73.961184549386275</v>
      </c>
      <c r="Z402" s="152">
        <v>72.735250581773016</v>
      </c>
      <c r="AA402" s="152">
        <v>71.583662633235264</v>
      </c>
      <c r="AB402" s="152">
        <v>70.497916634935706</v>
      </c>
      <c r="AC402" s="152">
        <v>69.470889025356556</v>
      </c>
      <c r="AD402" s="152">
        <v>68.49655322106311</v>
      </c>
      <c r="AE402" s="152">
        <v>67.569765335526739</v>
      </c>
      <c r="AF402" s="152">
        <v>66.686099792290193</v>
      </c>
      <c r="AG402" s="152">
        <v>65.841721509439509</v>
      </c>
      <c r="AH402" s="152">
        <v>65.033285306612555</v>
      </c>
      <c r="AI402" s="152">
        <v>64.257855860353217</v>
      </c>
      <c r="AJ402" s="152">
        <v>63.512843367951483</v>
      </c>
      <c r="AK402" s="152">
        <v>62.795951359775266</v>
      </c>
      <c r="AL402" s="152">
        <v>62.105134007203581</v>
      </c>
      <c r="AM402" s="152">
        <v>61.438560925472835</v>
      </c>
      <c r="AN402" s="152">
        <v>60.794587945902663</v>
      </c>
      <c r="AO402" s="152">
        <v>60.171732682376586</v>
      </c>
      <c r="AP402" s="152">
        <v>59.568653978289404</v>
      </c>
      <c r="AQ402" s="152">
        <v>58.984134517129746</v>
      </c>
      <c r="AR402" s="149"/>
      <c r="AS402" s="149"/>
      <c r="AT402" s="149"/>
      <c r="AU402" s="149"/>
      <c r="AV402" s="149"/>
      <c r="AW402" s="149"/>
      <c r="AX402" s="149"/>
      <c r="AY402" s="149"/>
      <c r="AZ402" s="149"/>
      <c r="BA402" s="149"/>
      <c r="BB402" s="149"/>
      <c r="BC402" s="149"/>
      <c r="BD402" s="149"/>
      <c r="BE402" s="149"/>
      <c r="BF402" s="149"/>
      <c r="BG402" s="149"/>
      <c r="BH402" s="149"/>
      <c r="BI402" s="149"/>
      <c r="BJ402" s="149"/>
      <c r="BK402" s="149"/>
      <c r="BL402" s="149"/>
      <c r="BM402" s="149"/>
      <c r="BN402" s="149"/>
      <c r="BO402" s="149"/>
      <c r="BP402" s="149"/>
      <c r="BQ402" s="149"/>
      <c r="BR402" s="149"/>
      <c r="BS402" s="149"/>
      <c r="BT402" s="149"/>
      <c r="BU402" s="149"/>
      <c r="BV402" s="149"/>
      <c r="BW402" s="149"/>
      <c r="BX402" s="149"/>
      <c r="BY402" s="149"/>
      <c r="BZ402" s="149"/>
    </row>
    <row r="403" spans="7:78" ht="14.1" hidden="1" customHeight="1" x14ac:dyDescent="0.25">
      <c r="G403" s="106"/>
      <c r="H403" s="218"/>
      <c r="J403" s="210"/>
      <c r="K403" s="7" t="s">
        <v>99</v>
      </c>
      <c r="L403" s="150">
        <v>116.38060653708516</v>
      </c>
      <c r="M403" s="150">
        <v>109.53818200148648</v>
      </c>
      <c r="N403" s="150">
        <v>104.68340453325898</v>
      </c>
      <c r="O403" s="150">
        <v>100.91774657665459</v>
      </c>
      <c r="P403" s="150">
        <v>97.840979997660298</v>
      </c>
      <c r="Q403" s="150">
        <v>95.239610921167852</v>
      </c>
      <c r="R403" s="150">
        <v>92.986202529432816</v>
      </c>
      <c r="S403" s="150">
        <v>90.998555462061617</v>
      </c>
      <c r="T403" s="150">
        <v>89.220544572828416</v>
      </c>
      <c r="U403" s="150">
        <v>87.612138079287504</v>
      </c>
      <c r="V403" s="150">
        <v>86.143777993834149</v>
      </c>
      <c r="W403" s="150">
        <v>84.793017654833378</v>
      </c>
      <c r="X403" s="150">
        <v>83.542408917341675</v>
      </c>
      <c r="Y403" s="150">
        <v>82.378120037229735</v>
      </c>
      <c r="Z403" s="150">
        <v>81.289000525606653</v>
      </c>
      <c r="AA403" s="150">
        <v>80.26593000367285</v>
      </c>
      <c r="AB403" s="150">
        <v>79.301353458235468</v>
      </c>
      <c r="AC403" s="150">
        <v>78.38894231855069</v>
      </c>
      <c r="AD403" s="150">
        <v>77.523342569002239</v>
      </c>
      <c r="AE403" s="150">
        <v>76.699984381742993</v>
      </c>
      <c r="AF403" s="150">
        <v>75.914936075461327</v>
      </c>
      <c r="AG403" s="150">
        <v>75.164790564089401</v>
      </c>
      <c r="AH403" s="150">
        <v>74.446575990007972</v>
      </c>
      <c r="AI403" s="150">
        <v>73.757684612397838</v>
      </c>
      <c r="AJ403" s="150">
        <v>73.095815651007214</v>
      </c>
      <c r="AK403" s="150">
        <v>72.458928922636787</v>
      </c>
      <c r="AL403" s="150">
        <v>71.845206913515497</v>
      </c>
      <c r="AM403" s="150">
        <v>71.253023510155629</v>
      </c>
      <c r="AN403" s="150">
        <v>70.680918033403557</v>
      </c>
      <c r="AO403" s="150">
        <v>70.12757353170575</v>
      </c>
      <c r="AP403" s="150">
        <v>69.591798521780476</v>
      </c>
      <c r="AQ403" s="150">
        <v>69.07251153986266</v>
      </c>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c r="BS403" s="149"/>
      <c r="BT403" s="149"/>
      <c r="BU403" s="149"/>
      <c r="BV403" s="149"/>
      <c r="BW403" s="149"/>
      <c r="BX403" s="149"/>
      <c r="BY403" s="149"/>
      <c r="BZ403" s="149"/>
    </row>
    <row r="404" spans="7:78" ht="14.1" hidden="1" customHeight="1" thickBot="1" x14ac:dyDescent="0.3">
      <c r="G404" s="106"/>
      <c r="H404" s="218"/>
      <c r="J404" s="210"/>
      <c r="K404" s="121" t="s">
        <v>100</v>
      </c>
      <c r="L404" s="151">
        <v>123.12216585187493</v>
      </c>
      <c r="M404" s="151">
        <v>118.54833978648334</v>
      </c>
      <c r="N404" s="151">
        <v>115.30315854841042</v>
      </c>
      <c r="O404" s="151">
        <v>112.78600042329573</v>
      </c>
      <c r="P404" s="151">
        <v>110.72933248301885</v>
      </c>
      <c r="Q404" s="151">
        <v>108.990444516354</v>
      </c>
      <c r="R404" s="151">
        <v>107.48415124494593</v>
      </c>
      <c r="S404" s="151">
        <v>106.15550641762727</v>
      </c>
      <c r="T404" s="151">
        <v>104.96699311983122</v>
      </c>
      <c r="U404" s="151">
        <v>103.89185206337838</v>
      </c>
      <c r="V404" s="151">
        <v>102.91032517955435</v>
      </c>
      <c r="W404" s="151">
        <v>102.00740797316411</v>
      </c>
      <c r="X404" s="151">
        <v>101.1714372128895</v>
      </c>
      <c r="Y404" s="151">
        <v>100.39316705443966</v>
      </c>
      <c r="Z404" s="151">
        <v>99.665143941481418</v>
      </c>
      <c r="AA404" s="151">
        <v>98.981271346963268</v>
      </c>
      <c r="AB404" s="151">
        <v>98.336499114162763</v>
      </c>
      <c r="AC404" s="151">
        <v>97.72659690313624</v>
      </c>
      <c r="AD404" s="151">
        <v>97.147985816366727</v>
      </c>
      <c r="AE404" s="151">
        <v>96.597611147497929</v>
      </c>
      <c r="AF404" s="151">
        <v>96.072844759913878</v>
      </c>
      <c r="AG404" s="151">
        <v>95.571409183255483</v>
      </c>
      <c r="AH404" s="151">
        <v>95.091317876089832</v>
      </c>
      <c r="AI404" s="151">
        <v>94.630827691252037</v>
      </c>
      <c r="AJ404" s="151">
        <v>94.188400669699604</v>
      </c>
      <c r="AK404" s="151">
        <v>93.762673048771191</v>
      </c>
      <c r="AL404" s="151">
        <v>93.352429909425013</v>
      </c>
      <c r="AM404" s="151">
        <v>92.956584274345204</v>
      </c>
      <c r="AN404" s="151">
        <v>92.574159750975141</v>
      </c>
      <c r="AO404" s="151">
        <v>92.204276021627564</v>
      </c>
      <c r="AP404" s="151">
        <v>91.846136638016915</v>
      </c>
      <c r="AQ404" s="151">
        <v>91.499018694522306</v>
      </c>
      <c r="AR404" s="149"/>
      <c r="AS404" s="149"/>
      <c r="AT404" s="149"/>
      <c r="AU404" s="149"/>
      <c r="AV404" s="149"/>
      <c r="AW404" s="149"/>
      <c r="AX404" s="149"/>
      <c r="AY404" s="149"/>
      <c r="AZ404" s="149"/>
      <c r="BA404" s="149"/>
      <c r="BB404" s="149"/>
      <c r="BC404" s="149"/>
      <c r="BD404" s="149"/>
      <c r="BE404" s="149"/>
      <c r="BF404" s="149"/>
      <c r="BG404" s="149"/>
      <c r="BH404" s="149"/>
      <c r="BI404" s="149"/>
      <c r="BJ404" s="149"/>
      <c r="BK404" s="149"/>
      <c r="BL404" s="149"/>
      <c r="BM404" s="149"/>
      <c r="BN404" s="149"/>
      <c r="BO404" s="149"/>
      <c r="BP404" s="149"/>
      <c r="BQ404" s="149"/>
      <c r="BR404" s="149"/>
      <c r="BS404" s="149"/>
      <c r="BT404" s="149"/>
      <c r="BU404" s="149"/>
      <c r="BV404" s="149"/>
      <c r="BW404" s="149"/>
      <c r="BX404" s="149"/>
      <c r="BY404" s="149"/>
      <c r="BZ404" s="149"/>
    </row>
    <row r="405" spans="7:78" ht="14.1" hidden="1" customHeight="1" thickTop="1" x14ac:dyDescent="0.25">
      <c r="G405" s="106"/>
      <c r="H405" s="218"/>
      <c r="J405" s="210"/>
      <c r="K405" s="119" t="s">
        <v>101</v>
      </c>
      <c r="L405" s="152">
        <v>114.24112311476195</v>
      </c>
      <c r="M405" s="152">
        <v>106.40149335073873</v>
      </c>
      <c r="N405" s="152">
        <v>100.83918751314931</v>
      </c>
      <c r="O405" s="152">
        <v>96.524727917119037</v>
      </c>
      <c r="P405" s="152">
        <v>92.999557749126097</v>
      </c>
      <c r="Q405" s="152">
        <v>90.019068840088309</v>
      </c>
      <c r="R405" s="152">
        <v>87.437251911536663</v>
      </c>
      <c r="S405" s="152">
        <v>85.159927985102883</v>
      </c>
      <c r="T405" s="152">
        <v>83.122792315506402</v>
      </c>
      <c r="U405" s="152">
        <v>81.279978945214964</v>
      </c>
      <c r="V405" s="152">
        <v>79.597622147513448</v>
      </c>
      <c r="W405" s="152">
        <v>78.050003916198051</v>
      </c>
      <c r="X405" s="152">
        <v>76.617133238475674</v>
      </c>
      <c r="Y405" s="152">
        <v>75.283162551483187</v>
      </c>
      <c r="Z405" s="152">
        <v>74.035316309924042</v>
      </c>
      <c r="AA405" s="152">
        <v>72.863144943952932</v>
      </c>
      <c r="AB405" s="152">
        <v>71.757992383490233</v>
      </c>
      <c r="AC405" s="152">
        <v>70.712607740885147</v>
      </c>
      <c r="AD405" s="152">
        <v>69.720856713893767</v>
      </c>
      <c r="AE405" s="152">
        <v>68.777503474452459</v>
      </c>
      <c r="AF405" s="152">
        <v>67.878043343602329</v>
      </c>
      <c r="AG405" s="152">
        <v>67.018572691393601</v>
      </c>
      <c r="AH405" s="152">
        <v>66.195686545900813</v>
      </c>
      <c r="AI405" s="152">
        <v>65.406397117863492</v>
      </c>
      <c r="AJ405" s="152">
        <v>64.648068314585416</v>
      </c>
      <c r="AK405" s="152">
        <v>63.918362619467018</v>
      </c>
      <c r="AL405" s="152">
        <v>63.215197636863032</v>
      </c>
      <c r="AM405" s="152">
        <v>62.536710265816787</v>
      </c>
      <c r="AN405" s="152">
        <v>61.881226949870545</v>
      </c>
      <c r="AO405" s="152">
        <v>61.247238806822743</v>
      </c>
      <c r="AP405" s="152">
        <v>60.6333807083114</v>
      </c>
      <c r="AQ405" s="152">
        <v>60.038413579579107</v>
      </c>
      <c r="AR405" s="149"/>
      <c r="AS405" s="149"/>
      <c r="AT405" s="149"/>
      <c r="AU405" s="149"/>
      <c r="AV405" s="149"/>
      <c r="AW405" s="149"/>
      <c r="AX405" s="149"/>
      <c r="AY405" s="149"/>
      <c r="AZ405" s="149"/>
      <c r="BA405" s="149"/>
      <c r="BB405" s="149"/>
      <c r="BC405" s="149"/>
      <c r="BD405" s="149"/>
      <c r="BE405" s="149"/>
      <c r="BF405" s="149"/>
      <c r="BG405" s="149"/>
      <c r="BH405" s="149"/>
      <c r="BI405" s="149"/>
      <c r="BJ405" s="149"/>
      <c r="BK405" s="149"/>
      <c r="BL405" s="149"/>
      <c r="BM405" s="149"/>
      <c r="BN405" s="149"/>
      <c r="BO405" s="149"/>
      <c r="BP405" s="149"/>
      <c r="BQ405" s="149"/>
      <c r="BR405" s="149"/>
      <c r="BS405" s="149"/>
      <c r="BT405" s="149"/>
      <c r="BU405" s="149"/>
      <c r="BV405" s="149"/>
      <c r="BW405" s="149"/>
      <c r="BX405" s="149"/>
      <c r="BY405" s="149"/>
      <c r="BZ405" s="149"/>
    </row>
    <row r="406" spans="7:78" ht="14.1" hidden="1" customHeight="1" x14ac:dyDescent="0.25">
      <c r="G406" s="106"/>
      <c r="H406" s="218"/>
      <c r="J406" s="210"/>
      <c r="K406" s="7" t="s">
        <v>102</v>
      </c>
      <c r="L406" s="150">
        <v>118.46078687289348</v>
      </c>
      <c r="M406" s="150">
        <v>111.49606123067812</v>
      </c>
      <c r="N406" s="150">
        <v>106.55450974636132</v>
      </c>
      <c r="O406" s="150">
        <v>102.72154463381585</v>
      </c>
      <c r="P406" s="150">
        <v>99.589784104145977</v>
      </c>
      <c r="Q406" s="150">
        <v>96.941918304873724</v>
      </c>
      <c r="R406" s="150">
        <v>94.648232619829187</v>
      </c>
      <c r="S406" s="150">
        <v>92.625058461930621</v>
      </c>
      <c r="T406" s="150">
        <v>90.815267507283707</v>
      </c>
      <c r="U406" s="150">
        <v>89.178112447642278</v>
      </c>
      <c r="V406" s="150">
        <v>87.683506977613845</v>
      </c>
      <c r="W406" s="150">
        <v>86.308603225211257</v>
      </c>
      <c r="X406" s="150">
        <v>85.035641178341578</v>
      </c>
      <c r="Y406" s="150">
        <v>83.850541865068365</v>
      </c>
      <c r="Z406" s="150">
        <v>82.741955493297041</v>
      </c>
      <c r="AA406" s="150">
        <v>81.7005986670966</v>
      </c>
      <c r="AB406" s="150">
        <v>80.718781335398489</v>
      </c>
      <c r="AC406" s="150">
        <v>79.790061810945673</v>
      </c>
      <c r="AD406" s="150">
        <v>78.908990380751561</v>
      </c>
      <c r="AE406" s="150">
        <v>78.070915536126222</v>
      </c>
      <c r="AF406" s="150">
        <v>77.271835321110117</v>
      </c>
      <c r="AG406" s="150">
        <v>76.508281751572994</v>
      </c>
      <c r="AH406" s="150">
        <v>75.777229851081685</v>
      </c>
      <c r="AI406" s="150">
        <v>75.076025268206081</v>
      </c>
      <c r="AJ406" s="150">
        <v>74.402326098679126</v>
      </c>
      <c r="AK406" s="150">
        <v>73.754055693183147</v>
      </c>
      <c r="AL406" s="150">
        <v>73.129364051809432</v>
      </c>
      <c r="AM406" s="150">
        <v>72.526595996010329</v>
      </c>
      <c r="AN406" s="150">
        <v>71.944264738536205</v>
      </c>
      <c r="AO406" s="150">
        <v>71.381029788716418</v>
      </c>
      <c r="AP406" s="150">
        <v>70.835678366764895</v>
      </c>
      <c r="AQ406" s="150">
        <v>70.30710967889479</v>
      </c>
      <c r="AR406" s="149"/>
      <c r="AS406" s="149"/>
      <c r="AT406" s="149"/>
      <c r="AU406" s="149"/>
      <c r="AV406" s="149"/>
      <c r="AW406" s="149"/>
      <c r="AX406" s="149"/>
      <c r="AY406" s="149"/>
      <c r="AZ406" s="149"/>
      <c r="BA406" s="149"/>
      <c r="BB406" s="149"/>
      <c r="BC406" s="149"/>
      <c r="BD406" s="149"/>
      <c r="BE406" s="149"/>
      <c r="BF406" s="149"/>
      <c r="BG406" s="149"/>
      <c r="BH406" s="149"/>
      <c r="BI406" s="149"/>
      <c r="BJ406" s="149"/>
      <c r="BK406" s="149"/>
      <c r="BL406" s="149"/>
      <c r="BM406" s="149"/>
      <c r="BN406" s="149"/>
      <c r="BO406" s="149"/>
      <c r="BP406" s="149"/>
      <c r="BQ406" s="149"/>
      <c r="BR406" s="149"/>
      <c r="BS406" s="149"/>
      <c r="BT406" s="149"/>
      <c r="BU406" s="149"/>
      <c r="BV406" s="149"/>
      <c r="BW406" s="149"/>
      <c r="BX406" s="149"/>
      <c r="BY406" s="149"/>
      <c r="BZ406" s="149"/>
    </row>
    <row r="407" spans="7:78" ht="14.1" hidden="1" customHeight="1" thickBot="1" x14ac:dyDescent="0.3">
      <c r="G407" s="106"/>
      <c r="H407" s="218"/>
      <c r="J407" s="210"/>
      <c r="K407" s="121" t="s">
        <v>103</v>
      </c>
      <c r="L407" s="151">
        <v>125.32284443508533</v>
      </c>
      <c r="M407" s="151">
        <v>120.66726606298444</v>
      </c>
      <c r="N407" s="151">
        <v>117.36408064020725</v>
      </c>
      <c r="O407" s="151">
        <v>114.80193097406362</v>
      </c>
      <c r="P407" s="151">
        <v>112.70850226810636</v>
      </c>
      <c r="Q407" s="151">
        <v>110.93853351691855</v>
      </c>
      <c r="R407" s="151">
        <v>109.40531684532915</v>
      </c>
      <c r="S407" s="151">
        <v>108.05292389600547</v>
      </c>
      <c r="T407" s="151">
        <v>106.84316717918553</v>
      </c>
      <c r="U407" s="151">
        <v>105.74880911269639</v>
      </c>
      <c r="V407" s="151">
        <v>104.74973847322826</v>
      </c>
      <c r="W407" s="151">
        <v>103.83068257609321</v>
      </c>
      <c r="X407" s="151">
        <v>102.97976972204047</v>
      </c>
      <c r="Y407" s="151">
        <v>102.18758880708465</v>
      </c>
      <c r="Z407" s="151">
        <v>101.44655305045106</v>
      </c>
      <c r="AA407" s="151">
        <v>100.7504569561107</v>
      </c>
      <c r="AB407" s="151">
        <v>100.09416010112737</v>
      </c>
      <c r="AC407" s="151">
        <v>99.473356532702113</v>
      </c>
      <c r="AD407" s="151">
        <v>98.884403384307447</v>
      </c>
      <c r="AE407" s="151">
        <v>98.324191349939582</v>
      </c>
      <c r="AF407" s="151">
        <v>97.790045317818297</v>
      </c>
      <c r="AG407" s="151">
        <v>97.279647110208955</v>
      </c>
      <c r="AH407" s="151">
        <v>96.790974678350167</v>
      </c>
      <c r="AI407" s="151">
        <v>96.322253718163836</v>
      </c>
      <c r="AJ407" s="151">
        <v>95.871918781215115</v>
      </c>
      <c r="AK407" s="151">
        <v>95.438581729026481</v>
      </c>
      <c r="AL407" s="151">
        <v>95.021005927162378</v>
      </c>
      <c r="AM407" s="151">
        <v>94.618084969736273</v>
      </c>
      <c r="AN407" s="151">
        <v>94.228825012206556</v>
      </c>
      <c r="AO407" s="151">
        <v>93.852330002137748</v>
      </c>
      <c r="AP407" s="151">
        <v>93.487789255572963</v>
      </c>
      <c r="AQ407" s="151">
        <v>93.134466945717421</v>
      </c>
      <c r="AR407" s="149"/>
      <c r="AS407" s="149"/>
      <c r="AT407" s="149"/>
      <c r="AU407" s="149"/>
      <c r="AV407" s="149"/>
      <c r="AW407" s="149"/>
      <c r="AX407" s="149"/>
      <c r="AY407" s="149"/>
      <c r="AZ407" s="149"/>
      <c r="BA407" s="149"/>
      <c r="BB407" s="149"/>
      <c r="BC407" s="149"/>
      <c r="BD407" s="149"/>
      <c r="BE407" s="149"/>
      <c r="BF407" s="149"/>
      <c r="BG407" s="149"/>
      <c r="BH407" s="149"/>
      <c r="BI407" s="149"/>
      <c r="BJ407" s="149"/>
      <c r="BK407" s="149"/>
      <c r="BL407" s="149"/>
      <c r="BM407" s="149"/>
      <c r="BN407" s="149"/>
      <c r="BO407" s="149"/>
      <c r="BP407" s="149"/>
      <c r="BQ407" s="149"/>
      <c r="BR407" s="149"/>
      <c r="BS407" s="149"/>
      <c r="BT407" s="149"/>
      <c r="BU407" s="149"/>
      <c r="BV407" s="149"/>
      <c r="BW407" s="149"/>
      <c r="BX407" s="149"/>
      <c r="BY407" s="149"/>
      <c r="BZ407" s="149"/>
    </row>
    <row r="408" spans="7:78" ht="14.1" hidden="1" customHeight="1" thickTop="1" x14ac:dyDescent="0.25">
      <c r="G408" s="106"/>
      <c r="H408" s="218"/>
      <c r="J408" s="210"/>
      <c r="K408" s="119" t="s">
        <v>104</v>
      </c>
      <c r="L408" s="152">
        <v>115.30521965670661</v>
      </c>
      <c r="M408" s="152">
        <v>107.39256782589538</v>
      </c>
      <c r="N408" s="152">
        <v>101.77845200740205</v>
      </c>
      <c r="O408" s="152">
        <v>97.423805468077433</v>
      </c>
      <c r="P408" s="152">
        <v>93.865800176590824</v>
      </c>
      <c r="Q408" s="152">
        <v>90.857549566206444</v>
      </c>
      <c r="R408" s="152">
        <v>88.251684358097478</v>
      </c>
      <c r="S408" s="152">
        <v>85.953148345779596</v>
      </c>
      <c r="T408" s="152">
        <v>83.897037818772858</v>
      </c>
      <c r="U408" s="152">
        <v>82.037059602046867</v>
      </c>
      <c r="V408" s="152">
        <v>80.33903252728625</v>
      </c>
      <c r="W408" s="152">
        <v>78.776999038458555</v>
      </c>
      <c r="X408" s="152">
        <v>77.330781916901884</v>
      </c>
      <c r="Y408" s="152">
        <v>75.98438598796163</v>
      </c>
      <c r="Z408" s="152">
        <v>74.724916708792932</v>
      </c>
      <c r="AA408" s="152">
        <v>73.541827177251577</v>
      </c>
      <c r="AB408" s="152">
        <v>72.426380696475022</v>
      </c>
      <c r="AC408" s="152">
        <v>71.371258840571713</v>
      </c>
      <c r="AD408" s="152">
        <v>70.370270169468299</v>
      </c>
      <c r="AE408" s="152">
        <v>69.418130086090656</v>
      </c>
      <c r="AF408" s="152">
        <v>68.510291952742293</v>
      </c>
      <c r="AG408" s="152">
        <v>67.642815779194308</v>
      </c>
      <c r="AH408" s="152">
        <v>66.81226487798169</v>
      </c>
      <c r="AI408" s="152">
        <v>66.015623630143679</v>
      </c>
      <c r="AJ408" s="152">
        <v>65.250231389153996</v>
      </c>
      <c r="AK408" s="152">
        <v>64.513728865663793</v>
      </c>
      <c r="AL408" s="152">
        <v>63.804014267597317</v>
      </c>
      <c r="AM408" s="152">
        <v>63.119207140183143</v>
      </c>
      <c r="AN408" s="152">
        <v>62.45761833865707</v>
      </c>
      <c r="AO408" s="152">
        <v>61.817724926365962</v>
      </c>
      <c r="AP408" s="152">
        <v>61.198149059488365</v>
      </c>
      <c r="AQ408" s="152">
        <v>60.597640121931072</v>
      </c>
      <c r="AR408" s="149"/>
      <c r="AS408" s="149"/>
      <c r="AT408" s="149"/>
      <c r="AU408" s="149"/>
      <c r="AV408" s="149"/>
      <c r="AW408" s="149"/>
      <c r="AX408" s="149"/>
      <c r="AY408" s="149"/>
      <c r="AZ408" s="149"/>
      <c r="BA408" s="149"/>
      <c r="BB408" s="149"/>
      <c r="BC408" s="149"/>
      <c r="BD408" s="149"/>
      <c r="BE408" s="149"/>
      <c r="BF408" s="149"/>
      <c r="BG408" s="149"/>
      <c r="BH408" s="149"/>
      <c r="BI408" s="149"/>
      <c r="BJ408" s="149"/>
      <c r="BK408" s="149"/>
      <c r="BL408" s="149"/>
      <c r="BM408" s="149"/>
      <c r="BN408" s="149"/>
      <c r="BO408" s="149"/>
      <c r="BP408" s="149"/>
      <c r="BQ408" s="149"/>
      <c r="BR408" s="149"/>
      <c r="BS408" s="149"/>
      <c r="BT408" s="149"/>
      <c r="BU408" s="149"/>
      <c r="BV408" s="149"/>
      <c r="BW408" s="149"/>
      <c r="BX408" s="149"/>
      <c r="BY408" s="149"/>
      <c r="BZ408" s="149"/>
    </row>
    <row r="409" spans="7:78" ht="14.1" hidden="1" customHeight="1" x14ac:dyDescent="0.25">
      <c r="G409" s="106"/>
      <c r="H409" s="218"/>
      <c r="J409" s="210"/>
      <c r="K409" s="7" t="s">
        <v>105</v>
      </c>
      <c r="L409" s="150">
        <v>119.56418738429129</v>
      </c>
      <c r="M409" s="150">
        <v>112.53458895135566</v>
      </c>
      <c r="N409" s="150">
        <v>107.54700948952133</v>
      </c>
      <c r="O409" s="150">
        <v>103.67834230393552</v>
      </c>
      <c r="P409" s="150">
        <v>100.51741105658569</v>
      </c>
      <c r="Q409" s="150">
        <v>97.844881766936965</v>
      </c>
      <c r="R409" s="150">
        <v>95.529831594751386</v>
      </c>
      <c r="S409" s="150">
        <v>93.487812623650058</v>
      </c>
      <c r="T409" s="150">
        <v>91.661164409165565</v>
      </c>
      <c r="U409" s="150">
        <v>90.008760103104848</v>
      </c>
      <c r="V409" s="150">
        <v>88.500233161815743</v>
      </c>
      <c r="W409" s="150">
        <v>87.11252289728732</v>
      </c>
      <c r="X409" s="150">
        <v>85.827703872167007</v>
      </c>
      <c r="Y409" s="150">
        <v>84.631565976229922</v>
      </c>
      <c r="Z409" s="150">
        <v>83.512653699981414</v>
      </c>
      <c r="AA409" s="150">
        <v>82.461597177494056</v>
      </c>
      <c r="AB409" s="150">
        <v>81.470634728880114</v>
      </c>
      <c r="AC409" s="150">
        <v>80.533264665921877</v>
      </c>
      <c r="AD409" s="150">
        <v>79.643986514395593</v>
      </c>
      <c r="AE409" s="150">
        <v>78.798105439231364</v>
      </c>
      <c r="AF409" s="150">
        <v>77.99158220833489</v>
      </c>
      <c r="AG409" s="150">
        <v>77.220916535110561</v>
      </c>
      <c r="AH409" s="150">
        <v>76.483055267045785</v>
      </c>
      <c r="AI409" s="150">
        <v>75.775319328809772</v>
      </c>
      <c r="AJ409" s="150">
        <v>75.095345002517377</v>
      </c>
      <c r="AK409" s="150">
        <v>74.441036295944471</v>
      </c>
      <c r="AL409" s="150">
        <v>73.810525977397035</v>
      </c>
      <c r="AM409" s="150">
        <v>73.202143451201621</v>
      </c>
      <c r="AN409" s="150">
        <v>72.614388081459964</v>
      </c>
      <c r="AO409" s="150">
        <v>72.045906891529199</v>
      </c>
      <c r="AP409" s="150">
        <v>71.495475805211456</v>
      </c>
      <c r="AQ409" s="150">
        <v>70.961983775399261</v>
      </c>
      <c r="AR409" s="149"/>
      <c r="AS409" s="149"/>
      <c r="AT409" s="149"/>
      <c r="AU409" s="149"/>
      <c r="AV409" s="149"/>
      <c r="AW409" s="149"/>
      <c r="AX409" s="149"/>
      <c r="AY409" s="149"/>
      <c r="AZ409" s="149"/>
      <c r="BA409" s="149"/>
      <c r="BB409" s="149"/>
      <c r="BC409" s="149"/>
      <c r="BD409" s="149"/>
      <c r="BE409" s="149"/>
      <c r="BF409" s="149"/>
      <c r="BG409" s="149"/>
      <c r="BH409" s="149"/>
      <c r="BI409" s="149"/>
      <c r="BJ409" s="149"/>
      <c r="BK409" s="149"/>
      <c r="BL409" s="149"/>
      <c r="BM409" s="149"/>
      <c r="BN409" s="149"/>
      <c r="BO409" s="149"/>
      <c r="BP409" s="149"/>
      <c r="BQ409" s="149"/>
      <c r="BR409" s="149"/>
      <c r="BS409" s="149"/>
      <c r="BT409" s="149"/>
      <c r="BU409" s="149"/>
      <c r="BV409" s="149"/>
      <c r="BW409" s="149"/>
      <c r="BX409" s="149"/>
      <c r="BY409" s="149"/>
      <c r="BZ409" s="149"/>
    </row>
    <row r="410" spans="7:78" ht="14.1" hidden="1" customHeight="1" thickBot="1" x14ac:dyDescent="0.3">
      <c r="G410" s="106"/>
      <c r="H410" s="218"/>
      <c r="J410" s="210"/>
      <c r="K410" s="121" t="s">
        <v>106</v>
      </c>
      <c r="L410" s="151">
        <v>126.49016143752831</v>
      </c>
      <c r="M410" s="151">
        <v>121.79121877845758</v>
      </c>
      <c r="N410" s="151">
        <v>118.45726590443388</v>
      </c>
      <c r="O410" s="151">
        <v>115.8712511490356</v>
      </c>
      <c r="P410" s="151">
        <v>113.75832324536316</v>
      </c>
      <c r="Q410" s="151">
        <v>111.97186815741554</v>
      </c>
      <c r="R410" s="151">
        <v>110.42437037133946</v>
      </c>
      <c r="S410" s="151">
        <v>109.05938058629243</v>
      </c>
      <c r="T410" s="151">
        <v>107.83835561594115</v>
      </c>
      <c r="U410" s="151">
        <v>106.73380417422557</v>
      </c>
      <c r="V410" s="151">
        <v>105.72542771226873</v>
      </c>
      <c r="W410" s="151">
        <v>104.79781128828195</v>
      </c>
      <c r="X410" s="151">
        <v>103.93897262432112</v>
      </c>
      <c r="Y410" s="151">
        <v>103.13941295687044</v>
      </c>
      <c r="Z410" s="151">
        <v>102.39147483824502</v>
      </c>
      <c r="AA410" s="151">
        <v>101.68889497145344</v>
      </c>
      <c r="AB410" s="151">
        <v>101.026485053198</v>
      </c>
      <c r="AC410" s="151">
        <v>100.39989902297285</v>
      </c>
      <c r="AD410" s="151">
        <v>99.805460082846736</v>
      </c>
      <c r="AE410" s="151">
        <v>99.2400299652504</v>
      </c>
      <c r="AF410" s="151">
        <v>98.700908641131122</v>
      </c>
      <c r="AG410" s="151">
        <v>98.185756340136464</v>
      </c>
      <c r="AH410" s="151">
        <v>97.692532179174293</v>
      </c>
      <c r="AI410" s="151">
        <v>97.21944532744844</v>
      </c>
      <c r="AJ410" s="151">
        <v>96.764915755187516</v>
      </c>
      <c r="AK410" s="151">
        <v>96.327542394127278</v>
      </c>
      <c r="AL410" s="151">
        <v>95.906077091226692</v>
      </c>
      <c r="AM410" s="151">
        <v>95.49940313500484</v>
      </c>
      <c r="AN410" s="151">
        <v>95.106517423775998</v>
      </c>
      <c r="AO410" s="151">
        <v>94.726515558843104</v>
      </c>
      <c r="AP410" s="151">
        <v>94.358579305150585</v>
      </c>
      <c r="AQ410" s="151">
        <v>94.001965982060412</v>
      </c>
      <c r="AR410" s="149"/>
      <c r="AS410" s="149"/>
      <c r="AT410" s="149"/>
      <c r="AU410" s="149"/>
      <c r="AV410" s="149"/>
      <c r="AW410" s="149"/>
      <c r="AX410" s="149"/>
      <c r="AY410" s="149"/>
      <c r="AZ410" s="149"/>
      <c r="BA410" s="149"/>
      <c r="BB410" s="149"/>
      <c r="BC410" s="149"/>
      <c r="BD410" s="149"/>
      <c r="BE410" s="149"/>
      <c r="BF410" s="149"/>
      <c r="BG410" s="149"/>
      <c r="BH410" s="149"/>
      <c r="BI410" s="149"/>
      <c r="BJ410" s="149"/>
      <c r="BK410" s="149"/>
      <c r="BL410" s="149"/>
      <c r="BM410" s="149"/>
      <c r="BN410" s="149"/>
      <c r="BO410" s="149"/>
      <c r="BP410" s="149"/>
      <c r="BQ410" s="149"/>
      <c r="BR410" s="149"/>
      <c r="BS410" s="149"/>
      <c r="BT410" s="149"/>
      <c r="BU410" s="149"/>
      <c r="BV410" s="149"/>
      <c r="BW410" s="149"/>
      <c r="BX410" s="149"/>
      <c r="BY410" s="149"/>
      <c r="BZ410" s="149"/>
    </row>
    <row r="411" spans="7:78" ht="14.1" hidden="1" customHeight="1" thickTop="1" x14ac:dyDescent="0.25">
      <c r="G411" s="106"/>
      <c r="H411" s="218"/>
      <c r="J411" s="210"/>
      <c r="K411" s="119" t="s">
        <v>107</v>
      </c>
      <c r="L411" s="152">
        <v>118.48547229332628</v>
      </c>
      <c r="M411" s="152">
        <v>110.35458028290731</v>
      </c>
      <c r="N411" s="152">
        <v>104.5856205927557</v>
      </c>
      <c r="O411" s="152">
        <v>100.11086781557415</v>
      </c>
      <c r="P411" s="152">
        <v>96.454728582336713</v>
      </c>
      <c r="Q411" s="152">
        <v>93.363506906429279</v>
      </c>
      <c r="R411" s="152">
        <v>90.685768892185109</v>
      </c>
      <c r="S411" s="152">
        <v>88.323836571917738</v>
      </c>
      <c r="T411" s="152">
        <v>86.211016115003559</v>
      </c>
      <c r="U411" s="152">
        <v>84.29973752657358</v>
      </c>
      <c r="V411" s="152">
        <v>82.554876881766134</v>
      </c>
      <c r="W411" s="152">
        <v>80.949760684834473</v>
      </c>
      <c r="X411" s="152">
        <v>79.4636552058587</v>
      </c>
      <c r="Y411" s="152">
        <v>78.080124104584584</v>
      </c>
      <c r="Z411" s="152">
        <v>76.785917191614544</v>
      </c>
      <c r="AA411" s="152">
        <v>75.570196668924268</v>
      </c>
      <c r="AB411" s="152">
        <v>74.423984871347159</v>
      </c>
      <c r="AC411" s="152">
        <v>73.339761522257476</v>
      </c>
      <c r="AD411" s="152">
        <v>72.31116441443298</v>
      </c>
      <c r="AE411" s="152">
        <v>71.332763195439711</v>
      </c>
      <c r="AF411" s="152">
        <v>70.399885826003</v>
      </c>
      <c r="AG411" s="152">
        <v>69.508483646361398</v>
      </c>
      <c r="AH411" s="152">
        <v>68.655025181195541</v>
      </c>
      <c r="AI411" s="152">
        <v>67.83641163725143</v>
      </c>
      <c r="AJ411" s="152">
        <v>67.049908984263894</v>
      </c>
      <c r="AK411" s="152">
        <v>66.293092860928169</v>
      </c>
      <c r="AL411" s="152">
        <v>65.563803505288107</v>
      </c>
      <c r="AM411" s="152">
        <v>64.86010859743331</v>
      </c>
      <c r="AN411" s="152">
        <v>64.180272404014005</v>
      </c>
      <c r="AO411" s="152">
        <v>63.522729984005345</v>
      </c>
      <c r="AP411" s="152">
        <v>62.886065491043951</v>
      </c>
      <c r="AQ411" s="152">
        <v>62.268993815584018</v>
      </c>
      <c r="AR411" s="149"/>
      <c r="AS411" s="149"/>
      <c r="AT411" s="149"/>
      <c r="AU411" s="149"/>
      <c r="AV411" s="149"/>
      <c r="AW411" s="149"/>
      <c r="AX411" s="149"/>
      <c r="AY411" s="149"/>
      <c r="AZ411" s="149"/>
      <c r="BA411" s="149"/>
      <c r="BB411" s="149"/>
      <c r="BC411" s="149"/>
      <c r="BD411" s="149"/>
      <c r="BE411" s="149"/>
      <c r="BF411" s="149"/>
      <c r="BG411" s="149"/>
      <c r="BH411" s="149"/>
      <c r="BI411" s="149"/>
      <c r="BJ411" s="149"/>
      <c r="BK411" s="149"/>
      <c r="BL411" s="149"/>
      <c r="BM411" s="149"/>
      <c r="BN411" s="149"/>
      <c r="BO411" s="149"/>
      <c r="BP411" s="149"/>
      <c r="BQ411" s="149"/>
      <c r="BR411" s="149"/>
      <c r="BS411" s="149"/>
      <c r="BT411" s="149"/>
      <c r="BU411" s="149"/>
      <c r="BV411" s="149"/>
      <c r="BW411" s="149"/>
      <c r="BX411" s="149"/>
      <c r="BY411" s="149"/>
      <c r="BZ411" s="149"/>
    </row>
    <row r="412" spans="7:78" ht="14.1" hidden="1" customHeight="1" x14ac:dyDescent="0.25">
      <c r="G412" s="106"/>
      <c r="H412" s="218"/>
      <c r="J412" s="210"/>
      <c r="K412" s="7" t="s">
        <v>108</v>
      </c>
      <c r="L412" s="150">
        <v>122.8619073253856</v>
      </c>
      <c r="M412" s="150">
        <v>115.63842435697724</v>
      </c>
      <c r="N412" s="150">
        <v>110.51328162800658</v>
      </c>
      <c r="O412" s="150">
        <v>106.53791208277224</v>
      </c>
      <c r="P412" s="150">
        <v>103.28979865959822</v>
      </c>
      <c r="Q412" s="150">
        <v>100.54355789058062</v>
      </c>
      <c r="R412" s="150">
        <v>98.164655930627575</v>
      </c>
      <c r="S412" s="150">
        <v>96.066315691189857</v>
      </c>
      <c r="T412" s="150">
        <v>94.189286385393217</v>
      </c>
      <c r="U412" s="150">
        <v>92.491306838534598</v>
      </c>
      <c r="V412" s="150">
        <v>90.941172962219213</v>
      </c>
      <c r="W412" s="150">
        <v>89.515188027725557</v>
      </c>
      <c r="X412" s="150">
        <v>88.194932193201595</v>
      </c>
      <c r="Y412" s="150">
        <v>86.965803416984855</v>
      </c>
      <c r="Z412" s="150">
        <v>85.816030233248568</v>
      </c>
      <c r="AA412" s="150">
        <v>84.735984344218835</v>
      </c>
      <c r="AB412" s="150">
        <v>83.717689993810851</v>
      </c>
      <c r="AC412" s="150">
        <v>82.754466169651806</v>
      </c>
      <c r="AD412" s="150">
        <v>81.840660688014196</v>
      </c>
      <c r="AE412" s="150">
        <v>80.971449224793233</v>
      </c>
      <c r="AF412" s="150">
        <v>80.142681141155578</v>
      </c>
      <c r="AG412" s="150">
        <v>79.350759608512902</v>
      </c>
      <c r="AH412" s="150">
        <v>78.592547264840206</v>
      </c>
      <c r="AI412" s="150">
        <v>77.865291142779839</v>
      </c>
      <c r="AJ412" s="150">
        <v>77.166562330346551</v>
      </c>
      <c r="AK412" s="150">
        <v>76.494207025402488</v>
      </c>
      <c r="AL412" s="150">
        <v>75.846306495822589</v>
      </c>
      <c r="AM412" s="150">
        <v>75.221144068953393</v>
      </c>
      <c r="AN412" s="150">
        <v>74.617177719605834</v>
      </c>
      <c r="AO412" s="150">
        <v>74.03301715446095</v>
      </c>
      <c r="AP412" s="150">
        <v>73.467404535869548</v>
      </c>
      <c r="AQ412" s="150">
        <v>72.91919817274723</v>
      </c>
      <c r="AR412" s="149"/>
      <c r="AS412" s="149"/>
      <c r="AT412" s="149"/>
      <c r="AU412" s="149"/>
      <c r="AV412" s="149"/>
      <c r="AW412" s="149"/>
      <c r="AX412" s="149"/>
      <c r="AY412" s="149"/>
      <c r="AZ412" s="149"/>
      <c r="BA412" s="149"/>
      <c r="BB412" s="149"/>
      <c r="BC412" s="149"/>
      <c r="BD412" s="149"/>
      <c r="BE412" s="149"/>
      <c r="BF412" s="149"/>
      <c r="BG412" s="149"/>
      <c r="BH412" s="149"/>
      <c r="BI412" s="149"/>
      <c r="BJ412" s="149"/>
      <c r="BK412" s="149"/>
      <c r="BL412" s="149"/>
      <c r="BM412" s="149"/>
      <c r="BN412" s="149"/>
      <c r="BO412" s="149"/>
      <c r="BP412" s="149"/>
      <c r="BQ412" s="149"/>
      <c r="BR412" s="149"/>
      <c r="BS412" s="149"/>
      <c r="BT412" s="149"/>
      <c r="BU412" s="149"/>
      <c r="BV412" s="149"/>
      <c r="BW412" s="149"/>
      <c r="BX412" s="149"/>
      <c r="BY412" s="149"/>
      <c r="BZ412" s="149"/>
    </row>
    <row r="413" spans="7:78" ht="14.1" hidden="1" customHeight="1" thickBot="1" x14ac:dyDescent="0.3">
      <c r="G413" s="106"/>
      <c r="H413" s="218"/>
      <c r="J413" s="210"/>
      <c r="K413" s="121" t="s">
        <v>109</v>
      </c>
      <c r="L413" s="151">
        <v>129.9789078326682</v>
      </c>
      <c r="M413" s="151">
        <v>125.15036284661412</v>
      </c>
      <c r="N413" s="151">
        <v>121.72445565821032</v>
      </c>
      <c r="O413" s="151">
        <v>119.06711559534826</v>
      </c>
      <c r="P413" s="151">
        <v>116.89591067215625</v>
      </c>
      <c r="Q413" s="151">
        <v>115.06018306627266</v>
      </c>
      <c r="R413" s="151">
        <v>113.47000348375245</v>
      </c>
      <c r="S413" s="151">
        <v>112.06736568610219</v>
      </c>
      <c r="T413" s="151">
        <v>110.81266342089037</v>
      </c>
      <c r="U413" s="151">
        <v>109.6776471602771</v>
      </c>
      <c r="V413" s="151">
        <v>108.64145849769838</v>
      </c>
      <c r="W413" s="151">
        <v>107.68825732926605</v>
      </c>
      <c r="X413" s="151">
        <v>106.80573089181479</v>
      </c>
      <c r="Y413" s="151">
        <v>105.98411843483632</v>
      </c>
      <c r="Z413" s="151">
        <v>105.21555130929457</v>
      </c>
      <c r="AA413" s="151">
        <v>104.49359346915145</v>
      </c>
      <c r="AB413" s="151">
        <v>103.81291351164433</v>
      </c>
      <c r="AC413" s="151">
        <v>103.16904550684224</v>
      </c>
      <c r="AD413" s="151">
        <v>102.55821124643251</v>
      </c>
      <c r="AE413" s="151">
        <v>101.97718590576072</v>
      </c>
      <c r="AF413" s="151">
        <v>101.42319498581922</v>
      </c>
      <c r="AG413" s="151">
        <v>100.89383418265635</v>
      </c>
      <c r="AH413" s="151">
        <v>100.3870063232405</v>
      </c>
      <c r="AI413" s="151">
        <v>99.900871183570445</v>
      </c>
      <c r="AJ413" s="151">
        <v>99.433805154808169</v>
      </c>
      <c r="AK413" s="151">
        <v>98.984368525590256</v>
      </c>
      <c r="AL413" s="151">
        <v>98.551278717356922</v>
      </c>
      <c r="AM413" s="151">
        <v>98.133388218420265</v>
      </c>
      <c r="AN413" s="151">
        <v>97.729666260378437</v>
      </c>
      <c r="AO413" s="151">
        <v>97.339183500161951</v>
      </c>
      <c r="AP413" s="151">
        <v>96.961099134836701</v>
      </c>
      <c r="AQ413" s="151">
        <v>96.594649999765181</v>
      </c>
      <c r="AR413" s="149"/>
      <c r="AS413" s="149"/>
      <c r="AT413" s="149"/>
      <c r="AU413" s="149"/>
      <c r="AV413" s="149"/>
      <c r="AW413" s="149"/>
      <c r="AX413" s="149"/>
      <c r="AY413" s="149"/>
      <c r="AZ413" s="149"/>
      <c r="BA413" s="149"/>
      <c r="BB413" s="149"/>
      <c r="BC413" s="149"/>
      <c r="BD413" s="149"/>
      <c r="BE413" s="149"/>
      <c r="BF413" s="149"/>
      <c r="BG413" s="149"/>
      <c r="BH413" s="149"/>
      <c r="BI413" s="149"/>
      <c r="BJ413" s="149"/>
      <c r="BK413" s="149"/>
      <c r="BL413" s="149"/>
      <c r="BM413" s="149"/>
      <c r="BN413" s="149"/>
      <c r="BO413" s="149"/>
      <c r="BP413" s="149"/>
      <c r="BQ413" s="149"/>
      <c r="BR413" s="149"/>
      <c r="BS413" s="149"/>
      <c r="BT413" s="149"/>
      <c r="BU413" s="149"/>
      <c r="BV413" s="149"/>
      <c r="BW413" s="149"/>
      <c r="BX413" s="149"/>
      <c r="BY413" s="149"/>
      <c r="BZ413" s="149"/>
    </row>
    <row r="414" spans="7:78" ht="14.1" hidden="1" customHeight="1" thickTop="1" x14ac:dyDescent="0.25">
      <c r="G414" s="106"/>
      <c r="H414" s="218"/>
      <c r="J414" s="210"/>
      <c r="K414" s="119" t="s">
        <v>110</v>
      </c>
      <c r="L414" s="152">
        <v>116.81255389296074</v>
      </c>
      <c r="M414" s="152">
        <v>108.7964634577251</v>
      </c>
      <c r="N414" s="152">
        <v>103.10895678143099</v>
      </c>
      <c r="O414" s="152">
        <v>98.697383870212263</v>
      </c>
      <c r="P414" s="152">
        <v>95.092866346195351</v>
      </c>
      <c r="Q414" s="152">
        <v>92.045290203543104</v>
      </c>
      <c r="R414" s="152">
        <v>89.405359669901245</v>
      </c>
      <c r="S414" s="152">
        <v>87.076775910959711</v>
      </c>
      <c r="T414" s="152">
        <v>84.993786758682532</v>
      </c>
      <c r="U414" s="152">
        <v>83.109493867797752</v>
      </c>
      <c r="V414" s="152">
        <v>81.389269234665605</v>
      </c>
      <c r="W414" s="152">
        <v>79.806815971582282</v>
      </c>
      <c r="X414" s="152">
        <v>78.341693092013358</v>
      </c>
      <c r="Y414" s="152">
        <v>76.977696323446878</v>
      </c>
      <c r="Z414" s="152">
        <v>75.701762558371527</v>
      </c>
      <c r="AA414" s="152">
        <v>74.503207019647192</v>
      </c>
      <c r="AB414" s="152">
        <v>73.373178799429965</v>
      </c>
      <c r="AC414" s="152">
        <v>72.304263801277244</v>
      </c>
      <c r="AD414" s="152">
        <v>71.290189647152786</v>
      </c>
      <c r="AE414" s="152">
        <v>70.325602656777704</v>
      </c>
      <c r="AF414" s="152">
        <v>69.405896756268007</v>
      </c>
      <c r="AG414" s="152">
        <v>68.527080449641772</v>
      </c>
      <c r="AH414" s="152">
        <v>67.685672123135859</v>
      </c>
      <c r="AI414" s="152">
        <v>66.87861673593406</v>
      </c>
      <c r="AJ414" s="152">
        <v>66.103218860052536</v>
      </c>
      <c r="AK414" s="152">
        <v>65.357088364194311</v>
      </c>
      <c r="AL414" s="152">
        <v>64.638095980483612</v>
      </c>
      <c r="AM414" s="152">
        <v>63.944336671793906</v>
      </c>
      <c r="AN414" s="152">
        <v>63.274099211917132</v>
      </c>
      <c r="AO414" s="152">
        <v>62.625840755521587</v>
      </c>
      <c r="AP414" s="152">
        <v>61.998165446841774</v>
      </c>
      <c r="AQ414" s="152">
        <v>61.389806321032367</v>
      </c>
      <c r="AR414" s="149"/>
      <c r="AS414" s="149"/>
      <c r="AT414" s="149"/>
      <c r="AU414" s="149"/>
      <c r="AV414" s="149"/>
      <c r="AW414" s="149"/>
      <c r="AX414" s="149"/>
      <c r="AY414" s="149"/>
      <c r="AZ414" s="149"/>
      <c r="BA414" s="149"/>
      <c r="BB414" s="149"/>
      <c r="BC414" s="149"/>
      <c r="BD414" s="149"/>
      <c r="BE414" s="149"/>
      <c r="BF414" s="149"/>
      <c r="BG414" s="149"/>
      <c r="BH414" s="149"/>
      <c r="BI414" s="149"/>
      <c r="BJ414" s="149"/>
      <c r="BK414" s="149"/>
      <c r="BL414" s="149"/>
      <c r="BM414" s="149"/>
      <c r="BN414" s="149"/>
      <c r="BO414" s="149"/>
      <c r="BP414" s="149"/>
      <c r="BQ414" s="149"/>
      <c r="BR414" s="149"/>
      <c r="BS414" s="149"/>
      <c r="BT414" s="149"/>
      <c r="BU414" s="149"/>
      <c r="BV414" s="149"/>
      <c r="BW414" s="149"/>
      <c r="BX414" s="149"/>
      <c r="BY414" s="149"/>
      <c r="BZ414" s="149"/>
    </row>
    <row r="415" spans="7:78" ht="14.1" hidden="1" customHeight="1" x14ac:dyDescent="0.25">
      <c r="G415" s="106"/>
      <c r="H415" s="218"/>
      <c r="J415" s="210"/>
      <c r="K415" s="7" t="s">
        <v>111</v>
      </c>
      <c r="L415" s="150">
        <v>121.12719722557009</v>
      </c>
      <c r="M415" s="150">
        <v>114.00570395546551</v>
      </c>
      <c r="N415" s="150">
        <v>108.95292406904292</v>
      </c>
      <c r="O415" s="150">
        <v>105.03368350512378</v>
      </c>
      <c r="P415" s="150">
        <v>101.83143079893834</v>
      </c>
      <c r="Q415" s="150">
        <v>99.123964713646942</v>
      </c>
      <c r="R415" s="150">
        <v>96.778650912515758</v>
      </c>
      <c r="S415" s="150">
        <v>94.709937528833763</v>
      </c>
      <c r="T415" s="150">
        <v>92.859410348596597</v>
      </c>
      <c r="U415" s="150">
        <v>91.185404890479859</v>
      </c>
      <c r="V415" s="150">
        <v>89.657157642411178</v>
      </c>
      <c r="W415" s="150">
        <v>88.251306454185183</v>
      </c>
      <c r="X415" s="150">
        <v>86.949691557119763</v>
      </c>
      <c r="Y415" s="150">
        <v>85.737917078492018</v>
      </c>
      <c r="Z415" s="150">
        <v>84.60437775598858</v>
      </c>
      <c r="AA415" s="150">
        <v>83.539581235560973</v>
      </c>
      <c r="AB415" s="150">
        <v>82.535664372306599</v>
      </c>
      <c r="AC415" s="150">
        <v>81.586040484307802</v>
      </c>
      <c r="AD415" s="150">
        <v>80.685137192069433</v>
      </c>
      <c r="AE415" s="150">
        <v>79.828198287015184</v>
      </c>
      <c r="AF415" s="150">
        <v>79.011131733952681</v>
      </c>
      <c r="AG415" s="150">
        <v>78.230391488584829</v>
      </c>
      <c r="AH415" s="150">
        <v>77.482884485884</v>
      </c>
      <c r="AI415" s="150">
        <v>76.765896628150273</v>
      </c>
      <c r="AJ415" s="150">
        <v>76.077033297658019</v>
      </c>
      <c r="AK415" s="150">
        <v>75.414171102202019</v>
      </c>
      <c r="AL415" s="150">
        <v>74.775418400592585</v>
      </c>
      <c r="AM415" s="150">
        <v>74.159082758196504</v>
      </c>
      <c r="AN415" s="150">
        <v>73.563643921964854</v>
      </c>
      <c r="AO415" s="150">
        <v>72.987731228388384</v>
      </c>
      <c r="AP415" s="150">
        <v>72.430104599461416</v>
      </c>
      <c r="AQ415" s="150">
        <v>71.889638463848115</v>
      </c>
      <c r="AR415" s="149"/>
      <c r="AS415" s="149"/>
      <c r="AT415" s="149"/>
      <c r="AU415" s="149"/>
      <c r="AV415" s="149"/>
      <c r="AW415" s="149"/>
      <c r="AX415" s="149"/>
      <c r="AY415" s="149"/>
      <c r="AZ415" s="149"/>
      <c r="BA415" s="149"/>
      <c r="BB415" s="149"/>
      <c r="BC415" s="149"/>
      <c r="BD415" s="149"/>
      <c r="BE415" s="149"/>
      <c r="BF415" s="149"/>
      <c r="BG415" s="149"/>
      <c r="BH415" s="149"/>
      <c r="BI415" s="149"/>
      <c r="BJ415" s="149"/>
      <c r="BK415" s="149"/>
      <c r="BL415" s="149"/>
      <c r="BM415" s="149"/>
      <c r="BN415" s="149"/>
      <c r="BO415" s="149"/>
      <c r="BP415" s="149"/>
      <c r="BQ415" s="149"/>
      <c r="BR415" s="149"/>
      <c r="BS415" s="149"/>
      <c r="BT415" s="149"/>
      <c r="BU415" s="149"/>
      <c r="BV415" s="149"/>
      <c r="BW415" s="149"/>
      <c r="BX415" s="149"/>
      <c r="BY415" s="149"/>
      <c r="BZ415" s="149"/>
    </row>
    <row r="416" spans="7:78" ht="14.1" hidden="1" customHeight="1" thickBot="1" x14ac:dyDescent="0.3">
      <c r="G416" s="106"/>
      <c r="H416" s="218"/>
      <c r="J416" s="210"/>
      <c r="K416" s="121" t="s">
        <v>112</v>
      </c>
      <c r="L416" s="151">
        <v>128.14371148020419</v>
      </c>
      <c r="M416" s="151">
        <v>123.38334161805193</v>
      </c>
      <c r="N416" s="151">
        <v>120.00580544984575</v>
      </c>
      <c r="O416" s="151">
        <v>117.38598486512008</v>
      </c>
      <c r="P416" s="151">
        <v>115.24543558769349</v>
      </c>
      <c r="Q416" s="151">
        <v>113.4356269609936</v>
      </c>
      <c r="R416" s="151">
        <v>111.86789941948732</v>
      </c>
      <c r="S416" s="151">
        <v>110.48506572554125</v>
      </c>
      <c r="T416" s="151">
        <v>109.24807883476164</v>
      </c>
      <c r="U416" s="151">
        <v>108.12908807964152</v>
      </c>
      <c r="V416" s="151">
        <v>107.10752955733507</v>
      </c>
      <c r="W416" s="151">
        <v>106.16778681332435</v>
      </c>
      <c r="X416" s="151">
        <v>105.29772093063517</v>
      </c>
      <c r="Y416" s="151">
        <v>104.48770897260941</v>
      </c>
      <c r="Z416" s="151">
        <v>103.72999338912888</v>
      </c>
      <c r="AA416" s="151">
        <v>103.01822900588546</v>
      </c>
      <c r="AB416" s="151">
        <v>102.34715969518282</v>
      </c>
      <c r="AC416" s="151">
        <v>101.71238258238456</v>
      </c>
      <c r="AD416" s="151">
        <v>101.11017280440321</v>
      </c>
      <c r="AE416" s="151">
        <v>100.53735106848292</v>
      </c>
      <c r="AF416" s="151">
        <v>99.991182049283069</v>
      </c>
      <c r="AG416" s="151">
        <v>99.469295389666257</v>
      </c>
      <c r="AH416" s="151">
        <v>98.969623526976619</v>
      </c>
      <c r="AI416" s="151">
        <v>98.490352219677547</v>
      </c>
      <c r="AJ416" s="151">
        <v>98.029880782965918</v>
      </c>
      <c r="AK416" s="151">
        <v>97.586789833030565</v>
      </c>
      <c r="AL416" s="151">
        <v>97.159814900276743</v>
      </c>
      <c r="AM416" s="151">
        <v>96.747824674947282</v>
      </c>
      <c r="AN416" s="151">
        <v>96.34980294225096</v>
      </c>
      <c r="AO416" s="151">
        <v>95.964833480685755</v>
      </c>
      <c r="AP416" s="151">
        <v>95.592087358770442</v>
      </c>
      <c r="AQ416" s="151">
        <v>95.230812187130837</v>
      </c>
      <c r="AR416" s="149"/>
      <c r="AS416" s="149"/>
      <c r="AT416" s="149"/>
      <c r="AU416" s="149"/>
      <c r="AV416" s="149"/>
      <c r="AW416" s="149"/>
      <c r="AX416" s="149"/>
      <c r="AY416" s="149"/>
      <c r="AZ416" s="149"/>
      <c r="BA416" s="149"/>
      <c r="BB416" s="149"/>
      <c r="BC416" s="149"/>
      <c r="BD416" s="149"/>
      <c r="BE416" s="149"/>
      <c r="BF416" s="149"/>
      <c r="BG416" s="149"/>
      <c r="BH416" s="149"/>
      <c r="BI416" s="149"/>
      <c r="BJ416" s="149"/>
      <c r="BK416" s="149"/>
      <c r="BL416" s="149"/>
      <c r="BM416" s="149"/>
      <c r="BN416" s="149"/>
      <c r="BO416" s="149"/>
      <c r="BP416" s="149"/>
      <c r="BQ416" s="149"/>
      <c r="BR416" s="149"/>
      <c r="BS416" s="149"/>
      <c r="BT416" s="149"/>
      <c r="BU416" s="149"/>
      <c r="BV416" s="149"/>
      <c r="BW416" s="149"/>
      <c r="BX416" s="149"/>
      <c r="BY416" s="149"/>
      <c r="BZ416" s="149"/>
    </row>
    <row r="417" spans="7:78" ht="14.1" hidden="1" customHeight="1" thickTop="1" x14ac:dyDescent="0.25">
      <c r="G417" s="106"/>
      <c r="H417" s="218"/>
      <c r="J417" s="210"/>
      <c r="K417" s="119" t="s">
        <v>113</v>
      </c>
      <c r="L417" s="152">
        <v>111.63062037450126</v>
      </c>
      <c r="M417" s="152">
        <v>103.97013253786486</v>
      </c>
      <c r="N417" s="152">
        <v>98.534929920510834</v>
      </c>
      <c r="O417" s="152">
        <v>94.319059241423076</v>
      </c>
      <c r="P417" s="152">
        <v>90.874442083874413</v>
      </c>
      <c r="Q417" s="152">
        <v>87.962059774738876</v>
      </c>
      <c r="R417" s="152">
        <v>85.439239466520391</v>
      </c>
      <c r="S417" s="152">
        <v>83.213954247238007</v>
      </c>
      <c r="T417" s="152">
        <v>81.223368787432648</v>
      </c>
      <c r="U417" s="152">
        <v>79.422665204070583</v>
      </c>
      <c r="V417" s="152">
        <v>77.778751629883985</v>
      </c>
      <c r="W417" s="152">
        <v>76.266497736064352</v>
      </c>
      <c r="X417" s="152">
        <v>74.866369320748447</v>
      </c>
      <c r="Y417" s="152">
        <v>73.562880950796242</v>
      </c>
      <c r="Z417" s="152">
        <v>72.343549012529976</v>
      </c>
      <c r="AA417" s="152">
        <v>71.198162717289023</v>
      </c>
      <c r="AB417" s="152">
        <v>70.118263793247579</v>
      </c>
      <c r="AC417" s="152">
        <v>69.096767041445219</v>
      </c>
      <c r="AD417" s="152">
        <v>68.127678333442205</v>
      </c>
      <c r="AE417" s="152">
        <v>67.205881484112041</v>
      </c>
      <c r="AF417" s="152">
        <v>66.32697475008014</v>
      </c>
      <c r="AG417" s="152">
        <v>65.487143702521593</v>
      </c>
      <c r="AH417" s="152">
        <v>64.683061175893556</v>
      </c>
      <c r="AI417" s="152">
        <v>63.911807654354462</v>
      </c>
      <c r="AJ417" s="152">
        <v>63.170807282073916</v>
      </c>
      <c r="AK417" s="152">
        <v>62.457775956611165</v>
      </c>
      <c r="AL417" s="152">
        <v>61.770678866758011</v>
      </c>
      <c r="AM417" s="152">
        <v>61.107695484932613</v>
      </c>
      <c r="AN417" s="152">
        <v>60.467190496805799</v>
      </c>
      <c r="AO417" s="152">
        <v>59.847689499363675</v>
      </c>
      <c r="AP417" s="152">
        <v>59.247858558539541</v>
      </c>
      <c r="AQ417" s="152">
        <v>58.666486913443734</v>
      </c>
      <c r="AR417" s="149"/>
      <c r="AS417" s="149"/>
      <c r="AT417" s="149"/>
      <c r="AU417" s="149"/>
      <c r="AV417" s="149"/>
      <c r="AW417" s="149"/>
      <c r="AX417" s="149"/>
      <c r="AY417" s="149"/>
      <c r="AZ417" s="149"/>
      <c r="BA417" s="149"/>
      <c r="BB417" s="149"/>
      <c r="BC417" s="149"/>
      <c r="BD417" s="149"/>
      <c r="BE417" s="149"/>
      <c r="BF417" s="149"/>
      <c r="BG417" s="149"/>
      <c r="BH417" s="149"/>
      <c r="BI417" s="149"/>
      <c r="BJ417" s="149"/>
      <c r="BK417" s="149"/>
      <c r="BL417" s="149"/>
      <c r="BM417" s="149"/>
      <c r="BN417" s="149"/>
      <c r="BO417" s="149"/>
      <c r="BP417" s="149"/>
      <c r="BQ417" s="149"/>
      <c r="BR417" s="149"/>
      <c r="BS417" s="149"/>
      <c r="BT417" s="149"/>
      <c r="BU417" s="149"/>
      <c r="BV417" s="149"/>
      <c r="BW417" s="149"/>
      <c r="BX417" s="149"/>
      <c r="BY417" s="149"/>
      <c r="BZ417" s="149"/>
    </row>
    <row r="418" spans="7:78" ht="14.1" hidden="1" customHeight="1" x14ac:dyDescent="0.25">
      <c r="G418" s="106"/>
      <c r="H418" s="218"/>
      <c r="J418" s="210"/>
      <c r="K418" s="7" t="s">
        <v>114</v>
      </c>
      <c r="L418" s="150">
        <v>115.75386137782044</v>
      </c>
      <c r="M418" s="150">
        <v>108.9482853909871</v>
      </c>
      <c r="N418" s="150">
        <v>104.11965238417852</v>
      </c>
      <c r="O418" s="150">
        <v>100.37427364733396</v>
      </c>
      <c r="P418" s="150">
        <v>97.314076397345161</v>
      </c>
      <c r="Q418" s="150">
        <v>94.72671648891486</v>
      </c>
      <c r="R418" s="150">
        <v>92.485443390536602</v>
      </c>
      <c r="S418" s="150">
        <v>90.508500410511814</v>
      </c>
      <c r="T418" s="150">
        <v>88.740064653692031</v>
      </c>
      <c r="U418" s="150">
        <v>87.140319921023078</v>
      </c>
      <c r="V418" s="150">
        <v>85.679867403703255</v>
      </c>
      <c r="W418" s="150">
        <v>84.336381322235468</v>
      </c>
      <c r="X418" s="150">
        <v>83.09250749527294</v>
      </c>
      <c r="Y418" s="150">
        <v>81.934488666858684</v>
      </c>
      <c r="Z418" s="150">
        <v>80.851234396894682</v>
      </c>
      <c r="AA418" s="150">
        <v>79.833673422610502</v>
      </c>
      <c r="AB418" s="150">
        <v>78.874291416869909</v>
      </c>
      <c r="AC418" s="150">
        <v>77.966793890218028</v>
      </c>
      <c r="AD418" s="150">
        <v>77.105855660050111</v>
      </c>
      <c r="AE418" s="150">
        <v>76.286931508439594</v>
      </c>
      <c r="AF418" s="150">
        <v>75.506110927381144</v>
      </c>
      <c r="AG418" s="150">
        <v>74.760005179007422</v>
      </c>
      <c r="AH418" s="150">
        <v>74.045658410061336</v>
      </c>
      <c r="AI418" s="150">
        <v>73.360476923205539</v>
      </c>
      <c r="AJ418" s="150">
        <v>72.702172328593562</v>
      </c>
      <c r="AK418" s="150">
        <v>72.068715430036562</v>
      </c>
      <c r="AL418" s="150">
        <v>71.458298501631006</v>
      </c>
      <c r="AM418" s="150">
        <v>70.869304187007614</v>
      </c>
      <c r="AN418" s="150">
        <v>70.300279673216764</v>
      </c>
      <c r="AO418" s="150">
        <v>69.749915100891755</v>
      </c>
      <c r="AP418" s="150">
        <v>69.217025403252748</v>
      </c>
      <c r="AQ418" s="150">
        <v>68.700534940547811</v>
      </c>
      <c r="AR418" s="149"/>
      <c r="AS418" s="149"/>
      <c r="AT418" s="149"/>
      <c r="AU418" s="149"/>
      <c r="AV418" s="149"/>
      <c r="AW418" s="149"/>
      <c r="AX418" s="149"/>
      <c r="AY418" s="149"/>
      <c r="AZ418" s="149"/>
      <c r="BA418" s="149"/>
      <c r="BB418" s="149"/>
      <c r="BC418" s="149"/>
      <c r="BD418" s="149"/>
      <c r="BE418" s="149"/>
      <c r="BF418" s="149"/>
      <c r="BG418" s="149"/>
      <c r="BH418" s="149"/>
      <c r="BI418" s="149"/>
      <c r="BJ418" s="149"/>
      <c r="BK418" s="149"/>
      <c r="BL418" s="149"/>
      <c r="BM418" s="149"/>
      <c r="BN418" s="149"/>
      <c r="BO418" s="149"/>
      <c r="BP418" s="149"/>
      <c r="BQ418" s="149"/>
      <c r="BR418" s="149"/>
      <c r="BS418" s="149"/>
      <c r="BT418" s="149"/>
      <c r="BU418" s="149"/>
      <c r="BV418" s="149"/>
      <c r="BW418" s="149"/>
      <c r="BX418" s="149"/>
      <c r="BY418" s="149"/>
      <c r="BZ418" s="149"/>
    </row>
    <row r="419" spans="7:78" ht="14.1" hidden="1" customHeight="1" thickBot="1" x14ac:dyDescent="0.3">
      <c r="G419" s="106"/>
      <c r="H419" s="218"/>
      <c r="J419" s="210"/>
      <c r="K419" s="121" t="s">
        <v>115</v>
      </c>
      <c r="L419" s="151">
        <v>122.45911533390688</v>
      </c>
      <c r="M419" s="151">
        <v>117.90992072070566</v>
      </c>
      <c r="N419" s="151">
        <v>114.68221577608418</v>
      </c>
      <c r="O419" s="151">
        <v>112.17861331730394</v>
      </c>
      <c r="P419" s="151">
        <v>110.13302116288295</v>
      </c>
      <c r="Q419" s="151">
        <v>108.40349763972841</v>
      </c>
      <c r="R419" s="151">
        <v>106.90531621826148</v>
      </c>
      <c r="S419" s="151">
        <v>105.58382654968173</v>
      </c>
      <c r="T419" s="151">
        <v>104.40171375948124</v>
      </c>
      <c r="U419" s="151">
        <v>103.33236266643131</v>
      </c>
      <c r="V419" s="151">
        <v>102.35612160506025</v>
      </c>
      <c r="W419" s="151">
        <v>101.45806688396856</v>
      </c>
      <c r="X419" s="151">
        <v>100.62659808190571</v>
      </c>
      <c r="Y419" s="151">
        <v>99.852519146280031</v>
      </c>
      <c r="Z419" s="151">
        <v>99.128416660438759</v>
      </c>
      <c r="AA419" s="151">
        <v>98.448226928993094</v>
      </c>
      <c r="AB419" s="151">
        <v>97.806926991859029</v>
      </c>
      <c r="AC419" s="151">
        <v>97.200309290767279</v>
      </c>
      <c r="AD419" s="151">
        <v>96.624814201658538</v>
      </c>
      <c r="AE419" s="151">
        <v>96.077403468704489</v>
      </c>
      <c r="AF419" s="151">
        <v>95.555463108608592</v>
      </c>
      <c r="AG419" s="151">
        <v>95.056727915886199</v>
      </c>
      <c r="AH419" s="151">
        <v>94.579222047237536</v>
      </c>
      <c r="AI419" s="151">
        <v>94.121211742878316</v>
      </c>
      <c r="AJ419" s="151">
        <v>93.68116732614584</v>
      </c>
      <c r="AK419" s="151">
        <v>93.257732378657806</v>
      </c>
      <c r="AL419" s="151">
        <v>92.84969852408301</v>
      </c>
      <c r="AM419" s="151">
        <v>92.455984638810875</v>
      </c>
      <c r="AN419" s="151">
        <v>92.075619588457315</v>
      </c>
      <c r="AO419" s="151">
        <v>91.707727796115023</v>
      </c>
      <c r="AP419" s="151">
        <v>91.351517102616071</v>
      </c>
      <c r="AQ419" s="151">
        <v>91.006268495407383</v>
      </c>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c r="BS419" s="149"/>
      <c r="BT419" s="149"/>
      <c r="BU419" s="149"/>
      <c r="BV419" s="149"/>
      <c r="BW419" s="149"/>
      <c r="BX419" s="149"/>
      <c r="BY419" s="149"/>
      <c r="BZ419" s="149"/>
    </row>
    <row r="420" spans="7:78" ht="14.1" hidden="1" customHeight="1" thickTop="1" x14ac:dyDescent="0.25">
      <c r="G420" s="106"/>
      <c r="H420" s="218"/>
      <c r="J420" s="210"/>
      <c r="K420" s="119" t="s">
        <v>116</v>
      </c>
      <c r="L420" s="152">
        <v>80.403866126360725</v>
      </c>
      <c r="M420" s="152">
        <v>75.14897969220074</v>
      </c>
      <c r="N420" s="152">
        <v>71.420578432394649</v>
      </c>
      <c r="O420" s="152">
        <v>68.528605739251063</v>
      </c>
      <c r="P420" s="152">
        <v>66.165691998234664</v>
      </c>
      <c r="Q420" s="152">
        <v>64.167876896411627</v>
      </c>
      <c r="R420" s="152">
        <v>62.43729073842858</v>
      </c>
      <c r="S420" s="152">
        <v>60.910805564074671</v>
      </c>
      <c r="T420" s="152">
        <v>59.545318045284979</v>
      </c>
      <c r="U420" s="152">
        <v>58.310084332505227</v>
      </c>
      <c r="V420" s="152">
        <v>57.182404304268587</v>
      </c>
      <c r="W420" s="152">
        <v>56.145039238086632</v>
      </c>
      <c r="X420" s="152">
        <v>55.184589202445558</v>
      </c>
      <c r="Y420" s="152">
        <v>54.290431611125001</v>
      </c>
      <c r="Z420" s="152">
        <v>53.454003044462496</v>
      </c>
      <c r="AA420" s="152">
        <v>52.668299178979012</v>
      </c>
      <c r="AB420" s="152">
        <v>51.927517870108602</v>
      </c>
      <c r="AC420" s="152">
        <v>51.226798863949128</v>
      </c>
      <c r="AD420" s="152">
        <v>50.56203035131891</v>
      </c>
      <c r="AE420" s="152">
        <v>49.929702768285566</v>
      </c>
      <c r="AF420" s="152">
        <v>49.326796638539143</v>
      </c>
      <c r="AG420" s="152">
        <v>48.750695367586729</v>
      </c>
      <c r="AH420" s="152">
        <v>48.199116610302504</v>
      </c>
      <c r="AI420" s="152">
        <v>47.670057658175331</v>
      </c>
      <c r="AJ420" s="152">
        <v>47.161751544120555</v>
      </c>
      <c r="AK420" s="152">
        <v>46.672631435948617</v>
      </c>
      <c r="AL420" s="152">
        <v>46.201301508479489</v>
      </c>
      <c r="AM420" s="152">
        <v>45.746512929276207</v>
      </c>
      <c r="AN420" s="152">
        <v>45.307143917158925</v>
      </c>
      <c r="AO420" s="152">
        <v>44.882183071736236</v>
      </c>
      <c r="AP420" s="152">
        <v>44.47071535049642</v>
      </c>
      <c r="AQ420" s="152">
        <v>44.071910204379165</v>
      </c>
      <c r="AR420" s="149"/>
      <c r="AS420" s="149"/>
      <c r="AT420" s="149"/>
      <c r="AU420" s="149"/>
      <c r="AV420" s="149"/>
      <c r="AW420" s="149"/>
      <c r="AX420" s="149"/>
      <c r="AY420" s="149"/>
      <c r="AZ420" s="149"/>
      <c r="BA420" s="149"/>
      <c r="BB420" s="149"/>
      <c r="BC420" s="149"/>
      <c r="BD420" s="149"/>
      <c r="BE420" s="149"/>
      <c r="BF420" s="149"/>
      <c r="BG420" s="149"/>
      <c r="BH420" s="149"/>
      <c r="BI420" s="149"/>
      <c r="BJ420" s="149"/>
      <c r="BK420" s="149"/>
      <c r="BL420" s="149"/>
      <c r="BM420" s="149"/>
      <c r="BN420" s="149"/>
      <c r="BO420" s="149"/>
      <c r="BP420" s="149"/>
      <c r="BQ420" s="149"/>
      <c r="BR420" s="149"/>
      <c r="BS420" s="149"/>
      <c r="BT420" s="149"/>
      <c r="BU420" s="149"/>
      <c r="BV420" s="149"/>
      <c r="BW420" s="149"/>
      <c r="BX420" s="149"/>
      <c r="BY420" s="149"/>
      <c r="BZ420" s="149"/>
    </row>
    <row r="421" spans="7:78" ht="14.1" hidden="1" customHeight="1" x14ac:dyDescent="0.25">
      <c r="G421" s="106"/>
      <c r="H421" s="218"/>
      <c r="J421" s="210"/>
      <c r="K421" s="7" t="s">
        <v>117</v>
      </c>
      <c r="L421" s="150">
        <v>83.247576642399991</v>
      </c>
      <c r="M421" s="150">
        <v>78.647843418485934</v>
      </c>
      <c r="N421" s="150">
        <v>75.384280758914485</v>
      </c>
      <c r="O421" s="150">
        <v>72.852864895608363</v>
      </c>
      <c r="P421" s="150">
        <v>70.784547535000428</v>
      </c>
      <c r="Q421" s="150">
        <v>69.035810123787158</v>
      </c>
      <c r="R421" s="150">
        <v>67.520984875428979</v>
      </c>
      <c r="S421" s="150">
        <v>66.18481431108637</v>
      </c>
      <c r="T421" s="150">
        <v>64.989569012122843</v>
      </c>
      <c r="U421" s="150">
        <v>63.90833811985523</v>
      </c>
      <c r="V421" s="150">
        <v>62.921251651514922</v>
      </c>
      <c r="W421" s="150">
        <v>62.013220123140378</v>
      </c>
      <c r="X421" s="150">
        <v>61.172514240301652</v>
      </c>
      <c r="Y421" s="150">
        <v>60.389835788208792</v>
      </c>
      <c r="Z421" s="150">
        <v>59.657688991943466</v>
      </c>
      <c r="AA421" s="150">
        <v>58.969942792381737</v>
      </c>
      <c r="AB421" s="150">
        <v>58.321518427600864</v>
      </c>
      <c r="AC421" s="150">
        <v>57.708161596079727</v>
      </c>
      <c r="AD421" s="150">
        <v>57.126273128637351</v>
      </c>
      <c r="AE421" s="150">
        <v>56.572781016387601</v>
      </c>
      <c r="AF421" s="150">
        <v>56.045042236369717</v>
      </c>
      <c r="AG421" s="150">
        <v>55.540766418130744</v>
      </c>
      <c r="AH421" s="150">
        <v>55.057955768029409</v>
      </c>
      <c r="AI421" s="150">
        <v>54.594857265331214</v>
      </c>
      <c r="AJ421" s="150">
        <v>54.149924239654865</v>
      </c>
      <c r="AK421" s="150">
        <v>53.721785203686807</v>
      </c>
      <c r="AL421" s="150">
        <v>53.309218356816146</v>
      </c>
      <c r="AM421" s="150">
        <v>52.911130564848037</v>
      </c>
      <c r="AN421" s="150">
        <v>52.526539904723286</v>
      </c>
      <c r="AO421" s="150">
        <v>52.154561072441297</v>
      </c>
      <c r="AP421" s="150">
        <v>51.794393108457953</v>
      </c>
      <c r="AQ421" s="150">
        <v>51.445309012455674</v>
      </c>
      <c r="AR421" s="149"/>
      <c r="AS421" s="149"/>
      <c r="AT421" s="149"/>
      <c r="AU421" s="149"/>
      <c r="AV421" s="149"/>
      <c r="AW421" s="149"/>
      <c r="AX421" s="149"/>
      <c r="AY421" s="149"/>
      <c r="AZ421" s="149"/>
      <c r="BA421" s="149"/>
      <c r="BB421" s="149"/>
      <c r="BC421" s="149"/>
      <c r="BD421" s="149"/>
      <c r="BE421" s="149"/>
      <c r="BF421" s="149"/>
      <c r="BG421" s="149"/>
      <c r="BH421" s="149"/>
      <c r="BI421" s="149"/>
      <c r="BJ421" s="149"/>
      <c r="BK421" s="149"/>
      <c r="BL421" s="149"/>
      <c r="BM421" s="149"/>
      <c r="BN421" s="149"/>
      <c r="BO421" s="149"/>
      <c r="BP421" s="149"/>
      <c r="BQ421" s="149"/>
      <c r="BR421" s="149"/>
      <c r="BS421" s="149"/>
      <c r="BT421" s="149"/>
      <c r="BU421" s="149"/>
      <c r="BV421" s="149"/>
      <c r="BW421" s="149"/>
      <c r="BX421" s="149"/>
      <c r="BY421" s="149"/>
      <c r="BZ421" s="149"/>
    </row>
    <row r="422" spans="7:78" ht="14.1" hidden="1" customHeight="1" thickBot="1" x14ac:dyDescent="0.3">
      <c r="G422" s="106"/>
      <c r="H422" s="218"/>
      <c r="J422" s="210"/>
      <c r="K422" s="121" t="s">
        <v>118</v>
      </c>
      <c r="L422" s="151">
        <v>87.742693503115902</v>
      </c>
      <c r="M422" s="151">
        <v>84.846867011140262</v>
      </c>
      <c r="N422" s="151">
        <v>82.792245417288882</v>
      </c>
      <c r="O422" s="151">
        <v>81.198557096179798</v>
      </c>
      <c r="P422" s="151">
        <v>79.896418925313242</v>
      </c>
      <c r="Q422" s="151">
        <v>78.795476788805786</v>
      </c>
      <c r="R422" s="151">
        <v>77.841797331461862</v>
      </c>
      <c r="S422" s="151">
        <v>77.000592433337602</v>
      </c>
      <c r="T422" s="151">
        <v>76.248109010352778</v>
      </c>
      <c r="U422" s="151">
        <v>75.567404954410435</v>
      </c>
      <c r="V422" s="151">
        <v>74.945970839486222</v>
      </c>
      <c r="W422" s="151">
        <v>74.374306869553067</v>
      </c>
      <c r="X422" s="151">
        <v>73.845028702978766</v>
      </c>
      <c r="Y422" s="151">
        <v>73.352282518377137</v>
      </c>
      <c r="Z422" s="151">
        <v>72.891349245634828</v>
      </c>
      <c r="AA422" s="151">
        <v>72.458368990586095</v>
      </c>
      <c r="AB422" s="151">
        <v>72.050144347510582</v>
      </c>
      <c r="AC422" s="151">
        <v>71.663996961284184</v>
      </c>
      <c r="AD422" s="151">
        <v>71.297660924525744</v>
      </c>
      <c r="AE422" s="151">
        <v>70.949202211003126</v>
      </c>
      <c r="AF422" s="151">
        <v>70.616956868583415</v>
      </c>
      <c r="AG422" s="151">
        <v>70.299482962460544</v>
      </c>
      <c r="AH422" s="151">
        <v>69.995522753659188</v>
      </c>
      <c r="AI422" s="151">
        <v>69.703972603416659</v>
      </c>
      <c r="AJ422" s="151">
        <v>69.423858783726033</v>
      </c>
      <c r="AK422" s="151">
        <v>69.154317855534941</v>
      </c>
      <c r="AL422" s="151">
        <v>68.894580617151732</v>
      </c>
      <c r="AM422" s="151">
        <v>68.643958870629575</v>
      </c>
      <c r="AN422" s="151">
        <v>68.401834432550103</v>
      </c>
      <c r="AO422" s="151">
        <v>68.167649947376916</v>
      </c>
      <c r="AP422" s="151">
        <v>67.940901159807808</v>
      </c>
      <c r="AQ422" s="151">
        <v>67.721130376607775</v>
      </c>
      <c r="AR422" s="149"/>
      <c r="AS422" s="149"/>
      <c r="AT422" s="149"/>
      <c r="AU422" s="149"/>
      <c r="AV422" s="149"/>
      <c r="AW422" s="149"/>
      <c r="AX422" s="149"/>
      <c r="AY422" s="149"/>
      <c r="AZ422" s="149"/>
      <c r="BA422" s="149"/>
      <c r="BB422" s="149"/>
      <c r="BC422" s="149"/>
      <c r="BD422" s="149"/>
      <c r="BE422" s="149"/>
      <c r="BF422" s="149"/>
      <c r="BG422" s="149"/>
      <c r="BH422" s="149"/>
      <c r="BI422" s="149"/>
      <c r="BJ422" s="149"/>
      <c r="BK422" s="149"/>
      <c r="BL422" s="149"/>
      <c r="BM422" s="149"/>
      <c r="BN422" s="149"/>
      <c r="BO422" s="149"/>
      <c r="BP422" s="149"/>
      <c r="BQ422" s="149"/>
      <c r="BR422" s="149"/>
      <c r="BS422" s="149"/>
      <c r="BT422" s="149"/>
      <c r="BU422" s="149"/>
      <c r="BV422" s="149"/>
      <c r="BW422" s="149"/>
      <c r="BX422" s="149"/>
      <c r="BY422" s="149"/>
      <c r="BZ422" s="149"/>
    </row>
    <row r="423" spans="7:78" ht="14.1" hidden="1" customHeight="1" thickTop="1" x14ac:dyDescent="0.25">
      <c r="G423" s="106"/>
      <c r="H423" s="218"/>
      <c r="J423" s="210"/>
      <c r="K423" s="119" t="s">
        <v>119</v>
      </c>
      <c r="L423" s="152">
        <v>81.312728168339021</v>
      </c>
      <c r="M423" s="152">
        <v>75.998442018157817</v>
      </c>
      <c r="N423" s="152">
        <v>72.227895989131582</v>
      </c>
      <c r="O423" s="152">
        <v>69.303233273307939</v>
      </c>
      <c r="P423" s="152">
        <v>66.913609838950379</v>
      </c>
      <c r="Q423" s="152">
        <v>64.893212013181156</v>
      </c>
      <c r="R423" s="152">
        <v>63.143063809924165</v>
      </c>
      <c r="S423" s="152">
        <v>61.599323688769161</v>
      </c>
      <c r="T423" s="152">
        <v>60.218401094100493</v>
      </c>
      <c r="U423" s="152">
        <v>58.969204656782679</v>
      </c>
      <c r="V423" s="152">
        <v>57.828777659742947</v>
      </c>
      <c r="W423" s="152">
        <v>56.779686518960972</v>
      </c>
      <c r="X423" s="152">
        <v>55.808379833973717</v>
      </c>
      <c r="Y423" s="152">
        <v>54.904114943919289</v>
      </c>
      <c r="Z423" s="152">
        <v>54.058231630716719</v>
      </c>
      <c r="AA423" s="152">
        <v>53.263646396040727</v>
      </c>
      <c r="AB423" s="152">
        <v>52.514491509561722</v>
      </c>
      <c r="AC423" s="152">
        <v>51.805851778473553</v>
      </c>
      <c r="AD423" s="152">
        <v>51.133568914893061</v>
      </c>
      <c r="AE423" s="152">
        <v>50.494093683792499</v>
      </c>
      <c r="AF423" s="152">
        <v>49.884372477575234</v>
      </c>
      <c r="AG423" s="152">
        <v>49.301759124521183</v>
      </c>
      <c r="AH423" s="152">
        <v>48.743945480535494</v>
      </c>
      <c r="AI423" s="152">
        <v>48.208906199069411</v>
      </c>
      <c r="AJ423" s="152">
        <v>47.694854339753533</v>
      </c>
      <c r="AK423" s="152">
        <v>47.200205359380519</v>
      </c>
      <c r="AL423" s="152">
        <v>46.723547654766293</v>
      </c>
      <c r="AM423" s="152">
        <v>46.263618277033331</v>
      </c>
      <c r="AN423" s="152">
        <v>45.819282764711851</v>
      </c>
      <c r="AO423" s="152">
        <v>45.389518284833024</v>
      </c>
      <c r="AP423" s="152">
        <v>44.97339945150928</v>
      </c>
      <c r="AQ423" s="152">
        <v>44.57008632739403</v>
      </c>
      <c r="AR423" s="149"/>
      <c r="AS423" s="149"/>
      <c r="AT423" s="149"/>
      <c r="AU423" s="149"/>
      <c r="AV423" s="149"/>
      <c r="AW423" s="149"/>
      <c r="AX423" s="149"/>
      <c r="AY423" s="149"/>
      <c r="AZ423" s="149"/>
      <c r="BA423" s="149"/>
      <c r="BB423" s="149"/>
      <c r="BC423" s="149"/>
      <c r="BD423" s="149"/>
      <c r="BE423" s="149"/>
      <c r="BF423" s="149"/>
      <c r="BG423" s="149"/>
      <c r="BH423" s="149"/>
      <c r="BI423" s="149"/>
      <c r="BJ423" s="149"/>
      <c r="BK423" s="149"/>
      <c r="BL423" s="149"/>
      <c r="BM423" s="149"/>
      <c r="BN423" s="149"/>
      <c r="BO423" s="149"/>
      <c r="BP423" s="149"/>
      <c r="BQ423" s="149"/>
      <c r="BR423" s="149"/>
      <c r="BS423" s="149"/>
      <c r="BT423" s="149"/>
      <c r="BU423" s="149"/>
      <c r="BV423" s="149"/>
      <c r="BW423" s="149"/>
      <c r="BX423" s="149"/>
      <c r="BY423" s="149"/>
      <c r="BZ423" s="149"/>
    </row>
    <row r="424" spans="7:78" ht="14.1" hidden="1" customHeight="1" x14ac:dyDescent="0.25">
      <c r="G424" s="106"/>
      <c r="H424" s="218"/>
      <c r="J424" s="210"/>
      <c r="K424" s="7" t="s">
        <v>120</v>
      </c>
      <c r="L424" s="150">
        <v>84.188583165370559</v>
      </c>
      <c r="M424" s="150">
        <v>79.536855887789073</v>
      </c>
      <c r="N424" s="150">
        <v>76.236402860057453</v>
      </c>
      <c r="O424" s="150">
        <v>73.676372604167213</v>
      </c>
      <c r="P424" s="150">
        <v>71.584675582475981</v>
      </c>
      <c r="Q424" s="150">
        <v>69.816170949473388</v>
      </c>
      <c r="R424" s="150">
        <v>68.28422255474436</v>
      </c>
      <c r="S424" s="150">
        <v>66.932948304894509</v>
      </c>
      <c r="T424" s="150">
        <v>65.724192298854106</v>
      </c>
      <c r="U424" s="150">
        <v>64.630739485378726</v>
      </c>
      <c r="V424" s="150">
        <v>63.632495277162889</v>
      </c>
      <c r="W424" s="150">
        <v>62.714199623083715</v>
      </c>
      <c r="X424" s="150">
        <v>61.863990644160296</v>
      </c>
      <c r="Y424" s="150">
        <v>61.072465021272642</v>
      </c>
      <c r="Z424" s="150">
        <v>60.332042249431268</v>
      </c>
      <c r="AA424" s="150">
        <v>59.636521965793605</v>
      </c>
      <c r="AB424" s="150">
        <v>58.98076799958141</v>
      </c>
      <c r="AC424" s="150">
        <v>58.360477959879944</v>
      </c>
      <c r="AD424" s="150">
        <v>57.772011993541035</v>
      </c>
      <c r="AE424" s="150">
        <v>57.212263366578824</v>
      </c>
      <c r="AF424" s="150">
        <v>56.678559180065633</v>
      </c>
      <c r="AG424" s="150">
        <v>56.168583173863496</v>
      </c>
      <c r="AH424" s="150">
        <v>55.680314971849789</v>
      </c>
      <c r="AI424" s="150">
        <v>55.211981737650781</v>
      </c>
      <c r="AJ424" s="150">
        <v>54.762019317770616</v>
      </c>
      <c r="AK424" s="150">
        <v>54.329040721999938</v>
      </c>
      <c r="AL424" s="150">
        <v>53.911810338847197</v>
      </c>
      <c r="AM424" s="150">
        <v>53.509222677644871</v>
      </c>
      <c r="AN424" s="150">
        <v>53.120284715959549</v>
      </c>
      <c r="AO424" s="150">
        <v>52.744101142570344</v>
      </c>
      <c r="AP424" s="150">
        <v>52.379861944118169</v>
      </c>
      <c r="AQ424" s="150">
        <v>52.026831902484169</v>
      </c>
      <c r="AR424" s="149"/>
      <c r="AS424" s="149"/>
      <c r="AT424" s="149"/>
      <c r="AU424" s="149"/>
      <c r="AV424" s="149"/>
      <c r="AW424" s="149"/>
      <c r="AX424" s="149"/>
      <c r="AY424" s="149"/>
      <c r="AZ424" s="149"/>
      <c r="BA424" s="149"/>
      <c r="BB424" s="149"/>
      <c r="BC424" s="149"/>
      <c r="BD424" s="149"/>
      <c r="BE424" s="149"/>
      <c r="BF424" s="149"/>
      <c r="BG424" s="149"/>
      <c r="BH424" s="149"/>
      <c r="BI424" s="149"/>
      <c r="BJ424" s="149"/>
      <c r="BK424" s="149"/>
      <c r="BL424" s="149"/>
      <c r="BM424" s="149"/>
      <c r="BN424" s="149"/>
      <c r="BO424" s="149"/>
      <c r="BP424" s="149"/>
      <c r="BQ424" s="149"/>
      <c r="BR424" s="149"/>
      <c r="BS424" s="149"/>
      <c r="BT424" s="149"/>
      <c r="BU424" s="149"/>
      <c r="BV424" s="149"/>
      <c r="BW424" s="149"/>
      <c r="BX424" s="149"/>
      <c r="BY424" s="149"/>
      <c r="BZ424" s="149"/>
    </row>
    <row r="425" spans="7:78" ht="14.1" hidden="1" customHeight="1" thickBot="1" x14ac:dyDescent="0.3">
      <c r="G425" s="106"/>
      <c r="H425" s="218"/>
      <c r="J425" s="210"/>
      <c r="K425" s="121" t="s">
        <v>121</v>
      </c>
      <c r="L425" s="151">
        <v>88.734511526649641</v>
      </c>
      <c r="M425" s="151">
        <v>85.805951449766837</v>
      </c>
      <c r="N425" s="151">
        <v>83.728105007817405</v>
      </c>
      <c r="O425" s="151">
        <v>82.116402094978071</v>
      </c>
      <c r="P425" s="151">
        <v>80.799544930934601</v>
      </c>
      <c r="Q425" s="151">
        <v>79.686158063016919</v>
      </c>
      <c r="R425" s="151">
        <v>78.721698488985169</v>
      </c>
      <c r="S425" s="151">
        <v>77.870984854051798</v>
      </c>
      <c r="T425" s="151">
        <v>77.109995576145835</v>
      </c>
      <c r="U425" s="151">
        <v>76.42159703848175</v>
      </c>
      <c r="V425" s="151">
        <v>75.793138412102351</v>
      </c>
      <c r="W425" s="151">
        <v>75.215012518034584</v>
      </c>
      <c r="X425" s="151">
        <v>74.679751544184683</v>
      </c>
      <c r="Y425" s="151">
        <v>74.181435499263017</v>
      </c>
      <c r="Z425" s="151">
        <v>73.715291970152919</v>
      </c>
      <c r="AA425" s="151">
        <v>73.277417431561631</v>
      </c>
      <c r="AB425" s="151">
        <v>72.864578335219548</v>
      </c>
      <c r="AC425" s="151">
        <v>72.474066050651089</v>
      </c>
      <c r="AD425" s="151">
        <v>72.103589057313584</v>
      </c>
      <c r="AE425" s="151">
        <v>71.751191467301865</v>
      </c>
      <c r="AF425" s="151">
        <v>71.415190519649514</v>
      </c>
      <c r="AG425" s="151">
        <v>71.094127980336538</v>
      </c>
      <c r="AH425" s="151">
        <v>70.786731893270115</v>
      </c>
      <c r="AI425" s="151">
        <v>70.49188614447425</v>
      </c>
      <c r="AJ425" s="151">
        <v>70.208605999202334</v>
      </c>
      <c r="AK425" s="151">
        <v>69.936018258336745</v>
      </c>
      <c r="AL425" s="151">
        <v>69.673345025352432</v>
      </c>
      <c r="AM425" s="151">
        <v>69.419890323112071</v>
      </c>
      <c r="AN425" s="151">
        <v>69.175028980430781</v>
      </c>
      <c r="AO425" s="151">
        <v>68.938197341586388</v>
      </c>
      <c r="AP425" s="151">
        <v>68.708885451320683</v>
      </c>
      <c r="AQ425" s="151">
        <v>68.486630442766696</v>
      </c>
      <c r="AR425" s="149"/>
      <c r="AS425" s="149"/>
      <c r="AT425" s="149"/>
      <c r="AU425" s="149"/>
      <c r="AV425" s="149"/>
      <c r="AW425" s="149"/>
      <c r="AX425" s="149"/>
      <c r="AY425" s="149"/>
      <c r="AZ425" s="149"/>
      <c r="BA425" s="149"/>
      <c r="BB425" s="149"/>
      <c r="BC425" s="149"/>
      <c r="BD425" s="149"/>
      <c r="BE425" s="149"/>
      <c r="BF425" s="149"/>
      <c r="BG425" s="149"/>
      <c r="BH425" s="149"/>
      <c r="BI425" s="149"/>
      <c r="BJ425" s="149"/>
      <c r="BK425" s="149"/>
      <c r="BL425" s="149"/>
      <c r="BM425" s="149"/>
      <c r="BN425" s="149"/>
      <c r="BO425" s="149"/>
      <c r="BP425" s="149"/>
      <c r="BQ425" s="149"/>
      <c r="BR425" s="149"/>
      <c r="BS425" s="149"/>
      <c r="BT425" s="149"/>
      <c r="BU425" s="149"/>
      <c r="BV425" s="149"/>
      <c r="BW425" s="149"/>
      <c r="BX425" s="149"/>
      <c r="BY425" s="149"/>
      <c r="BZ425" s="149"/>
    </row>
    <row r="426" spans="7:78" ht="14.1" hidden="1" customHeight="1" thickTop="1" x14ac:dyDescent="0.25">
      <c r="G426" s="106"/>
      <c r="H426" s="218"/>
      <c r="J426" s="210"/>
      <c r="K426" s="119" t="s">
        <v>122</v>
      </c>
      <c r="L426" s="152">
        <v>84.607026511785918</v>
      </c>
      <c r="M426" s="152">
        <v>79.077437733645894</v>
      </c>
      <c r="N426" s="152">
        <v>75.154132059025244</v>
      </c>
      <c r="O426" s="152">
        <v>72.11097975667667</v>
      </c>
      <c r="P426" s="152">
        <v>69.624543280885206</v>
      </c>
      <c r="Q426" s="152">
        <v>67.522291194897875</v>
      </c>
      <c r="R426" s="152">
        <v>65.70123760626457</v>
      </c>
      <c r="S426" s="152">
        <v>64.094954502745168</v>
      </c>
      <c r="T426" s="152">
        <v>62.658085303915989</v>
      </c>
      <c r="U426" s="152">
        <v>61.358279007025189</v>
      </c>
      <c r="V426" s="152">
        <v>60.171648828124525</v>
      </c>
      <c r="W426" s="152">
        <v>59.080054880155366</v>
      </c>
      <c r="X426" s="152">
        <v>58.069396742137194</v>
      </c>
      <c r="Y426" s="152">
        <v>57.128496525775958</v>
      </c>
      <c r="Z426" s="152">
        <v>56.248343153503868</v>
      </c>
      <c r="AA426" s="152">
        <v>55.42156614662585</v>
      </c>
      <c r="AB426" s="152">
        <v>54.64206004998448</v>
      </c>
      <c r="AC426" s="152">
        <v>53.904710536986251</v>
      </c>
      <c r="AD426" s="152">
        <v>53.205190851155308</v>
      </c>
      <c r="AE426" s="152">
        <v>52.539807963997156</v>
      </c>
      <c r="AF426" s="152">
        <v>51.905384554264494</v>
      </c>
      <c r="AG426" s="152">
        <v>51.299167243416008</v>
      </c>
      <c r="AH426" s="152">
        <v>50.718754375363829</v>
      </c>
      <c r="AI426" s="152">
        <v>50.162038548806748</v>
      </c>
      <c r="AJ426" s="152">
        <v>49.627160427394685</v>
      </c>
      <c r="AK426" s="152">
        <v>49.112471271844448</v>
      </c>
      <c r="AL426" s="152">
        <v>48.61650228937652</v>
      </c>
      <c r="AM426" s="152">
        <v>48.137939364088353</v>
      </c>
      <c r="AN426" s="152">
        <v>47.675602073015277</v>
      </c>
      <c r="AO426" s="152">
        <v>47.228426144203063</v>
      </c>
      <c r="AP426" s="152">
        <v>46.795448700743187</v>
      </c>
      <c r="AQ426" s="152">
        <v>46.375795776124463</v>
      </c>
      <c r="AR426" s="149"/>
      <c r="AS426" s="149"/>
      <c r="AT426" s="149"/>
      <c r="AU426" s="149"/>
      <c r="AV426" s="149"/>
      <c r="AW426" s="149"/>
      <c r="AX426" s="149"/>
      <c r="AY426" s="149"/>
      <c r="AZ426" s="149"/>
      <c r="BA426" s="149"/>
      <c r="BB426" s="149"/>
      <c r="BC426" s="149"/>
      <c r="BD426" s="149"/>
      <c r="BE426" s="149"/>
      <c r="BF426" s="149"/>
      <c r="BG426" s="149"/>
      <c r="BH426" s="149"/>
      <c r="BI426" s="149"/>
      <c r="BJ426" s="149"/>
      <c r="BK426" s="149"/>
      <c r="BL426" s="149"/>
      <c r="BM426" s="149"/>
      <c r="BN426" s="149"/>
      <c r="BO426" s="149"/>
      <c r="BP426" s="149"/>
      <c r="BQ426" s="149"/>
      <c r="BR426" s="149"/>
      <c r="BS426" s="149"/>
      <c r="BT426" s="149"/>
      <c r="BU426" s="149"/>
      <c r="BV426" s="149"/>
      <c r="BW426" s="149"/>
      <c r="BX426" s="149"/>
      <c r="BY426" s="149"/>
      <c r="BZ426" s="149"/>
    </row>
    <row r="427" spans="7:78" ht="14.1" hidden="1" customHeight="1" x14ac:dyDescent="0.25">
      <c r="G427" s="106"/>
      <c r="H427" s="218"/>
      <c r="J427" s="210"/>
      <c r="K427" s="7" t="s">
        <v>123</v>
      </c>
      <c r="L427" s="150">
        <v>87.599393702739917</v>
      </c>
      <c r="M427" s="150">
        <v>82.759206662340276</v>
      </c>
      <c r="N427" s="150">
        <v>79.325039304923749</v>
      </c>
      <c r="O427" s="150">
        <v>76.661292157211918</v>
      </c>
      <c r="P427" s="150">
        <v>74.484852264524108</v>
      </c>
      <c r="Q427" s="150">
        <v>72.644698554997888</v>
      </c>
      <c r="R427" s="150">
        <v>71.050684907107581</v>
      </c>
      <c r="S427" s="150">
        <v>69.644665224124466</v>
      </c>
      <c r="T427" s="150">
        <v>68.386937759395735</v>
      </c>
      <c r="U427" s="150">
        <v>67.249184872940248</v>
      </c>
      <c r="V427" s="150">
        <v>66.210497866707925</v>
      </c>
      <c r="W427" s="150">
        <v>65.254998444901716</v>
      </c>
      <c r="X427" s="150">
        <v>64.370344157181705</v>
      </c>
      <c r="Y427" s="150">
        <v>63.546750718996108</v>
      </c>
      <c r="Z427" s="150">
        <v>62.776330509291405</v>
      </c>
      <c r="AA427" s="150">
        <v>62.052631964146173</v>
      </c>
      <c r="AB427" s="150">
        <v>61.370310826308291</v>
      </c>
      <c r="AC427" s="150">
        <v>60.724890398089855</v>
      </c>
      <c r="AD427" s="150">
        <v>60.112583361579588</v>
      </c>
      <c r="AE427" s="150">
        <v>59.530157116782064</v>
      </c>
      <c r="AF427" s="150">
        <v>58.974830475124079</v>
      </c>
      <c r="AG427" s="150">
        <v>58.444193335661829</v>
      </c>
      <c r="AH427" s="150">
        <v>57.936143468891757</v>
      </c>
      <c r="AI427" s="150">
        <v>57.448836213867757</v>
      </c>
      <c r="AJ427" s="150">
        <v>56.980644047085541</v>
      </c>
      <c r="AK427" s="150">
        <v>56.530123785908643</v>
      </c>
      <c r="AL427" s="150">
        <v>56.095989759365537</v>
      </c>
      <c r="AM427" s="150">
        <v>55.677091689014894</v>
      </c>
      <c r="AN427" s="150">
        <v>55.272396321179933</v>
      </c>
      <c r="AO427" s="150">
        <v>54.880972072061809</v>
      </c>
      <c r="AP427" s="150">
        <v>54.50197611147523</v>
      </c>
      <c r="AQ427" s="150">
        <v>54.134643434724445</v>
      </c>
      <c r="AR427" s="149"/>
      <c r="AS427" s="149"/>
      <c r="AT427" s="149"/>
      <c r="AU427" s="149"/>
      <c r="AV427" s="149"/>
      <c r="AW427" s="149"/>
      <c r="AX427" s="149"/>
      <c r="AY427" s="149"/>
      <c r="AZ427" s="149"/>
      <c r="BA427" s="149"/>
      <c r="BB427" s="149"/>
      <c r="BC427" s="149"/>
      <c r="BD427" s="149"/>
      <c r="BE427" s="149"/>
      <c r="BF427" s="149"/>
      <c r="BG427" s="149"/>
      <c r="BH427" s="149"/>
      <c r="BI427" s="149"/>
      <c r="BJ427" s="149"/>
      <c r="BK427" s="149"/>
      <c r="BL427" s="149"/>
      <c r="BM427" s="149"/>
      <c r="BN427" s="149"/>
      <c r="BO427" s="149"/>
      <c r="BP427" s="149"/>
      <c r="BQ427" s="149"/>
      <c r="BR427" s="149"/>
      <c r="BS427" s="149"/>
      <c r="BT427" s="149"/>
      <c r="BU427" s="149"/>
      <c r="BV427" s="149"/>
      <c r="BW427" s="149"/>
      <c r="BX427" s="149"/>
      <c r="BY427" s="149"/>
      <c r="BZ427" s="149"/>
    </row>
    <row r="428" spans="7:78" ht="14.1" hidden="1" customHeight="1" thickBot="1" x14ac:dyDescent="0.3">
      <c r="G428" s="106"/>
      <c r="H428" s="218"/>
      <c r="J428" s="210"/>
      <c r="K428" s="121" t="s">
        <v>124</v>
      </c>
      <c r="L428" s="151">
        <v>92.329495496731624</v>
      </c>
      <c r="M428" s="151">
        <v>89.282287935902801</v>
      </c>
      <c r="N428" s="151">
        <v>87.120259764403215</v>
      </c>
      <c r="O428" s="151">
        <v>85.443260429275568</v>
      </c>
      <c r="P428" s="151">
        <v>84.073052203574406</v>
      </c>
      <c r="Q428" s="151">
        <v>82.914557655749547</v>
      </c>
      <c r="R428" s="151">
        <v>81.911024032074835</v>
      </c>
      <c r="S428" s="151">
        <v>81.025844642745582</v>
      </c>
      <c r="T428" s="151">
        <v>80.234024696947174</v>
      </c>
      <c r="U428" s="151">
        <v>79.517736427707945</v>
      </c>
      <c r="V428" s="151">
        <v>78.863816471246011</v>
      </c>
      <c r="W428" s="151">
        <v>78.262268423992225</v>
      </c>
      <c r="X428" s="151">
        <v>77.705321923421153</v>
      </c>
      <c r="Y428" s="151">
        <v>77.18681713611835</v>
      </c>
      <c r="Z428" s="151">
        <v>76.701788299746426</v>
      </c>
      <c r="AA428" s="151">
        <v>76.246173741854193</v>
      </c>
      <c r="AB428" s="151">
        <v>75.816608910417173</v>
      </c>
      <c r="AC428" s="151">
        <v>75.410275437688782</v>
      </c>
      <c r="AD428" s="151">
        <v>75.024788964618779</v>
      </c>
      <c r="AE428" s="151">
        <v>74.658114362592329</v>
      </c>
      <c r="AF428" s="151">
        <v>74.30850069537955</v>
      </c>
      <c r="AG428" s="151">
        <v>73.974430650166497</v>
      </c>
      <c r="AH428" s="151">
        <v>73.654580738917602</v>
      </c>
      <c r="AI428" s="151">
        <v>73.347789629491118</v>
      </c>
      <c r="AJ428" s="151">
        <v>73.053032691663816</v>
      </c>
      <c r="AK428" s="151">
        <v>72.769401349588364</v>
      </c>
      <c r="AL428" s="151">
        <v>72.496086191092758</v>
      </c>
      <c r="AM428" s="151">
        <v>72.232363042269213</v>
      </c>
      <c r="AN428" s="151">
        <v>71.977581403789955</v>
      </c>
      <c r="AO428" s="151">
        <v>71.731154784023204</v>
      </c>
      <c r="AP428" s="151">
        <v>71.492552567418031</v>
      </c>
      <c r="AQ428" s="151">
        <v>71.261293134550726</v>
      </c>
      <c r="AR428" s="149"/>
      <c r="AS428" s="149"/>
      <c r="AT428" s="149"/>
      <c r="AU428" s="149"/>
      <c r="AV428" s="149"/>
      <c r="AW428" s="149"/>
      <c r="AX428" s="149"/>
      <c r="AY428" s="149"/>
      <c r="AZ428" s="149"/>
      <c r="BA428" s="149"/>
      <c r="BB428" s="149"/>
      <c r="BC428" s="149"/>
      <c r="BD428" s="149"/>
      <c r="BE428" s="149"/>
      <c r="BF428" s="149"/>
      <c r="BG428" s="149"/>
      <c r="BH428" s="149"/>
      <c r="BI428" s="149"/>
      <c r="BJ428" s="149"/>
      <c r="BK428" s="149"/>
      <c r="BL428" s="149"/>
      <c r="BM428" s="149"/>
      <c r="BN428" s="149"/>
      <c r="BO428" s="149"/>
      <c r="BP428" s="149"/>
      <c r="BQ428" s="149"/>
      <c r="BR428" s="149"/>
      <c r="BS428" s="149"/>
      <c r="BT428" s="149"/>
      <c r="BU428" s="149"/>
      <c r="BV428" s="149"/>
      <c r="BW428" s="149"/>
      <c r="BX428" s="149"/>
      <c r="BY428" s="149"/>
      <c r="BZ428" s="149"/>
    </row>
    <row r="429" spans="7:78" ht="14.1" hidden="1" customHeight="1" thickTop="1" x14ac:dyDescent="0.25">
      <c r="G429" s="106"/>
      <c r="H429" s="218"/>
      <c r="J429" s="211"/>
      <c r="K429" s="119" t="s">
        <v>125</v>
      </c>
      <c r="L429" s="152">
        <v>91.55089196765914</v>
      </c>
      <c r="M429" s="152">
        <v>85.567478937743019</v>
      </c>
      <c r="N429" s="152">
        <v>81.322179832198117</v>
      </c>
      <c r="O429" s="152">
        <v>78.029270021277895</v>
      </c>
      <c r="P429" s="152">
        <v>75.338766802281995</v>
      </c>
      <c r="Q429" s="152">
        <v>73.063978743323304</v>
      </c>
      <c r="R429" s="152">
        <v>71.093467696737093</v>
      </c>
      <c r="S429" s="152">
        <v>69.355353772365859</v>
      </c>
      <c r="T429" s="152">
        <v>67.800557885816872</v>
      </c>
      <c r="U429" s="152">
        <v>66.394073923767266</v>
      </c>
      <c r="V429" s="152">
        <v>65.110054666820957</v>
      </c>
      <c r="W429" s="152">
        <v>63.928871451628389</v>
      </c>
      <c r="X429" s="152">
        <v>62.835266607862273</v>
      </c>
      <c r="Y429" s="152">
        <v>61.81714485590075</v>
      </c>
      <c r="Z429" s="152">
        <v>60.864755561276048</v>
      </c>
      <c r="AA429" s="152">
        <v>59.970123335576808</v>
      </c>
      <c r="AB429" s="152">
        <v>59.126641636904836</v>
      </c>
      <c r="AC429" s="152">
        <v>58.328776395800972</v>
      </c>
      <c r="AD429" s="152">
        <v>57.571845750355834</v>
      </c>
      <c r="AE429" s="152">
        <v>56.851853577946144</v>
      </c>
      <c r="AF429" s="152">
        <v>56.165361788306221</v>
      </c>
      <c r="AG429" s="152">
        <v>55.509391027689979</v>
      </c>
      <c r="AH429" s="152">
        <v>54.88134253135992</v>
      </c>
      <c r="AI429" s="152">
        <v>54.278935939435634</v>
      </c>
      <c r="AJ429" s="152">
        <v>53.700159316167358</v>
      </c>
      <c r="AK429" s="152">
        <v>53.143228606988714</v>
      </c>
      <c r="AL429" s="152">
        <v>52.606554472401257</v>
      </c>
      <c r="AM429" s="152">
        <v>52.088714944419728</v>
      </c>
      <c r="AN429" s="152">
        <v>51.58843272043972</v>
      </c>
      <c r="AO429" s="152">
        <v>51.104556181609674</v>
      </c>
      <c r="AP429" s="152">
        <v>50.636043425815018</v>
      </c>
      <c r="AQ429" s="152">
        <v>50.181948758390099</v>
      </c>
      <c r="AR429" s="149"/>
      <c r="AS429" s="149"/>
      <c r="AT429" s="149"/>
      <c r="AU429" s="149"/>
      <c r="AV429" s="149"/>
      <c r="AW429" s="149"/>
      <c r="AX429" s="149"/>
      <c r="AY429" s="149"/>
      <c r="AZ429" s="149"/>
      <c r="BA429" s="149"/>
      <c r="BB429" s="149"/>
      <c r="BC429" s="149"/>
      <c r="BD429" s="149"/>
      <c r="BE429" s="149"/>
      <c r="BF429" s="149"/>
      <c r="BG429" s="149"/>
      <c r="BH429" s="149"/>
      <c r="BI429" s="149"/>
      <c r="BJ429" s="149"/>
      <c r="BK429" s="149"/>
      <c r="BL429" s="149"/>
      <c r="BM429" s="149"/>
      <c r="BN429" s="149"/>
      <c r="BO429" s="149"/>
      <c r="BP429" s="149"/>
      <c r="BQ429" s="149"/>
      <c r="BR429" s="149"/>
      <c r="BS429" s="149"/>
      <c r="BT429" s="149"/>
      <c r="BU429" s="149"/>
      <c r="BV429" s="149"/>
      <c r="BW429" s="149"/>
      <c r="BX429" s="149"/>
      <c r="BY429" s="149"/>
      <c r="BZ429" s="149"/>
    </row>
    <row r="430" spans="7:78" ht="14.1" hidden="1" customHeight="1" x14ac:dyDescent="0.25">
      <c r="G430" s="106"/>
      <c r="H430" s="218"/>
      <c r="J430" s="211"/>
      <c r="K430" s="7" t="s">
        <v>126</v>
      </c>
      <c r="L430" s="150">
        <v>94.78884863297742</v>
      </c>
      <c r="M430" s="150">
        <v>89.551417900470071</v>
      </c>
      <c r="N430" s="150">
        <v>85.835401658084976</v>
      </c>
      <c r="O430" s="150">
        <v>82.953035530782842</v>
      </c>
      <c r="P430" s="150">
        <v>80.597970925577627</v>
      </c>
      <c r="Q430" s="150">
        <v>78.606792173523814</v>
      </c>
      <c r="R430" s="150">
        <v>76.881954683192546</v>
      </c>
      <c r="S430" s="150">
        <v>75.360540193070278</v>
      </c>
      <c r="T430" s="150">
        <v>73.999588555890398</v>
      </c>
      <c r="U430" s="150">
        <v>72.768458047134501</v>
      </c>
      <c r="V430" s="150">
        <v>71.644523950685198</v>
      </c>
      <c r="W430" s="150">
        <v>70.610604807707674</v>
      </c>
      <c r="X430" s="150">
        <v>69.653345198631371</v>
      </c>
      <c r="Y430" s="150">
        <v>68.762157823383063</v>
      </c>
      <c r="Z430" s="150">
        <v>67.928507708300117</v>
      </c>
      <c r="AA430" s="150">
        <v>67.145413796891773</v>
      </c>
      <c r="AB430" s="150">
        <v>66.407093218177849</v>
      </c>
      <c r="AC430" s="150">
        <v>65.70870186306604</v>
      </c>
      <c r="AD430" s="150">
        <v>65.046141580997983</v>
      </c>
      <c r="AE430" s="150">
        <v>64.415914466124022</v>
      </c>
      <c r="AF430" s="150">
        <v>63.815011072242065</v>
      </c>
      <c r="AG430" s="150">
        <v>63.240823496672689</v>
      </c>
      <c r="AH430" s="150">
        <v>62.691076975792761</v>
      </c>
      <c r="AI430" s="150">
        <v>62.163775453695841</v>
      </c>
      <c r="AJ430" s="150">
        <v>61.657157832815244</v>
      </c>
      <c r="AK430" s="150">
        <v>61.1696624856705</v>
      </c>
      <c r="AL430" s="150">
        <v>60.699898223738941</v>
      </c>
      <c r="AM430" s="150">
        <v>60.246620362959966</v>
      </c>
      <c r="AN430" s="150">
        <v>59.808710848490627</v>
      </c>
      <c r="AO430" s="150">
        <v>59.38516163961323</v>
      </c>
      <c r="AP430" s="150">
        <v>58.975060733407673</v>
      </c>
      <c r="AQ430" s="150">
        <v>58.577580339734723</v>
      </c>
      <c r="AR430" s="149"/>
      <c r="AS430" s="149"/>
      <c r="AT430" s="149"/>
      <c r="AU430" s="149"/>
      <c r="AV430" s="149"/>
      <c r="AW430" s="149"/>
      <c r="AX430" s="149"/>
      <c r="AY430" s="149"/>
      <c r="AZ430" s="149"/>
      <c r="BA430" s="149"/>
      <c r="BB430" s="149"/>
      <c r="BC430" s="149"/>
      <c r="BD430" s="149"/>
      <c r="BE430" s="149"/>
      <c r="BF430" s="149"/>
      <c r="BG430" s="149"/>
      <c r="BH430" s="149"/>
      <c r="BI430" s="149"/>
      <c r="BJ430" s="149"/>
      <c r="BK430" s="149"/>
      <c r="BL430" s="149"/>
      <c r="BM430" s="149"/>
      <c r="BN430" s="149"/>
      <c r="BO430" s="149"/>
      <c r="BP430" s="149"/>
      <c r="BQ430" s="149"/>
      <c r="BR430" s="149"/>
      <c r="BS430" s="149"/>
      <c r="BT430" s="149"/>
      <c r="BU430" s="149"/>
      <c r="BV430" s="149"/>
      <c r="BW430" s="149"/>
      <c r="BX430" s="149"/>
      <c r="BY430" s="149"/>
      <c r="BZ430" s="149"/>
    </row>
    <row r="431" spans="7:78" ht="14.1" hidden="1" customHeight="1" thickBot="1" x14ac:dyDescent="0.3">
      <c r="G431" s="106"/>
      <c r="H431" s="218"/>
      <c r="J431" s="211"/>
      <c r="K431" s="121" t="s">
        <v>127</v>
      </c>
      <c r="L431" s="151">
        <v>99.907159205887581</v>
      </c>
      <c r="M431" s="151">
        <v>96.609861313429306</v>
      </c>
      <c r="N431" s="151">
        <v>94.270391227780792</v>
      </c>
      <c r="O431" s="151">
        <v>92.455757251266789</v>
      </c>
      <c r="P431" s="151">
        <v>90.973093335322517</v>
      </c>
      <c r="Q431" s="151">
        <v>89.719518856159596</v>
      </c>
      <c r="R431" s="151">
        <v>88.633623249674017</v>
      </c>
      <c r="S431" s="151">
        <v>87.675795442864242</v>
      </c>
      <c r="T431" s="151">
        <v>86.818989273160014</v>
      </c>
      <c r="U431" s="151">
        <v>86.043913813609521</v>
      </c>
      <c r="V431" s="151">
        <v>85.336325357215728</v>
      </c>
      <c r="W431" s="151">
        <v>84.685407075862159</v>
      </c>
      <c r="X431" s="151">
        <v>84.082750878052806</v>
      </c>
      <c r="Y431" s="151">
        <v>83.521691380701725</v>
      </c>
      <c r="Z431" s="151">
        <v>82.996855271567227</v>
      </c>
      <c r="AA431" s="151">
        <v>82.503847528733075</v>
      </c>
      <c r="AB431" s="151">
        <v>82.039027464757453</v>
      </c>
      <c r="AC431" s="151">
        <v>81.599345402896788</v>
      </c>
      <c r="AD431" s="151">
        <v>81.182221295053225</v>
      </c>
      <c r="AE431" s="151">
        <v>80.785452985594532</v>
      </c>
      <c r="AF431" s="151">
        <v>80.407145835502746</v>
      </c>
      <c r="AG431" s="151">
        <v>80.045658003110105</v>
      </c>
      <c r="AH431" s="151">
        <v>79.699557379108938</v>
      </c>
      <c r="AI431" s="151">
        <v>79.367587318539208</v>
      </c>
      <c r="AJ431" s="151">
        <v>79.04863909775537</v>
      </c>
      <c r="AK431" s="151">
        <v>78.741729572299178</v>
      </c>
      <c r="AL431" s="151">
        <v>78.445982899946017</v>
      </c>
      <c r="AM431" s="151">
        <v>78.16061547240794</v>
      </c>
      <c r="AN431" s="151">
        <v>77.884923402594936</v>
      </c>
      <c r="AO431" s="151">
        <v>77.618272064350847</v>
      </c>
      <c r="AP431" s="151">
        <v>77.360087293460438</v>
      </c>
      <c r="AQ431" s="151">
        <v>77.109847943044457</v>
      </c>
      <c r="AR431" s="149"/>
      <c r="AS431" s="149"/>
      <c r="AT431" s="149"/>
      <c r="AU431" s="149"/>
      <c r="AV431" s="149"/>
      <c r="AW431" s="149"/>
      <c r="AX431" s="149"/>
      <c r="AY431" s="149"/>
      <c r="AZ431" s="149"/>
      <c r="BA431" s="149"/>
      <c r="BB431" s="149"/>
      <c r="BC431" s="149"/>
      <c r="BD431" s="149"/>
      <c r="BE431" s="149"/>
      <c r="BF431" s="149"/>
      <c r="BG431" s="149"/>
      <c r="BH431" s="149"/>
      <c r="BI431" s="149"/>
      <c r="BJ431" s="149"/>
      <c r="BK431" s="149"/>
      <c r="BL431" s="149"/>
      <c r="BM431" s="149"/>
      <c r="BN431" s="149"/>
      <c r="BO431" s="149"/>
      <c r="BP431" s="149"/>
      <c r="BQ431" s="149"/>
      <c r="BR431" s="149"/>
      <c r="BS431" s="149"/>
      <c r="BT431" s="149"/>
      <c r="BU431" s="149"/>
      <c r="BV431" s="149"/>
      <c r="BW431" s="149"/>
      <c r="BX431" s="149"/>
      <c r="BY431" s="149"/>
      <c r="BZ431" s="149"/>
    </row>
    <row r="432" spans="7:78" ht="14.1" hidden="1" customHeight="1" thickTop="1" x14ac:dyDescent="0.25">
      <c r="G432" s="106"/>
      <c r="H432" s="218"/>
      <c r="J432" s="211"/>
      <c r="K432" s="119" t="s">
        <v>128</v>
      </c>
      <c r="L432" s="152">
        <v>92.779538007957001</v>
      </c>
      <c r="M432" s="152">
        <v>86.715825413845806</v>
      </c>
      <c r="N432" s="152">
        <v>82.413552860813894</v>
      </c>
      <c r="O432" s="152">
        <v>79.076451010763421</v>
      </c>
      <c r="P432" s="152">
        <v>76.349840266702699</v>
      </c>
      <c r="Q432" s="152">
        <v>74.044523730291885</v>
      </c>
      <c r="R432" s="152">
        <v>72.047567713670801</v>
      </c>
      <c r="S432" s="152">
        <v>70.286127672591505</v>
      </c>
      <c r="T432" s="152">
        <v>68.710465863620314</v>
      </c>
      <c r="U432" s="152">
        <v>67.285106378748651</v>
      </c>
      <c r="V432" s="152">
        <v>65.983855119559593</v>
      </c>
      <c r="W432" s="152">
        <v>64.786819998951117</v>
      </c>
      <c r="X432" s="152">
        <v>63.678538583148786</v>
      </c>
      <c r="Y432" s="152">
        <v>62.646753269509119</v>
      </c>
      <c r="Z432" s="152">
        <v>61.68158256652768</v>
      </c>
      <c r="AA432" s="152">
        <v>60.774944053199732</v>
      </c>
      <c r="AB432" s="152">
        <v>59.920142525448398</v>
      </c>
      <c r="AC432" s="152">
        <v>59.111569644603357</v>
      </c>
      <c r="AD432" s="152">
        <v>58.344480716477207</v>
      </c>
      <c r="AE432" s="152">
        <v>57.614825989037584</v>
      </c>
      <c r="AF432" s="152">
        <v>56.919121231605537</v>
      </c>
      <c r="AG432" s="152">
        <v>56.254347106431503</v>
      </c>
      <c r="AH432" s="152">
        <v>55.617869972416486</v>
      </c>
      <c r="AI432" s="152">
        <v>55.007378866426741</v>
      </c>
      <c r="AJ432" s="152">
        <v>54.420834851808017</v>
      </c>
      <c r="AK432" s="152">
        <v>53.85642993133721</v>
      </c>
      <c r="AL432" s="152">
        <v>53.312553436005693</v>
      </c>
      <c r="AM432" s="152">
        <v>52.787764314504209</v>
      </c>
      <c r="AN432" s="152">
        <v>52.28076812236602</v>
      </c>
      <c r="AO432" s="152">
        <v>51.790397785598579</v>
      </c>
      <c r="AP432" s="152">
        <v>51.315597419384581</v>
      </c>
      <c r="AQ432" s="152">
        <v>50.855408637494349</v>
      </c>
      <c r="AR432" s="149"/>
      <c r="AS432" s="149"/>
      <c r="AT432" s="149"/>
      <c r="AU432" s="149"/>
      <c r="AV432" s="149"/>
      <c r="AW432" s="149"/>
      <c r="AX432" s="149"/>
      <c r="AY432" s="149"/>
      <c r="AZ432" s="149"/>
      <c r="BA432" s="149"/>
      <c r="BB432" s="149"/>
      <c r="BC432" s="149"/>
      <c r="BD432" s="149"/>
      <c r="BE432" s="149"/>
      <c r="BF432" s="149"/>
      <c r="BG432" s="149"/>
      <c r="BH432" s="149"/>
      <c r="BI432" s="149"/>
      <c r="BJ432" s="149"/>
      <c r="BK432" s="149"/>
      <c r="BL432" s="149"/>
      <c r="BM432" s="149"/>
      <c r="BN432" s="149"/>
      <c r="BO432" s="149"/>
      <c r="BP432" s="149"/>
      <c r="BQ432" s="149"/>
      <c r="BR432" s="149"/>
      <c r="BS432" s="149"/>
      <c r="BT432" s="149"/>
      <c r="BU432" s="149"/>
      <c r="BV432" s="149"/>
      <c r="BW432" s="149"/>
      <c r="BX432" s="149"/>
      <c r="BY432" s="149"/>
      <c r="BZ432" s="149"/>
    </row>
    <row r="433" spans="7:78" ht="14.1" hidden="1" customHeight="1" x14ac:dyDescent="0.25">
      <c r="G433" s="106"/>
      <c r="H433" s="218"/>
      <c r="J433" s="211"/>
      <c r="K433" s="7" t="s">
        <v>129</v>
      </c>
      <c r="L433" s="150">
        <v>100.83577727194744</v>
      </c>
      <c r="M433" s="150">
        <v>95.264231605586971</v>
      </c>
      <c r="N433" s="150">
        <v>91.311157045023947</v>
      </c>
      <c r="O433" s="150">
        <v>88.244914200844832</v>
      </c>
      <c r="P433" s="150">
        <v>85.739611378663483</v>
      </c>
      <c r="Q433" s="150">
        <v>83.621408024087856</v>
      </c>
      <c r="R433" s="150">
        <v>81.786536818100458</v>
      </c>
      <c r="S433" s="150">
        <v>80.168065712303019</v>
      </c>
      <c r="T433" s="150">
        <v>78.720293973921343</v>
      </c>
      <c r="U433" s="150">
        <v>77.410625130339469</v>
      </c>
      <c r="V433" s="150">
        <v>76.214991151739994</v>
      </c>
      <c r="W433" s="150">
        <v>75.115114510953234</v>
      </c>
      <c r="X433" s="150">
        <v>74.096787797164382</v>
      </c>
      <c r="Y433" s="150">
        <v>73.148748307560894</v>
      </c>
      <c r="Z433" s="150">
        <v>72.261916591176984</v>
      </c>
      <c r="AA433" s="150">
        <v>71.428866244299812</v>
      </c>
      <c r="AB433" s="150">
        <v>70.64344548537953</v>
      </c>
      <c r="AC433" s="150">
        <v>69.900501181821369</v>
      </c>
      <c r="AD433" s="150">
        <v>69.195673746997883</v>
      </c>
      <c r="AE433" s="150">
        <v>68.525242130803917</v>
      </c>
      <c r="AF433" s="150">
        <v>67.88600490341598</v>
      </c>
      <c r="AG433" s="150">
        <v>67.275187794468735</v>
      </c>
      <c r="AH433" s="150">
        <v>66.69037092481652</v>
      </c>
      <c r="AI433" s="150">
        <v>66.129430902818768</v>
      </c>
      <c r="AJ433" s="150">
        <v>65.590494284029759</v>
      </c>
      <c r="AK433" s="150">
        <v>65.071899819019066</v>
      </c>
      <c r="AL433" s="150">
        <v>64.572167570240893</v>
      </c>
      <c r="AM433" s="150">
        <v>64.089973450668978</v>
      </c>
      <c r="AN433" s="150">
        <v>63.624128080637405</v>
      </c>
      <c r="AO433" s="150">
        <v>63.173559112810402</v>
      </c>
      <c r="AP433" s="150">
        <v>62.737296364253496</v>
      </c>
      <c r="AQ433" s="150">
        <v>62.314459237055523</v>
      </c>
      <c r="AR433" s="149"/>
      <c r="AS433" s="149"/>
      <c r="AT433" s="149"/>
      <c r="AU433" s="149"/>
      <c r="AV433" s="149"/>
      <c r="AW433" s="149"/>
      <c r="AX433" s="149"/>
      <c r="AY433" s="149"/>
      <c r="AZ433" s="149"/>
      <c r="BA433" s="149"/>
      <c r="BB433" s="149"/>
      <c r="BC433" s="149"/>
      <c r="BD433" s="149"/>
      <c r="BE433" s="149"/>
      <c r="BF433" s="149"/>
      <c r="BG433" s="149"/>
      <c r="BH433" s="149"/>
      <c r="BI433" s="149"/>
      <c r="BJ433" s="149"/>
      <c r="BK433" s="149"/>
      <c r="BL433" s="149"/>
      <c r="BM433" s="149"/>
      <c r="BN433" s="149"/>
      <c r="BO433" s="149"/>
      <c r="BP433" s="149"/>
      <c r="BQ433" s="149"/>
      <c r="BR433" s="149"/>
      <c r="BS433" s="149"/>
      <c r="BT433" s="149"/>
      <c r="BU433" s="149"/>
      <c r="BV433" s="149"/>
      <c r="BW433" s="149"/>
      <c r="BX433" s="149"/>
      <c r="BY433" s="149"/>
      <c r="BZ433" s="149"/>
    </row>
    <row r="434" spans="7:78" ht="14.1" hidden="1" customHeight="1" thickBot="1" x14ac:dyDescent="0.3">
      <c r="G434" s="106"/>
      <c r="H434" s="218"/>
      <c r="J434" s="211"/>
      <c r="K434" s="121" t="s">
        <v>130</v>
      </c>
      <c r="L434" s="151">
        <v>106.2806036664213</v>
      </c>
      <c r="M434" s="151">
        <v>102.77295903650739</v>
      </c>
      <c r="N434" s="151">
        <v>100.28424556553519</v>
      </c>
      <c r="O434" s="151">
        <v>98.35384942585452</v>
      </c>
      <c r="P434" s="151">
        <v>96.776600935621289</v>
      </c>
      <c r="Q434" s="151">
        <v>95.443056338364798</v>
      </c>
      <c r="R434" s="151">
        <v>94.287887464649074</v>
      </c>
      <c r="S434" s="151">
        <v>93.268956305707377</v>
      </c>
      <c r="T434" s="151">
        <v>92.357491324968407</v>
      </c>
      <c r="U434" s="151">
        <v>91.532970956430091</v>
      </c>
      <c r="V434" s="151">
        <v>90.780242834735176</v>
      </c>
      <c r="W434" s="151">
        <v>90.087800086591358</v>
      </c>
      <c r="X434" s="151">
        <v>89.446698237478699</v>
      </c>
      <c r="Y434" s="151">
        <v>88.849846695054509</v>
      </c>
      <c r="Z434" s="151">
        <v>88.291529363762962</v>
      </c>
      <c r="AA434" s="151">
        <v>87.767070847104975</v>
      </c>
      <c r="AB434" s="151">
        <v>87.272598204821264</v>
      </c>
      <c r="AC434" s="151">
        <v>86.804867210092979</v>
      </c>
      <c r="AD434" s="151">
        <v>86.361133224082295</v>
      </c>
      <c r="AE434" s="151">
        <v>85.939053607564787</v>
      </c>
      <c r="AF434" s="151">
        <v>85.536612855543993</v>
      </c>
      <c r="AG434" s="151">
        <v>85.152064387244721</v>
      </c>
      <c r="AH434" s="151">
        <v>84.783884733849064</v>
      </c>
      <c r="AI434" s="151">
        <v>84.430737084401628</v>
      </c>
      <c r="AJ434" s="151">
        <v>84.091441985705245</v>
      </c>
      <c r="AK434" s="151">
        <v>83.764953574907381</v>
      </c>
      <c r="AL434" s="151">
        <v>83.450340136592587</v>
      </c>
      <c r="AM434" s="151">
        <v>83.146768073223427</v>
      </c>
      <c r="AN434" s="151">
        <v>82.853488594168397</v>
      </c>
      <c r="AO434" s="151">
        <v>82.569826588138994</v>
      </c>
      <c r="AP434" s="151">
        <v>82.295171262876849</v>
      </c>
      <c r="AQ434" s="151">
        <v>82.028968225630095</v>
      </c>
      <c r="AR434" s="149"/>
      <c r="AS434" s="149"/>
      <c r="AT434" s="149"/>
      <c r="AU434" s="149"/>
      <c r="AV434" s="149"/>
      <c r="AW434" s="149"/>
      <c r="AX434" s="149"/>
      <c r="AY434" s="149"/>
      <c r="AZ434" s="149"/>
      <c r="BA434" s="149"/>
      <c r="BB434" s="149"/>
      <c r="BC434" s="149"/>
      <c r="BD434" s="149"/>
      <c r="BE434" s="149"/>
      <c r="BF434" s="149"/>
      <c r="BG434" s="149"/>
      <c r="BH434" s="149"/>
      <c r="BI434" s="149"/>
      <c r="BJ434" s="149"/>
      <c r="BK434" s="149"/>
      <c r="BL434" s="149"/>
      <c r="BM434" s="149"/>
      <c r="BN434" s="149"/>
      <c r="BO434" s="149"/>
      <c r="BP434" s="149"/>
      <c r="BQ434" s="149"/>
      <c r="BR434" s="149"/>
      <c r="BS434" s="149"/>
      <c r="BT434" s="149"/>
      <c r="BU434" s="149"/>
      <c r="BV434" s="149"/>
      <c r="BW434" s="149"/>
      <c r="BX434" s="149"/>
      <c r="BY434" s="149"/>
      <c r="BZ434" s="149"/>
    </row>
    <row r="435" spans="7:78" ht="14.1" hidden="1" customHeight="1" thickTop="1" x14ac:dyDescent="0.25">
      <c r="G435" s="106"/>
      <c r="H435" s="218"/>
      <c r="J435" s="211"/>
      <c r="K435" s="119" t="s">
        <v>131</v>
      </c>
      <c r="L435" s="152">
        <v>99.827676130149968</v>
      </c>
      <c r="M435" s="152">
        <v>93.303324425150862</v>
      </c>
      <c r="N435" s="152">
        <v>88.674223221705873</v>
      </c>
      <c r="O435" s="152">
        <v>85.083613375474556</v>
      </c>
      <c r="P435" s="152">
        <v>82.149871516706781</v>
      </c>
      <c r="Q435" s="152">
        <v>79.669428118135841</v>
      </c>
      <c r="R435" s="152">
        <v>77.520770313261806</v>
      </c>
      <c r="S435" s="152">
        <v>75.625519811707662</v>
      </c>
      <c r="T435" s="152">
        <v>73.930160467030476</v>
      </c>
      <c r="U435" s="152">
        <v>72.396521390140464</v>
      </c>
      <c r="V435" s="152">
        <v>70.996418608262687</v>
      </c>
      <c r="W435" s="152">
        <v>69.708448901771263</v>
      </c>
      <c r="X435" s="152">
        <v>68.51597520969176</v>
      </c>
      <c r="Y435" s="152">
        <v>67.40580876203137</v>
      </c>
      <c r="Z435" s="152">
        <v>66.367317404817697</v>
      </c>
      <c r="AA435" s="152">
        <v>65.391804723693326</v>
      </c>
      <c r="AB435" s="152">
        <v>64.472066903263567</v>
      </c>
      <c r="AC435" s="152">
        <v>63.602069558917037</v>
      </c>
      <c r="AD435" s="152">
        <v>62.776707558586381</v>
      </c>
      <c r="AE435" s="152">
        <v>61.99162350469264</v>
      </c>
      <c r="AF435" s="152">
        <v>61.243068481696355</v>
      </c>
      <c r="AG435" s="152">
        <v>60.527793783282945</v>
      </c>
      <c r="AH435" s="152">
        <v>59.842965699818585</v>
      </c>
      <c r="AI435" s="152">
        <v>59.186097712355078</v>
      </c>
      <c r="AJ435" s="152">
        <v>58.554995993327175</v>
      </c>
      <c r="AK435" s="152">
        <v>57.947715198264468</v>
      </c>
      <c r="AL435" s="152">
        <v>57.362522301247679</v>
      </c>
      <c r="AM435" s="152">
        <v>56.797866779322334</v>
      </c>
      <c r="AN435" s="152">
        <v>56.252355853587282</v>
      </c>
      <c r="AO435" s="152">
        <v>55.72473379150658</v>
      </c>
      <c r="AP435" s="152">
        <v>55.21386449637361</v>
      </c>
      <c r="AQ435" s="152">
        <v>54.718716776697256</v>
      </c>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c r="BS435" s="149"/>
      <c r="BT435" s="149"/>
      <c r="BU435" s="149"/>
      <c r="BV435" s="149"/>
      <c r="BW435" s="149"/>
      <c r="BX435" s="149"/>
      <c r="BY435" s="149"/>
      <c r="BZ435" s="149"/>
    </row>
    <row r="436" spans="7:78" ht="14.1" hidden="1" customHeight="1" x14ac:dyDescent="0.25">
      <c r="G436" s="106"/>
      <c r="H436" s="218"/>
      <c r="J436" s="211"/>
      <c r="K436" s="7" t="s">
        <v>132</v>
      </c>
      <c r="L436" s="150">
        <v>103.35836471615565</v>
      </c>
      <c r="M436" s="150">
        <v>97.647436863005566</v>
      </c>
      <c r="N436" s="150">
        <v>93.595469067102073</v>
      </c>
      <c r="O436" s="150">
        <v>90.45251867021814</v>
      </c>
      <c r="P436" s="150">
        <v>87.884541213952005</v>
      </c>
      <c r="Q436" s="150">
        <v>85.713347211303912</v>
      </c>
      <c r="R436" s="150">
        <v>83.832573418048497</v>
      </c>
      <c r="S436" s="150">
        <v>82.173613360801923</v>
      </c>
      <c r="T436" s="150">
        <v>80.689623021164564</v>
      </c>
      <c r="U436" s="150">
        <v>79.347190467416794</v>
      </c>
      <c r="V436" s="150">
        <v>78.121645564898429</v>
      </c>
      <c r="W436" s="150">
        <v>76.994253541384523</v>
      </c>
      <c r="X436" s="150">
        <v>75.950451562250336</v>
      </c>
      <c r="Y436" s="150">
        <v>74.978695168014497</v>
      </c>
      <c r="Z436" s="150">
        <v>74.069677768994936</v>
      </c>
      <c r="AA436" s="150">
        <v>73.215787176698143</v>
      </c>
      <c r="AB436" s="150">
        <v>72.410717711748362</v>
      </c>
      <c r="AC436" s="150">
        <v>71.649187326715889</v>
      </c>
      <c r="AD436" s="150">
        <v>70.926727372111017</v>
      </c>
      <c r="AE436" s="150">
        <v>70.239523709100268</v>
      </c>
      <c r="AF436" s="150">
        <v>69.584294818363219</v>
      </c>
      <c r="AG436" s="150">
        <v>68.958197026195947</v>
      </c>
      <c r="AH436" s="150">
        <v>68.358749915844854</v>
      </c>
      <c r="AI436" s="150">
        <v>67.78377697522707</v>
      </c>
      <c r="AJ436" s="150">
        <v>67.231357892330948</v>
      </c>
      <c r="AK436" s="150">
        <v>66.699789858598294</v>
      </c>
      <c r="AL436" s="150">
        <v>66.187555913196761</v>
      </c>
      <c r="AM436" s="150">
        <v>65.693298844693317</v>
      </c>
      <c r="AN436" s="150">
        <v>65.215799518960935</v>
      </c>
      <c r="AO436" s="150">
        <v>64.753958761975952</v>
      </c>
      <c r="AP436" s="150">
        <v>64.30678211994136</v>
      </c>
      <c r="AQ436" s="150">
        <v>63.873366965213158</v>
      </c>
      <c r="AR436" s="149"/>
      <c r="AS436" s="149"/>
      <c r="AT436" s="149"/>
      <c r="AU436" s="149"/>
      <c r="AV436" s="149"/>
      <c r="AW436" s="149"/>
      <c r="AX436" s="149"/>
      <c r="AY436" s="149"/>
      <c r="AZ436" s="149"/>
      <c r="BA436" s="149"/>
      <c r="BB436" s="149"/>
      <c r="BC436" s="149"/>
      <c r="BD436" s="149"/>
      <c r="BE436" s="149"/>
      <c r="BF436" s="149"/>
      <c r="BG436" s="149"/>
      <c r="BH436" s="149"/>
      <c r="BI436" s="149"/>
      <c r="BJ436" s="149"/>
      <c r="BK436" s="149"/>
      <c r="BL436" s="149"/>
      <c r="BM436" s="149"/>
      <c r="BN436" s="149"/>
      <c r="BO436" s="149"/>
      <c r="BP436" s="149"/>
      <c r="BQ436" s="149"/>
      <c r="BR436" s="149"/>
      <c r="BS436" s="149"/>
      <c r="BT436" s="149"/>
      <c r="BU436" s="149"/>
      <c r="BV436" s="149"/>
      <c r="BW436" s="149"/>
      <c r="BX436" s="149"/>
      <c r="BY436" s="149"/>
      <c r="BZ436" s="149"/>
    </row>
    <row r="437" spans="7:78" ht="14.1" hidden="1" customHeight="1" thickBot="1" x14ac:dyDescent="0.3">
      <c r="G437" s="106"/>
      <c r="H437" s="218"/>
      <c r="J437" s="211"/>
      <c r="K437" s="121" t="s">
        <v>133</v>
      </c>
      <c r="L437" s="151">
        <v>108.93940318803087</v>
      </c>
      <c r="M437" s="151">
        <v>105.34400854972162</v>
      </c>
      <c r="N437" s="151">
        <v>102.79303545697672</v>
      </c>
      <c r="O437" s="151">
        <v>100.8143470028413</v>
      </c>
      <c r="P437" s="151">
        <v>99.19764081866748</v>
      </c>
      <c r="Q437" s="151">
        <v>97.830735216534123</v>
      </c>
      <c r="R437" s="151">
        <v>96.646667725922583</v>
      </c>
      <c r="S437" s="151">
        <v>95.602246180358222</v>
      </c>
      <c r="T437" s="151">
        <v>94.667979271787161</v>
      </c>
      <c r="U437" s="151">
        <v>93.822832050504317</v>
      </c>
      <c r="V437" s="151">
        <v>93.051273087613325</v>
      </c>
      <c r="W437" s="151">
        <v>92.341507644791506</v>
      </c>
      <c r="X437" s="151">
        <v>91.684367485479981</v>
      </c>
      <c r="Y437" s="151">
        <v>91.072584633477902</v>
      </c>
      <c r="Z437" s="151">
        <v>90.500299994868428</v>
      </c>
      <c r="AA437" s="151">
        <v>89.962721209741034</v>
      </c>
      <c r="AB437" s="151">
        <v>89.455878449304066</v>
      </c>
      <c r="AC437" s="151">
        <v>88.976446326598293</v>
      </c>
      <c r="AD437" s="151">
        <v>88.521611540733005</v>
      </c>
      <c r="AE437" s="151">
        <v>88.088972847170737</v>
      </c>
      <c r="AF437" s="151">
        <v>87.676464319450176</v>
      </c>
      <c r="AG437" s="151">
        <v>87.282295682952025</v>
      </c>
      <c r="AH437" s="151">
        <v>86.904905356559169</v>
      </c>
      <c r="AI437" s="151">
        <v>86.542923086597582</v>
      </c>
      <c r="AJ437" s="151">
        <v>86.19513991373735</v>
      </c>
      <c r="AK437" s="151">
        <v>85.860483810994822</v>
      </c>
      <c r="AL437" s="151">
        <v>85.53799975442584</v>
      </c>
      <c r="AM437" s="151">
        <v>85.226833292558595</v>
      </c>
      <c r="AN437" s="151">
        <v>84.926216902423747</v>
      </c>
      <c r="AO437" s="151">
        <v>84.635458583615616</v>
      </c>
      <c r="AP437" s="151">
        <v>84.353932263814272</v>
      </c>
      <c r="AQ437" s="151">
        <v>84.081069681140917</v>
      </c>
      <c r="AR437" s="149"/>
      <c r="AS437" s="149"/>
      <c r="AT437" s="149"/>
      <c r="AU437" s="149"/>
      <c r="AV437" s="149"/>
      <c r="AW437" s="149"/>
      <c r="AX437" s="149"/>
      <c r="AY437" s="149"/>
      <c r="AZ437" s="149"/>
      <c r="BA437" s="149"/>
      <c r="BB437" s="149"/>
      <c r="BC437" s="149"/>
      <c r="BD437" s="149"/>
      <c r="BE437" s="149"/>
      <c r="BF437" s="149"/>
      <c r="BG437" s="149"/>
      <c r="BH437" s="149"/>
      <c r="BI437" s="149"/>
      <c r="BJ437" s="149"/>
      <c r="BK437" s="149"/>
      <c r="BL437" s="149"/>
      <c r="BM437" s="149"/>
      <c r="BN437" s="149"/>
      <c r="BO437" s="149"/>
      <c r="BP437" s="149"/>
      <c r="BQ437" s="149"/>
      <c r="BR437" s="149"/>
      <c r="BS437" s="149"/>
      <c r="BT437" s="149"/>
      <c r="BU437" s="149"/>
      <c r="BV437" s="149"/>
      <c r="BW437" s="149"/>
      <c r="BX437" s="149"/>
      <c r="BY437" s="149"/>
      <c r="BZ437" s="149"/>
    </row>
    <row r="438" spans="7:78" ht="14.1" hidden="1" customHeight="1" thickTop="1" x14ac:dyDescent="0.25">
      <c r="G438" s="106"/>
      <c r="H438" s="218"/>
      <c r="J438" s="211"/>
      <c r="K438" s="119" t="s">
        <v>134</v>
      </c>
      <c r="L438" s="152">
        <v>90.119749674171018</v>
      </c>
      <c r="M438" s="152">
        <v>84.229870582182514</v>
      </c>
      <c r="N438" s="152">
        <v>80.050934861721814</v>
      </c>
      <c r="O438" s="152">
        <v>76.809500491376383</v>
      </c>
      <c r="P438" s="152">
        <v>74.161055769733309</v>
      </c>
      <c r="Q438" s="152">
        <v>71.921827663604432</v>
      </c>
      <c r="R438" s="152">
        <v>69.982120049272623</v>
      </c>
      <c r="S438" s="152">
        <v>68.271176677744805</v>
      </c>
      <c r="T438" s="152">
        <v>66.740685678927179</v>
      </c>
      <c r="U438" s="152">
        <v>65.356188162229884</v>
      </c>
      <c r="V438" s="152">
        <v>64.092240957284105</v>
      </c>
      <c r="W438" s="152">
        <v>62.929522240025833</v>
      </c>
      <c r="X438" s="152">
        <v>61.853012851155228</v>
      </c>
      <c r="Y438" s="152">
        <v>60.850806586938674</v>
      </c>
      <c r="Z438" s="152">
        <v>59.913305236823405</v>
      </c>
      <c r="AA438" s="152">
        <v>59.032658085303098</v>
      </c>
      <c r="AB438" s="152">
        <v>58.202361865295593</v>
      </c>
      <c r="AC438" s="152">
        <v>57.416969017048935</v>
      </c>
      <c r="AD438" s="152">
        <v>56.671870866477974</v>
      </c>
      <c r="AE438" s="152">
        <v>55.963133759166716</v>
      </c>
      <c r="AF438" s="152">
        <v>55.287373349780665</v>
      </c>
      <c r="AG438" s="152">
        <v>54.641656858441678</v>
      </c>
      <c r="AH438" s="152">
        <v>54.023426144834886</v>
      </c>
      <c r="AI438" s="152">
        <v>53.430436496132558</v>
      </c>
      <c r="AJ438" s="152">
        <v>52.860707427576628</v>
      </c>
      <c r="AK438" s="152">
        <v>52.312482773307089</v>
      </c>
      <c r="AL438" s="152">
        <v>51.784198038706037</v>
      </c>
      <c r="AM438" s="152">
        <v>51.274453484283001</v>
      </c>
      <c r="AN438" s="152">
        <v>50.78199177448947</v>
      </c>
      <c r="AO438" s="152">
        <v>50.305679292815647</v>
      </c>
      <c r="AP438" s="152">
        <v>49.8444904243742</v>
      </c>
      <c r="AQ438" s="152">
        <v>49.397494257792161</v>
      </c>
      <c r="AR438" s="149"/>
      <c r="AS438" s="149"/>
      <c r="AT438" s="149"/>
      <c r="AU438" s="149"/>
      <c r="AV438" s="149"/>
      <c r="AW438" s="149"/>
      <c r="AX438" s="149"/>
      <c r="AY438" s="149"/>
      <c r="AZ438" s="149"/>
      <c r="BA438" s="149"/>
      <c r="BB438" s="149"/>
      <c r="BC438" s="149"/>
      <c r="BD438" s="149"/>
      <c r="BE438" s="149"/>
      <c r="BF438" s="149"/>
      <c r="BG438" s="149"/>
      <c r="BH438" s="149"/>
      <c r="BI438" s="149"/>
      <c r="BJ438" s="149"/>
      <c r="BK438" s="149"/>
      <c r="BL438" s="149"/>
      <c r="BM438" s="149"/>
      <c r="BN438" s="149"/>
      <c r="BO438" s="149"/>
      <c r="BP438" s="149"/>
      <c r="BQ438" s="149"/>
      <c r="BR438" s="149"/>
      <c r="BS438" s="149"/>
      <c r="BT438" s="149"/>
      <c r="BU438" s="149"/>
      <c r="BV438" s="149"/>
      <c r="BW438" s="149"/>
      <c r="BX438" s="149"/>
      <c r="BY438" s="149"/>
      <c r="BZ438" s="149"/>
    </row>
    <row r="439" spans="7:78" ht="14.1" hidden="1" customHeight="1" x14ac:dyDescent="0.25">
      <c r="G439" s="106"/>
      <c r="H439" s="218"/>
      <c r="J439" s="211"/>
      <c r="K439" s="7" t="s">
        <v>135</v>
      </c>
      <c r="L439" s="150">
        <v>93.307089937741338</v>
      </c>
      <c r="M439" s="150">
        <v>88.151531795106223</v>
      </c>
      <c r="N439" s="150">
        <v>84.493605079687683</v>
      </c>
      <c r="O439" s="150">
        <v>81.65629669001585</v>
      </c>
      <c r="P439" s="150">
        <v>79.338046937052567</v>
      </c>
      <c r="Q439" s="150">
        <v>77.377994699057894</v>
      </c>
      <c r="R439" s="150">
        <v>75.680120221634027</v>
      </c>
      <c r="S439" s="150">
        <v>74.182488794417452</v>
      </c>
      <c r="T439" s="150">
        <v>72.84281183196218</v>
      </c>
      <c r="U439" s="150">
        <v>71.630926607463124</v>
      </c>
      <c r="V439" s="150">
        <v>70.524562078998912</v>
      </c>
      <c r="W439" s="150">
        <v>69.506805371818132</v>
      </c>
      <c r="X439" s="150">
        <v>68.564509841004238</v>
      </c>
      <c r="Y439" s="150">
        <v>67.687253689327093</v>
      </c>
      <c r="Z439" s="150">
        <v>66.866635363580372</v>
      </c>
      <c r="AA439" s="150">
        <v>66.095782936578161</v>
      </c>
      <c r="AB439" s="150">
        <v>65.369003936363796</v>
      </c>
      <c r="AC439" s="150">
        <v>64.681529977950433</v>
      </c>
      <c r="AD439" s="150">
        <v>64.029326973908553</v>
      </c>
      <c r="AE439" s="150">
        <v>63.40895169836913</v>
      </c>
      <c r="AF439" s="150">
        <v>62.817441749409461</v>
      </c>
      <c r="AG439" s="150">
        <v>62.252229991618933</v>
      </c>
      <c r="AH439" s="150">
        <v>61.711077220945256</v>
      </c>
      <c r="AI439" s="150">
        <v>61.19201858423672</v>
      </c>
      <c r="AJ439" s="150">
        <v>60.693320513764483</v>
      </c>
      <c r="AK439" s="150">
        <v>60.213445793728688</v>
      </c>
      <c r="AL439" s="150">
        <v>59.751024982950582</v>
      </c>
      <c r="AM439" s="150">
        <v>59.304832854525714</v>
      </c>
      <c r="AN439" s="150">
        <v>58.873768831273431</v>
      </c>
      <c r="AO439" s="150">
        <v>58.456840630374984</v>
      </c>
      <c r="AP439" s="150">
        <v>58.053150505526709</v>
      </c>
      <c r="AQ439" s="150">
        <v>57.66188360677436</v>
      </c>
      <c r="AR439" s="149"/>
      <c r="AS439" s="149"/>
      <c r="AT439" s="149"/>
      <c r="AU439" s="149"/>
      <c r="AV439" s="149"/>
      <c r="AW439" s="149"/>
      <c r="AX439" s="149"/>
      <c r="AY439" s="149"/>
      <c r="AZ439" s="149"/>
      <c r="BA439" s="149"/>
      <c r="BB439" s="149"/>
      <c r="BC439" s="149"/>
      <c r="BD439" s="149"/>
      <c r="BE439" s="149"/>
      <c r="BF439" s="149"/>
      <c r="BG439" s="149"/>
      <c r="BH439" s="149"/>
      <c r="BI439" s="149"/>
      <c r="BJ439" s="149"/>
      <c r="BK439" s="149"/>
      <c r="BL439" s="149"/>
      <c r="BM439" s="149"/>
      <c r="BN439" s="149"/>
      <c r="BO439" s="149"/>
      <c r="BP439" s="149"/>
      <c r="BQ439" s="149"/>
      <c r="BR439" s="149"/>
      <c r="BS439" s="149"/>
      <c r="BT439" s="149"/>
      <c r="BU439" s="149"/>
      <c r="BV439" s="149"/>
      <c r="BW439" s="149"/>
      <c r="BX439" s="149"/>
      <c r="BY439" s="149"/>
      <c r="BZ439" s="149"/>
    </row>
    <row r="440" spans="7:78" ht="14.1" hidden="1" customHeight="1" thickBot="1" x14ac:dyDescent="0.3">
      <c r="G440" s="106"/>
      <c r="H440" s="218"/>
      <c r="J440" s="211"/>
      <c r="K440" s="121" t="s">
        <v>136</v>
      </c>
      <c r="L440" s="151">
        <v>98.345390031510718</v>
      </c>
      <c r="M440" s="151">
        <v>95.099636175016528</v>
      </c>
      <c r="N440" s="151">
        <v>92.79673716488638</v>
      </c>
      <c r="O440" s="151">
        <v>91.010469918342707</v>
      </c>
      <c r="P440" s="151">
        <v>89.550983308392205</v>
      </c>
      <c r="Q440" s="151">
        <v>88.317004962228182</v>
      </c>
      <c r="R440" s="151">
        <v>87.248084298262043</v>
      </c>
      <c r="S440" s="151">
        <v>86.305229451898015</v>
      </c>
      <c r="T440" s="151">
        <v>85.46181705171837</v>
      </c>
      <c r="U440" s="151">
        <v>84.698857730492335</v>
      </c>
      <c r="V440" s="151">
        <v>84.002330441767867</v>
      </c>
      <c r="W440" s="151">
        <v>83.361587448300938</v>
      </c>
      <c r="X440" s="151">
        <v>82.768352095603859</v>
      </c>
      <c r="Y440" s="151">
        <v>82.216063195224194</v>
      </c>
      <c r="Z440" s="151">
        <v>81.699431431637706</v>
      </c>
      <c r="AA440" s="151">
        <v>81.214130486810902</v>
      </c>
      <c r="AB440" s="151">
        <v>80.756576585273677</v>
      </c>
      <c r="AC440" s="151">
        <v>80.323767723453926</v>
      </c>
      <c r="AD440" s="151">
        <v>79.913164185094033</v>
      </c>
      <c r="AE440" s="151">
        <v>79.522598239109669</v>
      </c>
      <c r="AF440" s="151">
        <v>79.150204863868012</v>
      </c>
      <c r="AG440" s="151">
        <v>78.794367883306521</v>
      </c>
      <c r="AH440" s="151">
        <v>78.45367757514353</v>
      </c>
      <c r="AI440" s="151">
        <v>78.12689693855036</v>
      </c>
      <c r="AJ440" s="151">
        <v>77.8129345816766</v>
      </c>
      <c r="AK440" s="151">
        <v>77.510822728779502</v>
      </c>
      <c r="AL440" s="151">
        <v>77.219699228979522</v>
      </c>
      <c r="AM440" s="151">
        <v>76.938792723513913</v>
      </c>
      <c r="AN440" s="151">
        <v>76.667410328599857</v>
      </c>
      <c r="AO440" s="151">
        <v>76.404927338687216</v>
      </c>
      <c r="AP440" s="151">
        <v>76.150778565013368</v>
      </c>
      <c r="AQ440" s="151">
        <v>75.904451007373822</v>
      </c>
      <c r="AR440" s="149"/>
      <c r="AS440" s="149"/>
      <c r="AT440" s="149"/>
      <c r="AU440" s="149"/>
      <c r="AV440" s="149"/>
      <c r="AW440" s="149"/>
      <c r="AX440" s="149"/>
      <c r="AY440" s="149"/>
      <c r="AZ440" s="149"/>
      <c r="BA440" s="149"/>
      <c r="BB440" s="149"/>
      <c r="BC440" s="149"/>
      <c r="BD440" s="149"/>
      <c r="BE440" s="149"/>
      <c r="BF440" s="149"/>
      <c r="BG440" s="149"/>
      <c r="BH440" s="149"/>
      <c r="BI440" s="149"/>
      <c r="BJ440" s="149"/>
      <c r="BK440" s="149"/>
      <c r="BL440" s="149"/>
      <c r="BM440" s="149"/>
      <c r="BN440" s="149"/>
      <c r="BO440" s="149"/>
      <c r="BP440" s="149"/>
      <c r="BQ440" s="149"/>
      <c r="BR440" s="149"/>
      <c r="BS440" s="149"/>
      <c r="BT440" s="149"/>
      <c r="BU440" s="149"/>
      <c r="BV440" s="149"/>
      <c r="BW440" s="149"/>
      <c r="BX440" s="149"/>
      <c r="BY440" s="149"/>
      <c r="BZ440" s="149"/>
    </row>
    <row r="441" spans="7:78" ht="14.1" hidden="1" customHeight="1" thickTop="1" x14ac:dyDescent="0.25">
      <c r="G441" s="106"/>
      <c r="H441" s="218"/>
      <c r="J441" s="129"/>
      <c r="K441" s="7"/>
      <c r="L441" s="153"/>
      <c r="M441" s="153"/>
      <c r="N441" s="153"/>
      <c r="O441" s="153"/>
      <c r="P441" s="153"/>
      <c r="Q441" s="153"/>
      <c r="R441" s="153"/>
      <c r="S441" s="153"/>
      <c r="T441" s="153"/>
      <c r="U441" s="153"/>
      <c r="V441" s="153"/>
      <c r="W441" s="153"/>
      <c r="X441" s="153"/>
      <c r="Y441" s="153"/>
      <c r="Z441" s="153"/>
      <c r="AA441" s="153"/>
      <c r="AB441" s="153"/>
      <c r="AC441" s="153"/>
      <c r="AD441" s="153"/>
      <c r="AE441" s="153"/>
      <c r="AF441" s="153"/>
      <c r="AG441" s="153"/>
      <c r="AH441" s="153"/>
      <c r="AI441" s="153"/>
      <c r="AJ441" s="153"/>
      <c r="AK441" s="153"/>
      <c r="AL441" s="153"/>
      <c r="AM441" s="153"/>
      <c r="AN441" s="153"/>
      <c r="AO441" s="153"/>
      <c r="AP441" s="153"/>
      <c r="AQ441" s="153"/>
    </row>
    <row r="442" spans="7:78" ht="14.1" hidden="1" customHeight="1" x14ac:dyDescent="0.25">
      <c r="G442" s="106"/>
      <c r="H442" s="218"/>
      <c r="L442" s="107">
        <v>2019</v>
      </c>
      <c r="M442" s="107">
        <v>2020</v>
      </c>
      <c r="N442" s="107">
        <v>2021</v>
      </c>
      <c r="O442" s="107">
        <v>2022</v>
      </c>
      <c r="P442" s="107">
        <v>2023</v>
      </c>
      <c r="Q442" s="107">
        <v>2024</v>
      </c>
      <c r="R442" s="107">
        <v>2025</v>
      </c>
      <c r="S442" s="107">
        <v>2026</v>
      </c>
      <c r="T442" s="107">
        <v>2027</v>
      </c>
      <c r="U442" s="107">
        <v>2028</v>
      </c>
      <c r="V442" s="107">
        <v>2029</v>
      </c>
      <c r="W442" s="107">
        <v>2030</v>
      </c>
      <c r="X442" s="107">
        <v>2031</v>
      </c>
      <c r="Y442" s="107">
        <v>2032</v>
      </c>
      <c r="Z442" s="107">
        <v>2033</v>
      </c>
      <c r="AA442" s="107">
        <v>2034</v>
      </c>
      <c r="AB442" s="107">
        <v>2035</v>
      </c>
      <c r="AC442" s="107">
        <v>2036</v>
      </c>
      <c r="AD442" s="107">
        <v>2037</v>
      </c>
      <c r="AE442" s="107">
        <v>2038</v>
      </c>
      <c r="AF442" s="107">
        <v>2039</v>
      </c>
      <c r="AG442" s="107">
        <v>2040</v>
      </c>
      <c r="AH442" s="107">
        <v>2041</v>
      </c>
      <c r="AI442" s="107">
        <v>2042</v>
      </c>
      <c r="AJ442" s="107">
        <v>2043</v>
      </c>
      <c r="AK442" s="107">
        <v>2044</v>
      </c>
      <c r="AL442" s="107">
        <v>2045</v>
      </c>
      <c r="AM442" s="107">
        <v>2046</v>
      </c>
      <c r="AN442" s="107">
        <v>2047</v>
      </c>
      <c r="AO442" s="107">
        <v>2048</v>
      </c>
      <c r="AP442" s="107">
        <v>2049</v>
      </c>
      <c r="AQ442" s="107">
        <v>2050</v>
      </c>
    </row>
    <row r="443" spans="7:78" ht="14.1" hidden="1" customHeight="1" x14ac:dyDescent="0.25">
      <c r="G443" s="106"/>
      <c r="H443" s="218"/>
      <c r="J443" s="209" t="s">
        <v>142</v>
      </c>
      <c r="K443" s="119" t="s">
        <v>95</v>
      </c>
      <c r="L443" s="154">
        <v>0</v>
      </c>
      <c r="M443" s="154">
        <v>0</v>
      </c>
      <c r="N443" s="154">
        <v>0</v>
      </c>
      <c r="O443" s="154">
        <v>0</v>
      </c>
      <c r="P443" s="154">
        <v>0</v>
      </c>
      <c r="Q443" s="154">
        <v>0</v>
      </c>
      <c r="R443" s="154">
        <v>0</v>
      </c>
      <c r="S443" s="154">
        <v>0</v>
      </c>
      <c r="T443" s="154">
        <v>0</v>
      </c>
      <c r="U443" s="154">
        <v>0</v>
      </c>
      <c r="V443" s="154">
        <v>0</v>
      </c>
      <c r="W443" s="154">
        <v>0</v>
      </c>
      <c r="X443" s="154">
        <v>0</v>
      </c>
      <c r="Y443" s="154">
        <v>0</v>
      </c>
      <c r="Z443" s="154">
        <v>0</v>
      </c>
      <c r="AA443" s="154">
        <v>0</v>
      </c>
      <c r="AB443" s="154">
        <v>0</v>
      </c>
      <c r="AC443" s="154">
        <v>0</v>
      </c>
      <c r="AD443" s="154">
        <v>0</v>
      </c>
      <c r="AE443" s="154">
        <v>0</v>
      </c>
      <c r="AF443" s="154">
        <v>0</v>
      </c>
      <c r="AG443" s="154">
        <v>0</v>
      </c>
      <c r="AH443" s="154">
        <v>0</v>
      </c>
      <c r="AI443" s="154">
        <v>0</v>
      </c>
      <c r="AJ443" s="154">
        <v>0</v>
      </c>
      <c r="AK443" s="154">
        <v>0</v>
      </c>
      <c r="AL443" s="154">
        <v>0</v>
      </c>
      <c r="AM443" s="154">
        <v>0</v>
      </c>
      <c r="AN443" s="154">
        <v>0</v>
      </c>
      <c r="AO443" s="154">
        <v>0</v>
      </c>
      <c r="AP443" s="154">
        <v>0</v>
      </c>
      <c r="AQ443" s="154">
        <v>0</v>
      </c>
    </row>
    <row r="444" spans="7:78" ht="14.1" hidden="1" customHeight="1" x14ac:dyDescent="0.25">
      <c r="G444" s="106"/>
      <c r="H444" s="218"/>
      <c r="J444" s="210"/>
      <c r="K444" s="7" t="s">
        <v>96</v>
      </c>
      <c r="L444" s="155">
        <v>0</v>
      </c>
      <c r="M444" s="155">
        <v>0</v>
      </c>
      <c r="N444" s="155">
        <v>0</v>
      </c>
      <c r="O444" s="155">
        <v>0</v>
      </c>
      <c r="P444" s="155">
        <v>0</v>
      </c>
      <c r="Q444" s="155">
        <v>0</v>
      </c>
      <c r="R444" s="155">
        <v>0</v>
      </c>
      <c r="S444" s="155">
        <v>0</v>
      </c>
      <c r="T444" s="155">
        <v>0</v>
      </c>
      <c r="U444" s="155">
        <v>0</v>
      </c>
      <c r="V444" s="155">
        <v>0</v>
      </c>
      <c r="W444" s="155">
        <v>0</v>
      </c>
      <c r="X444" s="155">
        <v>0</v>
      </c>
      <c r="Y444" s="155">
        <v>0</v>
      </c>
      <c r="Z444" s="155">
        <v>0</v>
      </c>
      <c r="AA444" s="155">
        <v>0</v>
      </c>
      <c r="AB444" s="155">
        <v>0</v>
      </c>
      <c r="AC444" s="155">
        <v>0</v>
      </c>
      <c r="AD444" s="155">
        <v>0</v>
      </c>
      <c r="AE444" s="155">
        <v>0</v>
      </c>
      <c r="AF444" s="155">
        <v>0</v>
      </c>
      <c r="AG444" s="155">
        <v>0</v>
      </c>
      <c r="AH444" s="155">
        <v>0</v>
      </c>
      <c r="AI444" s="155">
        <v>0</v>
      </c>
      <c r="AJ444" s="155">
        <v>0</v>
      </c>
      <c r="AK444" s="155">
        <v>0</v>
      </c>
      <c r="AL444" s="155">
        <v>0</v>
      </c>
      <c r="AM444" s="155">
        <v>0</v>
      </c>
      <c r="AN444" s="155">
        <v>0</v>
      </c>
      <c r="AO444" s="155">
        <v>0</v>
      </c>
      <c r="AP444" s="155">
        <v>0</v>
      </c>
      <c r="AQ444" s="155">
        <v>0</v>
      </c>
    </row>
    <row r="445" spans="7:78" ht="14.1" hidden="1" customHeight="1" thickBot="1" x14ac:dyDescent="0.3">
      <c r="G445" s="106"/>
      <c r="H445" s="218"/>
      <c r="J445" s="210"/>
      <c r="K445" s="121" t="s">
        <v>97</v>
      </c>
      <c r="L445" s="156">
        <v>0</v>
      </c>
      <c r="M445" s="156">
        <v>0</v>
      </c>
      <c r="N445" s="156">
        <v>0</v>
      </c>
      <c r="O445" s="156">
        <v>0</v>
      </c>
      <c r="P445" s="156">
        <v>0</v>
      </c>
      <c r="Q445" s="156">
        <v>0</v>
      </c>
      <c r="R445" s="156">
        <v>0</v>
      </c>
      <c r="S445" s="156">
        <v>0</v>
      </c>
      <c r="T445" s="156">
        <v>0</v>
      </c>
      <c r="U445" s="156">
        <v>0</v>
      </c>
      <c r="V445" s="156">
        <v>0</v>
      </c>
      <c r="W445" s="156">
        <v>0</v>
      </c>
      <c r="X445" s="156">
        <v>0</v>
      </c>
      <c r="Y445" s="156">
        <v>0</v>
      </c>
      <c r="Z445" s="156">
        <v>0</v>
      </c>
      <c r="AA445" s="156">
        <v>0</v>
      </c>
      <c r="AB445" s="156">
        <v>0</v>
      </c>
      <c r="AC445" s="156">
        <v>0</v>
      </c>
      <c r="AD445" s="156">
        <v>0</v>
      </c>
      <c r="AE445" s="156">
        <v>0</v>
      </c>
      <c r="AF445" s="156">
        <v>0</v>
      </c>
      <c r="AG445" s="156">
        <v>0</v>
      </c>
      <c r="AH445" s="156">
        <v>0</v>
      </c>
      <c r="AI445" s="156">
        <v>0</v>
      </c>
      <c r="AJ445" s="156">
        <v>0</v>
      </c>
      <c r="AK445" s="156">
        <v>0</v>
      </c>
      <c r="AL445" s="156">
        <v>0</v>
      </c>
      <c r="AM445" s="156">
        <v>0</v>
      </c>
      <c r="AN445" s="156">
        <v>0</v>
      </c>
      <c r="AO445" s="156">
        <v>0</v>
      </c>
      <c r="AP445" s="156">
        <v>0</v>
      </c>
      <c r="AQ445" s="156">
        <v>0</v>
      </c>
    </row>
    <row r="446" spans="7:78" ht="14.1" hidden="1" customHeight="1" thickTop="1" x14ac:dyDescent="0.25">
      <c r="G446" s="106"/>
      <c r="H446" s="218"/>
      <c r="J446" s="210"/>
      <c r="K446" s="119" t="s">
        <v>98</v>
      </c>
      <c r="L446" s="157">
        <v>0</v>
      </c>
      <c r="M446" s="157">
        <v>0</v>
      </c>
      <c r="N446" s="157">
        <v>0</v>
      </c>
      <c r="O446" s="157">
        <v>0</v>
      </c>
      <c r="P446" s="157">
        <v>0</v>
      </c>
      <c r="Q446" s="157">
        <v>0</v>
      </c>
      <c r="R446" s="157">
        <v>0</v>
      </c>
      <c r="S446" s="157">
        <v>0</v>
      </c>
      <c r="T446" s="157">
        <v>0</v>
      </c>
      <c r="U446" s="157">
        <v>0</v>
      </c>
      <c r="V446" s="157">
        <v>0</v>
      </c>
      <c r="W446" s="157">
        <v>0</v>
      </c>
      <c r="X446" s="157">
        <v>0</v>
      </c>
      <c r="Y446" s="157">
        <v>0</v>
      </c>
      <c r="Z446" s="157">
        <v>0</v>
      </c>
      <c r="AA446" s="157">
        <v>0</v>
      </c>
      <c r="AB446" s="157">
        <v>0</v>
      </c>
      <c r="AC446" s="157">
        <v>0</v>
      </c>
      <c r="AD446" s="157">
        <v>0</v>
      </c>
      <c r="AE446" s="157">
        <v>0</v>
      </c>
      <c r="AF446" s="157">
        <v>0</v>
      </c>
      <c r="AG446" s="157">
        <v>0</v>
      </c>
      <c r="AH446" s="157">
        <v>0</v>
      </c>
      <c r="AI446" s="157">
        <v>0</v>
      </c>
      <c r="AJ446" s="157">
        <v>0</v>
      </c>
      <c r="AK446" s="157">
        <v>0</v>
      </c>
      <c r="AL446" s="157">
        <v>0</v>
      </c>
      <c r="AM446" s="157">
        <v>0</v>
      </c>
      <c r="AN446" s="157">
        <v>0</v>
      </c>
      <c r="AO446" s="157">
        <v>0</v>
      </c>
      <c r="AP446" s="157">
        <v>0</v>
      </c>
      <c r="AQ446" s="157">
        <v>0</v>
      </c>
    </row>
    <row r="447" spans="7:78" ht="14.1" hidden="1" customHeight="1" x14ac:dyDescent="0.25">
      <c r="G447" s="106"/>
      <c r="H447" s="218"/>
      <c r="J447" s="210"/>
      <c r="K447" s="7" t="s">
        <v>99</v>
      </c>
      <c r="L447" s="155">
        <v>0</v>
      </c>
      <c r="M447" s="155">
        <v>0</v>
      </c>
      <c r="N447" s="155">
        <v>0</v>
      </c>
      <c r="O447" s="155">
        <v>0</v>
      </c>
      <c r="P447" s="155">
        <v>0</v>
      </c>
      <c r="Q447" s="155">
        <v>0</v>
      </c>
      <c r="R447" s="155">
        <v>0</v>
      </c>
      <c r="S447" s="155">
        <v>0</v>
      </c>
      <c r="T447" s="155">
        <v>0</v>
      </c>
      <c r="U447" s="155">
        <v>0</v>
      </c>
      <c r="V447" s="155">
        <v>0</v>
      </c>
      <c r="W447" s="155">
        <v>0</v>
      </c>
      <c r="X447" s="155">
        <v>0</v>
      </c>
      <c r="Y447" s="155">
        <v>0</v>
      </c>
      <c r="Z447" s="155">
        <v>0</v>
      </c>
      <c r="AA447" s="155">
        <v>0</v>
      </c>
      <c r="AB447" s="155">
        <v>0</v>
      </c>
      <c r="AC447" s="155">
        <v>0</v>
      </c>
      <c r="AD447" s="155">
        <v>0</v>
      </c>
      <c r="AE447" s="155">
        <v>0</v>
      </c>
      <c r="AF447" s="155">
        <v>0</v>
      </c>
      <c r="AG447" s="155">
        <v>0</v>
      </c>
      <c r="AH447" s="155">
        <v>0</v>
      </c>
      <c r="AI447" s="155">
        <v>0</v>
      </c>
      <c r="AJ447" s="155">
        <v>0</v>
      </c>
      <c r="AK447" s="155">
        <v>0</v>
      </c>
      <c r="AL447" s="155">
        <v>0</v>
      </c>
      <c r="AM447" s="155">
        <v>0</v>
      </c>
      <c r="AN447" s="155">
        <v>0</v>
      </c>
      <c r="AO447" s="155">
        <v>0</v>
      </c>
      <c r="AP447" s="155">
        <v>0</v>
      </c>
      <c r="AQ447" s="155">
        <v>0</v>
      </c>
    </row>
    <row r="448" spans="7:78" ht="14.1" hidden="1" customHeight="1" thickBot="1" x14ac:dyDescent="0.3">
      <c r="G448" s="106"/>
      <c r="H448" s="218"/>
      <c r="J448" s="210"/>
      <c r="K448" s="121" t="s">
        <v>100</v>
      </c>
      <c r="L448" s="156">
        <v>0</v>
      </c>
      <c r="M448" s="156">
        <v>0</v>
      </c>
      <c r="N448" s="156">
        <v>0</v>
      </c>
      <c r="O448" s="156">
        <v>0</v>
      </c>
      <c r="P448" s="156">
        <v>0</v>
      </c>
      <c r="Q448" s="156">
        <v>0</v>
      </c>
      <c r="R448" s="156">
        <v>0</v>
      </c>
      <c r="S448" s="156">
        <v>0</v>
      </c>
      <c r="T448" s="156">
        <v>0</v>
      </c>
      <c r="U448" s="156">
        <v>0</v>
      </c>
      <c r="V448" s="156">
        <v>0</v>
      </c>
      <c r="W448" s="156">
        <v>0</v>
      </c>
      <c r="X448" s="156">
        <v>0</v>
      </c>
      <c r="Y448" s="156">
        <v>0</v>
      </c>
      <c r="Z448" s="156">
        <v>0</v>
      </c>
      <c r="AA448" s="156">
        <v>0</v>
      </c>
      <c r="AB448" s="156">
        <v>0</v>
      </c>
      <c r="AC448" s="156">
        <v>0</v>
      </c>
      <c r="AD448" s="156">
        <v>0</v>
      </c>
      <c r="AE448" s="156">
        <v>0</v>
      </c>
      <c r="AF448" s="156">
        <v>0</v>
      </c>
      <c r="AG448" s="156">
        <v>0</v>
      </c>
      <c r="AH448" s="156">
        <v>0</v>
      </c>
      <c r="AI448" s="156">
        <v>0</v>
      </c>
      <c r="AJ448" s="156">
        <v>0</v>
      </c>
      <c r="AK448" s="156">
        <v>0</v>
      </c>
      <c r="AL448" s="156">
        <v>0</v>
      </c>
      <c r="AM448" s="156">
        <v>0</v>
      </c>
      <c r="AN448" s="156">
        <v>0</v>
      </c>
      <c r="AO448" s="156">
        <v>0</v>
      </c>
      <c r="AP448" s="156">
        <v>0</v>
      </c>
      <c r="AQ448" s="156">
        <v>0</v>
      </c>
    </row>
    <row r="449" spans="7:43" ht="14.1" hidden="1" customHeight="1" thickTop="1" x14ac:dyDescent="0.25">
      <c r="G449" s="106"/>
      <c r="H449" s="218"/>
      <c r="J449" s="210"/>
      <c r="K449" s="119" t="s">
        <v>101</v>
      </c>
      <c r="L449" s="157">
        <v>0</v>
      </c>
      <c r="M449" s="157">
        <v>0</v>
      </c>
      <c r="N449" s="157">
        <v>0</v>
      </c>
      <c r="O449" s="157">
        <v>0</v>
      </c>
      <c r="P449" s="157">
        <v>0</v>
      </c>
      <c r="Q449" s="157">
        <v>0</v>
      </c>
      <c r="R449" s="157">
        <v>0</v>
      </c>
      <c r="S449" s="157">
        <v>0</v>
      </c>
      <c r="T449" s="157">
        <v>0</v>
      </c>
      <c r="U449" s="157">
        <v>0</v>
      </c>
      <c r="V449" s="157">
        <v>0</v>
      </c>
      <c r="W449" s="157">
        <v>0</v>
      </c>
      <c r="X449" s="157">
        <v>0</v>
      </c>
      <c r="Y449" s="157">
        <v>0</v>
      </c>
      <c r="Z449" s="157">
        <v>0</v>
      </c>
      <c r="AA449" s="157">
        <v>0</v>
      </c>
      <c r="AB449" s="157">
        <v>0</v>
      </c>
      <c r="AC449" s="157">
        <v>0</v>
      </c>
      <c r="AD449" s="157">
        <v>0</v>
      </c>
      <c r="AE449" s="157">
        <v>0</v>
      </c>
      <c r="AF449" s="157">
        <v>0</v>
      </c>
      <c r="AG449" s="157">
        <v>0</v>
      </c>
      <c r="AH449" s="157">
        <v>0</v>
      </c>
      <c r="AI449" s="157">
        <v>0</v>
      </c>
      <c r="AJ449" s="157">
        <v>0</v>
      </c>
      <c r="AK449" s="157">
        <v>0</v>
      </c>
      <c r="AL449" s="157">
        <v>0</v>
      </c>
      <c r="AM449" s="157">
        <v>0</v>
      </c>
      <c r="AN449" s="157">
        <v>0</v>
      </c>
      <c r="AO449" s="157">
        <v>0</v>
      </c>
      <c r="AP449" s="157">
        <v>0</v>
      </c>
      <c r="AQ449" s="157">
        <v>0</v>
      </c>
    </row>
    <row r="450" spans="7:43" ht="14.1" hidden="1" customHeight="1" x14ac:dyDescent="0.25">
      <c r="G450" s="106"/>
      <c r="H450" s="218"/>
      <c r="J450" s="210"/>
      <c r="K450" s="7" t="s">
        <v>102</v>
      </c>
      <c r="L450" s="155">
        <v>0</v>
      </c>
      <c r="M450" s="155">
        <v>0</v>
      </c>
      <c r="N450" s="155">
        <v>0</v>
      </c>
      <c r="O450" s="155">
        <v>0</v>
      </c>
      <c r="P450" s="155">
        <v>0</v>
      </c>
      <c r="Q450" s="155">
        <v>0</v>
      </c>
      <c r="R450" s="155">
        <v>0</v>
      </c>
      <c r="S450" s="155">
        <v>0</v>
      </c>
      <c r="T450" s="155">
        <v>0</v>
      </c>
      <c r="U450" s="155">
        <v>0</v>
      </c>
      <c r="V450" s="155">
        <v>0</v>
      </c>
      <c r="W450" s="155">
        <v>0</v>
      </c>
      <c r="X450" s="155">
        <v>0</v>
      </c>
      <c r="Y450" s="155">
        <v>0</v>
      </c>
      <c r="Z450" s="155">
        <v>0</v>
      </c>
      <c r="AA450" s="155">
        <v>0</v>
      </c>
      <c r="AB450" s="155">
        <v>0</v>
      </c>
      <c r="AC450" s="155">
        <v>0</v>
      </c>
      <c r="AD450" s="155">
        <v>0</v>
      </c>
      <c r="AE450" s="155">
        <v>0</v>
      </c>
      <c r="AF450" s="155">
        <v>0</v>
      </c>
      <c r="AG450" s="155">
        <v>0</v>
      </c>
      <c r="AH450" s="155">
        <v>0</v>
      </c>
      <c r="AI450" s="155">
        <v>0</v>
      </c>
      <c r="AJ450" s="155">
        <v>0</v>
      </c>
      <c r="AK450" s="155">
        <v>0</v>
      </c>
      <c r="AL450" s="155">
        <v>0</v>
      </c>
      <c r="AM450" s="155">
        <v>0</v>
      </c>
      <c r="AN450" s="155">
        <v>0</v>
      </c>
      <c r="AO450" s="155">
        <v>0</v>
      </c>
      <c r="AP450" s="155">
        <v>0</v>
      </c>
      <c r="AQ450" s="155">
        <v>0</v>
      </c>
    </row>
    <row r="451" spans="7:43" ht="14.1" hidden="1" customHeight="1" thickBot="1" x14ac:dyDescent="0.3">
      <c r="G451" s="106"/>
      <c r="H451" s="218"/>
      <c r="J451" s="210"/>
      <c r="K451" s="121" t="s">
        <v>103</v>
      </c>
      <c r="L451" s="156">
        <v>0</v>
      </c>
      <c r="M451" s="156">
        <v>0</v>
      </c>
      <c r="N451" s="156">
        <v>0</v>
      </c>
      <c r="O451" s="156">
        <v>0</v>
      </c>
      <c r="P451" s="156">
        <v>0</v>
      </c>
      <c r="Q451" s="156">
        <v>0</v>
      </c>
      <c r="R451" s="156">
        <v>0</v>
      </c>
      <c r="S451" s="156">
        <v>0</v>
      </c>
      <c r="T451" s="156">
        <v>0</v>
      </c>
      <c r="U451" s="156">
        <v>0</v>
      </c>
      <c r="V451" s="156">
        <v>0</v>
      </c>
      <c r="W451" s="156">
        <v>0</v>
      </c>
      <c r="X451" s="156">
        <v>0</v>
      </c>
      <c r="Y451" s="156">
        <v>0</v>
      </c>
      <c r="Z451" s="156">
        <v>0</v>
      </c>
      <c r="AA451" s="156">
        <v>0</v>
      </c>
      <c r="AB451" s="156">
        <v>0</v>
      </c>
      <c r="AC451" s="156">
        <v>0</v>
      </c>
      <c r="AD451" s="156">
        <v>0</v>
      </c>
      <c r="AE451" s="156">
        <v>0</v>
      </c>
      <c r="AF451" s="156">
        <v>0</v>
      </c>
      <c r="AG451" s="156">
        <v>0</v>
      </c>
      <c r="AH451" s="156">
        <v>0</v>
      </c>
      <c r="AI451" s="156">
        <v>0</v>
      </c>
      <c r="AJ451" s="156">
        <v>0</v>
      </c>
      <c r="AK451" s="156">
        <v>0</v>
      </c>
      <c r="AL451" s="156">
        <v>0</v>
      </c>
      <c r="AM451" s="156">
        <v>0</v>
      </c>
      <c r="AN451" s="156">
        <v>0</v>
      </c>
      <c r="AO451" s="156">
        <v>0</v>
      </c>
      <c r="AP451" s="156">
        <v>0</v>
      </c>
      <c r="AQ451" s="156">
        <v>0</v>
      </c>
    </row>
    <row r="452" spans="7:43" ht="14.1" hidden="1" customHeight="1" thickTop="1" x14ac:dyDescent="0.25">
      <c r="G452" s="106"/>
      <c r="H452" s="218"/>
      <c r="J452" s="210"/>
      <c r="K452" s="119" t="s">
        <v>104</v>
      </c>
      <c r="L452" s="157">
        <v>0</v>
      </c>
      <c r="M452" s="157">
        <v>0</v>
      </c>
      <c r="N452" s="157">
        <v>0</v>
      </c>
      <c r="O452" s="157">
        <v>0</v>
      </c>
      <c r="P452" s="157">
        <v>0</v>
      </c>
      <c r="Q452" s="157">
        <v>0</v>
      </c>
      <c r="R452" s="157">
        <v>0</v>
      </c>
      <c r="S452" s="157">
        <v>0</v>
      </c>
      <c r="T452" s="157">
        <v>0</v>
      </c>
      <c r="U452" s="157">
        <v>0</v>
      </c>
      <c r="V452" s="157">
        <v>0</v>
      </c>
      <c r="W452" s="157">
        <v>0</v>
      </c>
      <c r="X452" s="157">
        <v>0</v>
      </c>
      <c r="Y452" s="157">
        <v>0</v>
      </c>
      <c r="Z452" s="157">
        <v>0</v>
      </c>
      <c r="AA452" s="157">
        <v>0</v>
      </c>
      <c r="AB452" s="157">
        <v>0</v>
      </c>
      <c r="AC452" s="157">
        <v>0</v>
      </c>
      <c r="AD452" s="157">
        <v>0</v>
      </c>
      <c r="AE452" s="157">
        <v>0</v>
      </c>
      <c r="AF452" s="157">
        <v>0</v>
      </c>
      <c r="AG452" s="157">
        <v>0</v>
      </c>
      <c r="AH452" s="157">
        <v>0</v>
      </c>
      <c r="AI452" s="157">
        <v>0</v>
      </c>
      <c r="AJ452" s="157">
        <v>0</v>
      </c>
      <c r="AK452" s="157">
        <v>0</v>
      </c>
      <c r="AL452" s="157">
        <v>0</v>
      </c>
      <c r="AM452" s="157">
        <v>0</v>
      </c>
      <c r="AN452" s="157">
        <v>0</v>
      </c>
      <c r="AO452" s="157">
        <v>0</v>
      </c>
      <c r="AP452" s="157">
        <v>0</v>
      </c>
      <c r="AQ452" s="157">
        <v>0</v>
      </c>
    </row>
    <row r="453" spans="7:43" ht="14.1" hidden="1" customHeight="1" x14ac:dyDescent="0.25">
      <c r="G453" s="106"/>
      <c r="H453" s="218"/>
      <c r="J453" s="210"/>
      <c r="K453" s="7" t="s">
        <v>105</v>
      </c>
      <c r="L453" s="155">
        <v>0</v>
      </c>
      <c r="M453" s="155">
        <v>0</v>
      </c>
      <c r="N453" s="155">
        <v>0</v>
      </c>
      <c r="O453" s="155">
        <v>0</v>
      </c>
      <c r="P453" s="155">
        <v>0</v>
      </c>
      <c r="Q453" s="155">
        <v>0</v>
      </c>
      <c r="R453" s="155">
        <v>0</v>
      </c>
      <c r="S453" s="155">
        <v>0</v>
      </c>
      <c r="T453" s="155">
        <v>0</v>
      </c>
      <c r="U453" s="155">
        <v>0</v>
      </c>
      <c r="V453" s="155">
        <v>0</v>
      </c>
      <c r="W453" s="155">
        <v>0</v>
      </c>
      <c r="X453" s="155">
        <v>0</v>
      </c>
      <c r="Y453" s="155">
        <v>0</v>
      </c>
      <c r="Z453" s="155">
        <v>0</v>
      </c>
      <c r="AA453" s="155">
        <v>0</v>
      </c>
      <c r="AB453" s="155">
        <v>0</v>
      </c>
      <c r="AC453" s="155">
        <v>0</v>
      </c>
      <c r="AD453" s="155">
        <v>0</v>
      </c>
      <c r="AE453" s="155">
        <v>0</v>
      </c>
      <c r="AF453" s="155">
        <v>0</v>
      </c>
      <c r="AG453" s="155">
        <v>0</v>
      </c>
      <c r="AH453" s="155">
        <v>0</v>
      </c>
      <c r="AI453" s="155">
        <v>0</v>
      </c>
      <c r="AJ453" s="155">
        <v>0</v>
      </c>
      <c r="AK453" s="155">
        <v>0</v>
      </c>
      <c r="AL453" s="155">
        <v>0</v>
      </c>
      <c r="AM453" s="155">
        <v>0</v>
      </c>
      <c r="AN453" s="155">
        <v>0</v>
      </c>
      <c r="AO453" s="155">
        <v>0</v>
      </c>
      <c r="AP453" s="155">
        <v>0</v>
      </c>
      <c r="AQ453" s="155">
        <v>0</v>
      </c>
    </row>
    <row r="454" spans="7:43" ht="14.1" hidden="1" customHeight="1" thickBot="1" x14ac:dyDescent="0.3">
      <c r="G454" s="106"/>
      <c r="H454" s="218"/>
      <c r="J454" s="210"/>
      <c r="K454" s="121" t="s">
        <v>106</v>
      </c>
      <c r="L454" s="156">
        <v>0</v>
      </c>
      <c r="M454" s="156">
        <v>0</v>
      </c>
      <c r="N454" s="156">
        <v>0</v>
      </c>
      <c r="O454" s="156">
        <v>0</v>
      </c>
      <c r="P454" s="156">
        <v>0</v>
      </c>
      <c r="Q454" s="156">
        <v>0</v>
      </c>
      <c r="R454" s="156">
        <v>0</v>
      </c>
      <c r="S454" s="156">
        <v>0</v>
      </c>
      <c r="T454" s="156">
        <v>0</v>
      </c>
      <c r="U454" s="156">
        <v>0</v>
      </c>
      <c r="V454" s="156">
        <v>0</v>
      </c>
      <c r="W454" s="156">
        <v>0</v>
      </c>
      <c r="X454" s="156">
        <v>0</v>
      </c>
      <c r="Y454" s="156">
        <v>0</v>
      </c>
      <c r="Z454" s="156">
        <v>0</v>
      </c>
      <c r="AA454" s="156">
        <v>0</v>
      </c>
      <c r="AB454" s="156">
        <v>0</v>
      </c>
      <c r="AC454" s="156">
        <v>0</v>
      </c>
      <c r="AD454" s="156">
        <v>0</v>
      </c>
      <c r="AE454" s="156">
        <v>0</v>
      </c>
      <c r="AF454" s="156">
        <v>0</v>
      </c>
      <c r="AG454" s="156">
        <v>0</v>
      </c>
      <c r="AH454" s="156">
        <v>0</v>
      </c>
      <c r="AI454" s="156">
        <v>0</v>
      </c>
      <c r="AJ454" s="156">
        <v>0</v>
      </c>
      <c r="AK454" s="156">
        <v>0</v>
      </c>
      <c r="AL454" s="156">
        <v>0</v>
      </c>
      <c r="AM454" s="156">
        <v>0</v>
      </c>
      <c r="AN454" s="156">
        <v>0</v>
      </c>
      <c r="AO454" s="156">
        <v>0</v>
      </c>
      <c r="AP454" s="156">
        <v>0</v>
      </c>
      <c r="AQ454" s="156">
        <v>0</v>
      </c>
    </row>
    <row r="455" spans="7:43" ht="14.1" hidden="1" customHeight="1" thickTop="1" x14ac:dyDescent="0.25">
      <c r="G455" s="106"/>
      <c r="H455" s="218"/>
      <c r="J455" s="210"/>
      <c r="K455" s="119" t="s">
        <v>107</v>
      </c>
      <c r="L455" s="157">
        <v>0</v>
      </c>
      <c r="M455" s="157">
        <v>0</v>
      </c>
      <c r="N455" s="157">
        <v>0</v>
      </c>
      <c r="O455" s="157">
        <v>0</v>
      </c>
      <c r="P455" s="157">
        <v>0</v>
      </c>
      <c r="Q455" s="157">
        <v>0</v>
      </c>
      <c r="R455" s="157">
        <v>0</v>
      </c>
      <c r="S455" s="157">
        <v>0</v>
      </c>
      <c r="T455" s="157">
        <v>0</v>
      </c>
      <c r="U455" s="157">
        <v>0</v>
      </c>
      <c r="V455" s="157">
        <v>0</v>
      </c>
      <c r="W455" s="157">
        <v>0</v>
      </c>
      <c r="X455" s="157">
        <v>0</v>
      </c>
      <c r="Y455" s="157">
        <v>0</v>
      </c>
      <c r="Z455" s="157">
        <v>0</v>
      </c>
      <c r="AA455" s="157">
        <v>0</v>
      </c>
      <c r="AB455" s="157">
        <v>0</v>
      </c>
      <c r="AC455" s="157">
        <v>0</v>
      </c>
      <c r="AD455" s="157">
        <v>0</v>
      </c>
      <c r="AE455" s="157">
        <v>0</v>
      </c>
      <c r="AF455" s="157">
        <v>0</v>
      </c>
      <c r="AG455" s="157">
        <v>0</v>
      </c>
      <c r="AH455" s="157">
        <v>0</v>
      </c>
      <c r="AI455" s="157">
        <v>0</v>
      </c>
      <c r="AJ455" s="157">
        <v>0</v>
      </c>
      <c r="AK455" s="157">
        <v>0</v>
      </c>
      <c r="AL455" s="157">
        <v>0</v>
      </c>
      <c r="AM455" s="157">
        <v>0</v>
      </c>
      <c r="AN455" s="157">
        <v>0</v>
      </c>
      <c r="AO455" s="157">
        <v>0</v>
      </c>
      <c r="AP455" s="157">
        <v>0</v>
      </c>
      <c r="AQ455" s="157">
        <v>0</v>
      </c>
    </row>
    <row r="456" spans="7:43" ht="14.1" hidden="1" customHeight="1" x14ac:dyDescent="0.25">
      <c r="G456" s="106"/>
      <c r="H456" s="218"/>
      <c r="J456" s="210"/>
      <c r="K456" s="7" t="s">
        <v>108</v>
      </c>
      <c r="L456" s="155">
        <v>0</v>
      </c>
      <c r="M456" s="155">
        <v>0</v>
      </c>
      <c r="N456" s="155">
        <v>0</v>
      </c>
      <c r="O456" s="155">
        <v>0</v>
      </c>
      <c r="P456" s="155">
        <v>0</v>
      </c>
      <c r="Q456" s="155">
        <v>0</v>
      </c>
      <c r="R456" s="155">
        <v>0</v>
      </c>
      <c r="S456" s="155">
        <v>0</v>
      </c>
      <c r="T456" s="155">
        <v>0</v>
      </c>
      <c r="U456" s="155">
        <v>0</v>
      </c>
      <c r="V456" s="155">
        <v>0</v>
      </c>
      <c r="W456" s="155">
        <v>0</v>
      </c>
      <c r="X456" s="155">
        <v>0</v>
      </c>
      <c r="Y456" s="155">
        <v>0</v>
      </c>
      <c r="Z456" s="155">
        <v>0</v>
      </c>
      <c r="AA456" s="155">
        <v>0</v>
      </c>
      <c r="AB456" s="155">
        <v>0</v>
      </c>
      <c r="AC456" s="155">
        <v>0</v>
      </c>
      <c r="AD456" s="155">
        <v>0</v>
      </c>
      <c r="AE456" s="155">
        <v>0</v>
      </c>
      <c r="AF456" s="155">
        <v>0</v>
      </c>
      <c r="AG456" s="155">
        <v>0</v>
      </c>
      <c r="AH456" s="155">
        <v>0</v>
      </c>
      <c r="AI456" s="155">
        <v>0</v>
      </c>
      <c r="AJ456" s="155">
        <v>0</v>
      </c>
      <c r="AK456" s="155">
        <v>0</v>
      </c>
      <c r="AL456" s="155">
        <v>0</v>
      </c>
      <c r="AM456" s="155">
        <v>0</v>
      </c>
      <c r="AN456" s="155">
        <v>0</v>
      </c>
      <c r="AO456" s="155">
        <v>0</v>
      </c>
      <c r="AP456" s="155">
        <v>0</v>
      </c>
      <c r="AQ456" s="155">
        <v>0</v>
      </c>
    </row>
    <row r="457" spans="7:43" ht="14.1" hidden="1" customHeight="1" thickBot="1" x14ac:dyDescent="0.3">
      <c r="G457" s="106"/>
      <c r="H457" s="218"/>
      <c r="J457" s="210"/>
      <c r="K457" s="121" t="s">
        <v>109</v>
      </c>
      <c r="L457" s="156">
        <v>0</v>
      </c>
      <c r="M457" s="156">
        <v>0</v>
      </c>
      <c r="N457" s="156">
        <v>0</v>
      </c>
      <c r="O457" s="156">
        <v>0</v>
      </c>
      <c r="P457" s="156">
        <v>0</v>
      </c>
      <c r="Q457" s="156">
        <v>0</v>
      </c>
      <c r="R457" s="156">
        <v>0</v>
      </c>
      <c r="S457" s="156">
        <v>0</v>
      </c>
      <c r="T457" s="156">
        <v>0</v>
      </c>
      <c r="U457" s="156">
        <v>0</v>
      </c>
      <c r="V457" s="156">
        <v>0</v>
      </c>
      <c r="W457" s="156">
        <v>0</v>
      </c>
      <c r="X457" s="156">
        <v>0</v>
      </c>
      <c r="Y457" s="156">
        <v>0</v>
      </c>
      <c r="Z457" s="156">
        <v>0</v>
      </c>
      <c r="AA457" s="156">
        <v>0</v>
      </c>
      <c r="AB457" s="156">
        <v>0</v>
      </c>
      <c r="AC457" s="156">
        <v>0</v>
      </c>
      <c r="AD457" s="156">
        <v>0</v>
      </c>
      <c r="AE457" s="156">
        <v>0</v>
      </c>
      <c r="AF457" s="156">
        <v>0</v>
      </c>
      <c r="AG457" s="156">
        <v>0</v>
      </c>
      <c r="AH457" s="156">
        <v>0</v>
      </c>
      <c r="AI457" s="156">
        <v>0</v>
      </c>
      <c r="AJ457" s="156">
        <v>0</v>
      </c>
      <c r="AK457" s="156">
        <v>0</v>
      </c>
      <c r="AL457" s="156">
        <v>0</v>
      </c>
      <c r="AM457" s="156">
        <v>0</v>
      </c>
      <c r="AN457" s="156">
        <v>0</v>
      </c>
      <c r="AO457" s="156">
        <v>0</v>
      </c>
      <c r="AP457" s="156">
        <v>0</v>
      </c>
      <c r="AQ457" s="156">
        <v>0</v>
      </c>
    </row>
    <row r="458" spans="7:43" ht="14.1" hidden="1" customHeight="1" thickTop="1" x14ac:dyDescent="0.25">
      <c r="G458" s="106"/>
      <c r="H458" s="218"/>
      <c r="J458" s="210"/>
      <c r="K458" s="119" t="s">
        <v>110</v>
      </c>
      <c r="L458" s="157">
        <v>0</v>
      </c>
      <c r="M458" s="157">
        <v>0</v>
      </c>
      <c r="N458" s="157">
        <v>0</v>
      </c>
      <c r="O458" s="157">
        <v>0</v>
      </c>
      <c r="P458" s="157">
        <v>0</v>
      </c>
      <c r="Q458" s="157">
        <v>0</v>
      </c>
      <c r="R458" s="157">
        <v>0</v>
      </c>
      <c r="S458" s="157">
        <v>0</v>
      </c>
      <c r="T458" s="157">
        <v>0</v>
      </c>
      <c r="U458" s="157">
        <v>0</v>
      </c>
      <c r="V458" s="157">
        <v>0</v>
      </c>
      <c r="W458" s="157">
        <v>0</v>
      </c>
      <c r="X458" s="157">
        <v>0</v>
      </c>
      <c r="Y458" s="157">
        <v>0</v>
      </c>
      <c r="Z458" s="157">
        <v>0</v>
      </c>
      <c r="AA458" s="157">
        <v>0</v>
      </c>
      <c r="AB458" s="157">
        <v>0</v>
      </c>
      <c r="AC458" s="157">
        <v>0</v>
      </c>
      <c r="AD458" s="157">
        <v>0</v>
      </c>
      <c r="AE458" s="157">
        <v>0</v>
      </c>
      <c r="AF458" s="157">
        <v>0</v>
      </c>
      <c r="AG458" s="157">
        <v>0</v>
      </c>
      <c r="AH458" s="157">
        <v>0</v>
      </c>
      <c r="AI458" s="157">
        <v>0</v>
      </c>
      <c r="AJ458" s="157">
        <v>0</v>
      </c>
      <c r="AK458" s="157">
        <v>0</v>
      </c>
      <c r="AL458" s="157">
        <v>0</v>
      </c>
      <c r="AM458" s="157">
        <v>0</v>
      </c>
      <c r="AN458" s="157">
        <v>0</v>
      </c>
      <c r="AO458" s="157">
        <v>0</v>
      </c>
      <c r="AP458" s="157">
        <v>0</v>
      </c>
      <c r="AQ458" s="157">
        <v>0</v>
      </c>
    </row>
    <row r="459" spans="7:43" ht="14.1" hidden="1" customHeight="1" x14ac:dyDescent="0.25">
      <c r="G459" s="106"/>
      <c r="H459" s="218"/>
      <c r="J459" s="210"/>
      <c r="K459" s="7" t="s">
        <v>111</v>
      </c>
      <c r="L459" s="155">
        <v>0</v>
      </c>
      <c r="M459" s="155">
        <v>0</v>
      </c>
      <c r="N459" s="155">
        <v>0</v>
      </c>
      <c r="O459" s="155">
        <v>0</v>
      </c>
      <c r="P459" s="155">
        <v>0</v>
      </c>
      <c r="Q459" s="155">
        <v>0</v>
      </c>
      <c r="R459" s="155">
        <v>0</v>
      </c>
      <c r="S459" s="155">
        <v>0</v>
      </c>
      <c r="T459" s="155">
        <v>0</v>
      </c>
      <c r="U459" s="155">
        <v>0</v>
      </c>
      <c r="V459" s="155">
        <v>0</v>
      </c>
      <c r="W459" s="155">
        <v>0</v>
      </c>
      <c r="X459" s="155">
        <v>0</v>
      </c>
      <c r="Y459" s="155">
        <v>0</v>
      </c>
      <c r="Z459" s="155">
        <v>0</v>
      </c>
      <c r="AA459" s="155">
        <v>0</v>
      </c>
      <c r="AB459" s="155">
        <v>0</v>
      </c>
      <c r="AC459" s="155">
        <v>0</v>
      </c>
      <c r="AD459" s="155">
        <v>0</v>
      </c>
      <c r="AE459" s="155">
        <v>0</v>
      </c>
      <c r="AF459" s="155">
        <v>0</v>
      </c>
      <c r="AG459" s="155">
        <v>0</v>
      </c>
      <c r="AH459" s="155">
        <v>0</v>
      </c>
      <c r="AI459" s="155">
        <v>0</v>
      </c>
      <c r="AJ459" s="155">
        <v>0</v>
      </c>
      <c r="AK459" s="155">
        <v>0</v>
      </c>
      <c r="AL459" s="155">
        <v>0</v>
      </c>
      <c r="AM459" s="155">
        <v>0</v>
      </c>
      <c r="AN459" s="155">
        <v>0</v>
      </c>
      <c r="AO459" s="155">
        <v>0</v>
      </c>
      <c r="AP459" s="155">
        <v>0</v>
      </c>
      <c r="AQ459" s="155">
        <v>0</v>
      </c>
    </row>
    <row r="460" spans="7:43" ht="14.1" hidden="1" customHeight="1" thickBot="1" x14ac:dyDescent="0.3">
      <c r="G460" s="106"/>
      <c r="H460" s="218"/>
      <c r="J460" s="210"/>
      <c r="K460" s="121" t="s">
        <v>112</v>
      </c>
      <c r="L460" s="156">
        <v>0</v>
      </c>
      <c r="M460" s="156">
        <v>0</v>
      </c>
      <c r="N460" s="156">
        <v>0</v>
      </c>
      <c r="O460" s="156">
        <v>0</v>
      </c>
      <c r="P460" s="156">
        <v>0</v>
      </c>
      <c r="Q460" s="156">
        <v>0</v>
      </c>
      <c r="R460" s="156">
        <v>0</v>
      </c>
      <c r="S460" s="156">
        <v>0</v>
      </c>
      <c r="T460" s="156">
        <v>0</v>
      </c>
      <c r="U460" s="156">
        <v>0</v>
      </c>
      <c r="V460" s="156">
        <v>0</v>
      </c>
      <c r="W460" s="156">
        <v>0</v>
      </c>
      <c r="X460" s="156">
        <v>0</v>
      </c>
      <c r="Y460" s="156">
        <v>0</v>
      </c>
      <c r="Z460" s="156">
        <v>0</v>
      </c>
      <c r="AA460" s="156">
        <v>0</v>
      </c>
      <c r="AB460" s="156">
        <v>0</v>
      </c>
      <c r="AC460" s="156">
        <v>0</v>
      </c>
      <c r="AD460" s="156">
        <v>0</v>
      </c>
      <c r="AE460" s="156">
        <v>0</v>
      </c>
      <c r="AF460" s="156">
        <v>0</v>
      </c>
      <c r="AG460" s="156">
        <v>0</v>
      </c>
      <c r="AH460" s="156">
        <v>0</v>
      </c>
      <c r="AI460" s="156">
        <v>0</v>
      </c>
      <c r="AJ460" s="156">
        <v>0</v>
      </c>
      <c r="AK460" s="156">
        <v>0</v>
      </c>
      <c r="AL460" s="156">
        <v>0</v>
      </c>
      <c r="AM460" s="156">
        <v>0</v>
      </c>
      <c r="AN460" s="156">
        <v>0</v>
      </c>
      <c r="AO460" s="156">
        <v>0</v>
      </c>
      <c r="AP460" s="156">
        <v>0</v>
      </c>
      <c r="AQ460" s="156">
        <v>0</v>
      </c>
    </row>
    <row r="461" spans="7:43" ht="14.1" hidden="1" customHeight="1" thickTop="1" x14ac:dyDescent="0.25">
      <c r="G461" s="106"/>
      <c r="H461" s="218"/>
      <c r="J461" s="210"/>
      <c r="K461" s="119" t="s">
        <v>113</v>
      </c>
      <c r="L461" s="157">
        <v>0</v>
      </c>
      <c r="M461" s="157">
        <v>0</v>
      </c>
      <c r="N461" s="157">
        <v>0</v>
      </c>
      <c r="O461" s="157">
        <v>0</v>
      </c>
      <c r="P461" s="157">
        <v>0</v>
      </c>
      <c r="Q461" s="157">
        <v>0</v>
      </c>
      <c r="R461" s="157">
        <v>0</v>
      </c>
      <c r="S461" s="157">
        <v>0</v>
      </c>
      <c r="T461" s="157">
        <v>0</v>
      </c>
      <c r="U461" s="157">
        <v>0</v>
      </c>
      <c r="V461" s="157">
        <v>0</v>
      </c>
      <c r="W461" s="157">
        <v>0</v>
      </c>
      <c r="X461" s="157">
        <v>0</v>
      </c>
      <c r="Y461" s="157">
        <v>0</v>
      </c>
      <c r="Z461" s="157">
        <v>0</v>
      </c>
      <c r="AA461" s="157">
        <v>0</v>
      </c>
      <c r="AB461" s="157">
        <v>0</v>
      </c>
      <c r="AC461" s="157">
        <v>0</v>
      </c>
      <c r="AD461" s="157">
        <v>0</v>
      </c>
      <c r="AE461" s="157">
        <v>0</v>
      </c>
      <c r="AF461" s="157">
        <v>0</v>
      </c>
      <c r="AG461" s="157">
        <v>0</v>
      </c>
      <c r="AH461" s="157">
        <v>0</v>
      </c>
      <c r="AI461" s="157">
        <v>0</v>
      </c>
      <c r="AJ461" s="157">
        <v>0</v>
      </c>
      <c r="AK461" s="157">
        <v>0</v>
      </c>
      <c r="AL461" s="157">
        <v>0</v>
      </c>
      <c r="AM461" s="157">
        <v>0</v>
      </c>
      <c r="AN461" s="157">
        <v>0</v>
      </c>
      <c r="AO461" s="157">
        <v>0</v>
      </c>
      <c r="AP461" s="157">
        <v>0</v>
      </c>
      <c r="AQ461" s="157">
        <v>0</v>
      </c>
    </row>
    <row r="462" spans="7:43" ht="14.1" hidden="1" customHeight="1" x14ac:dyDescent="0.25">
      <c r="G462" s="106"/>
      <c r="H462" s="218"/>
      <c r="J462" s="210"/>
      <c r="K462" s="7" t="s">
        <v>114</v>
      </c>
      <c r="L462" s="155">
        <v>0</v>
      </c>
      <c r="M462" s="155">
        <v>0</v>
      </c>
      <c r="N462" s="155">
        <v>0</v>
      </c>
      <c r="O462" s="155">
        <v>0</v>
      </c>
      <c r="P462" s="155">
        <v>0</v>
      </c>
      <c r="Q462" s="155">
        <v>0</v>
      </c>
      <c r="R462" s="155">
        <v>0</v>
      </c>
      <c r="S462" s="155">
        <v>0</v>
      </c>
      <c r="T462" s="155">
        <v>0</v>
      </c>
      <c r="U462" s="155">
        <v>0</v>
      </c>
      <c r="V462" s="155">
        <v>0</v>
      </c>
      <c r="W462" s="155">
        <v>0</v>
      </c>
      <c r="X462" s="155">
        <v>0</v>
      </c>
      <c r="Y462" s="155">
        <v>0</v>
      </c>
      <c r="Z462" s="155">
        <v>0</v>
      </c>
      <c r="AA462" s="155">
        <v>0</v>
      </c>
      <c r="AB462" s="155">
        <v>0</v>
      </c>
      <c r="AC462" s="155">
        <v>0</v>
      </c>
      <c r="AD462" s="155">
        <v>0</v>
      </c>
      <c r="AE462" s="155">
        <v>0</v>
      </c>
      <c r="AF462" s="155">
        <v>0</v>
      </c>
      <c r="AG462" s="155">
        <v>0</v>
      </c>
      <c r="AH462" s="155">
        <v>0</v>
      </c>
      <c r="AI462" s="155">
        <v>0</v>
      </c>
      <c r="AJ462" s="155">
        <v>0</v>
      </c>
      <c r="AK462" s="155">
        <v>0</v>
      </c>
      <c r="AL462" s="155">
        <v>0</v>
      </c>
      <c r="AM462" s="155">
        <v>0</v>
      </c>
      <c r="AN462" s="155">
        <v>0</v>
      </c>
      <c r="AO462" s="155">
        <v>0</v>
      </c>
      <c r="AP462" s="155">
        <v>0</v>
      </c>
      <c r="AQ462" s="155">
        <v>0</v>
      </c>
    </row>
    <row r="463" spans="7:43" ht="14.1" hidden="1" customHeight="1" thickBot="1" x14ac:dyDescent="0.3">
      <c r="G463" s="106"/>
      <c r="H463" s="218"/>
      <c r="J463" s="210"/>
      <c r="K463" s="121" t="s">
        <v>115</v>
      </c>
      <c r="L463" s="156">
        <v>0</v>
      </c>
      <c r="M463" s="156">
        <v>0</v>
      </c>
      <c r="N463" s="156">
        <v>0</v>
      </c>
      <c r="O463" s="156">
        <v>0</v>
      </c>
      <c r="P463" s="156">
        <v>0</v>
      </c>
      <c r="Q463" s="156">
        <v>0</v>
      </c>
      <c r="R463" s="156">
        <v>0</v>
      </c>
      <c r="S463" s="156">
        <v>0</v>
      </c>
      <c r="T463" s="156">
        <v>0</v>
      </c>
      <c r="U463" s="156">
        <v>0</v>
      </c>
      <c r="V463" s="156">
        <v>0</v>
      </c>
      <c r="W463" s="156">
        <v>0</v>
      </c>
      <c r="X463" s="156">
        <v>0</v>
      </c>
      <c r="Y463" s="156">
        <v>0</v>
      </c>
      <c r="Z463" s="156">
        <v>0</v>
      </c>
      <c r="AA463" s="156">
        <v>0</v>
      </c>
      <c r="AB463" s="156">
        <v>0</v>
      </c>
      <c r="AC463" s="156">
        <v>0</v>
      </c>
      <c r="AD463" s="156">
        <v>0</v>
      </c>
      <c r="AE463" s="156">
        <v>0</v>
      </c>
      <c r="AF463" s="156">
        <v>0</v>
      </c>
      <c r="AG463" s="156">
        <v>0</v>
      </c>
      <c r="AH463" s="156">
        <v>0</v>
      </c>
      <c r="AI463" s="156">
        <v>0</v>
      </c>
      <c r="AJ463" s="156">
        <v>0</v>
      </c>
      <c r="AK463" s="156">
        <v>0</v>
      </c>
      <c r="AL463" s="156">
        <v>0</v>
      </c>
      <c r="AM463" s="156">
        <v>0</v>
      </c>
      <c r="AN463" s="156">
        <v>0</v>
      </c>
      <c r="AO463" s="156">
        <v>0</v>
      </c>
      <c r="AP463" s="156">
        <v>0</v>
      </c>
      <c r="AQ463" s="156">
        <v>0</v>
      </c>
    </row>
    <row r="464" spans="7:43" ht="14.1" customHeight="1" thickTop="1" x14ac:dyDescent="0.25">
      <c r="G464" s="106"/>
      <c r="H464" s="218"/>
      <c r="J464" s="210"/>
      <c r="K464" s="119" t="s">
        <v>116</v>
      </c>
      <c r="L464" s="157">
        <v>0</v>
      </c>
      <c r="M464" s="157">
        <v>0</v>
      </c>
      <c r="N464" s="157">
        <v>0</v>
      </c>
      <c r="O464" s="157">
        <v>0</v>
      </c>
      <c r="P464" s="157">
        <v>0</v>
      </c>
      <c r="Q464" s="157">
        <v>0</v>
      </c>
      <c r="R464" s="157">
        <v>0</v>
      </c>
      <c r="S464" s="157">
        <v>0</v>
      </c>
      <c r="T464" s="157">
        <v>0</v>
      </c>
      <c r="U464" s="157">
        <v>0</v>
      </c>
      <c r="V464" s="157">
        <v>0</v>
      </c>
      <c r="W464" s="157">
        <v>0</v>
      </c>
      <c r="X464" s="157">
        <v>0</v>
      </c>
      <c r="Y464" s="157">
        <v>0</v>
      </c>
      <c r="Z464" s="157">
        <v>0</v>
      </c>
      <c r="AA464" s="157">
        <v>0</v>
      </c>
      <c r="AB464" s="157">
        <v>0</v>
      </c>
      <c r="AC464" s="157">
        <v>0</v>
      </c>
      <c r="AD464" s="157">
        <v>0</v>
      </c>
      <c r="AE464" s="157">
        <v>0</v>
      </c>
      <c r="AF464" s="157">
        <v>0</v>
      </c>
      <c r="AG464" s="157">
        <v>0</v>
      </c>
      <c r="AH464" s="157">
        <v>0</v>
      </c>
      <c r="AI464" s="157">
        <v>0</v>
      </c>
      <c r="AJ464" s="157">
        <v>0</v>
      </c>
      <c r="AK464" s="157">
        <v>0</v>
      </c>
      <c r="AL464" s="157">
        <v>0</v>
      </c>
      <c r="AM464" s="157">
        <v>0</v>
      </c>
      <c r="AN464" s="157">
        <v>0</v>
      </c>
      <c r="AO464" s="157">
        <v>0</v>
      </c>
      <c r="AP464" s="157">
        <v>0</v>
      </c>
      <c r="AQ464" s="157">
        <v>0</v>
      </c>
    </row>
    <row r="465" spans="7:43" ht="14.1" customHeight="1" x14ac:dyDescent="0.25">
      <c r="G465" s="106"/>
      <c r="H465" s="218"/>
      <c r="J465" s="210"/>
      <c r="K465" s="7" t="s">
        <v>117</v>
      </c>
      <c r="L465" s="155">
        <v>0</v>
      </c>
      <c r="M465" s="155">
        <v>0</v>
      </c>
      <c r="N465" s="155">
        <v>0</v>
      </c>
      <c r="O465" s="155">
        <v>0</v>
      </c>
      <c r="P465" s="155">
        <v>0</v>
      </c>
      <c r="Q465" s="155">
        <v>0</v>
      </c>
      <c r="R465" s="155">
        <v>0</v>
      </c>
      <c r="S465" s="155">
        <v>0</v>
      </c>
      <c r="T465" s="155">
        <v>0</v>
      </c>
      <c r="U465" s="155">
        <v>0</v>
      </c>
      <c r="V465" s="155">
        <v>0</v>
      </c>
      <c r="W465" s="155">
        <v>0</v>
      </c>
      <c r="X465" s="155">
        <v>0</v>
      </c>
      <c r="Y465" s="155">
        <v>0</v>
      </c>
      <c r="Z465" s="155">
        <v>0</v>
      </c>
      <c r="AA465" s="155">
        <v>0</v>
      </c>
      <c r="AB465" s="155">
        <v>0</v>
      </c>
      <c r="AC465" s="155">
        <v>0</v>
      </c>
      <c r="AD465" s="155">
        <v>0</v>
      </c>
      <c r="AE465" s="155">
        <v>0</v>
      </c>
      <c r="AF465" s="155">
        <v>0</v>
      </c>
      <c r="AG465" s="155">
        <v>0</v>
      </c>
      <c r="AH465" s="155">
        <v>0</v>
      </c>
      <c r="AI465" s="155">
        <v>0</v>
      </c>
      <c r="AJ465" s="155">
        <v>0</v>
      </c>
      <c r="AK465" s="155">
        <v>0</v>
      </c>
      <c r="AL465" s="155">
        <v>0</v>
      </c>
      <c r="AM465" s="155">
        <v>0</v>
      </c>
      <c r="AN465" s="155">
        <v>0</v>
      </c>
      <c r="AO465" s="155">
        <v>0</v>
      </c>
      <c r="AP465" s="155">
        <v>0</v>
      </c>
      <c r="AQ465" s="155">
        <v>0</v>
      </c>
    </row>
    <row r="466" spans="7:43" ht="14.1" customHeight="1" thickBot="1" x14ac:dyDescent="0.3">
      <c r="G466" s="106"/>
      <c r="H466" s="218"/>
      <c r="J466" s="210"/>
      <c r="K466" s="121" t="s">
        <v>118</v>
      </c>
      <c r="L466" s="156">
        <v>0</v>
      </c>
      <c r="M466" s="156">
        <v>0</v>
      </c>
      <c r="N466" s="156">
        <v>0</v>
      </c>
      <c r="O466" s="156">
        <v>0</v>
      </c>
      <c r="P466" s="156">
        <v>0</v>
      </c>
      <c r="Q466" s="156">
        <v>0</v>
      </c>
      <c r="R466" s="156">
        <v>0</v>
      </c>
      <c r="S466" s="156">
        <v>0</v>
      </c>
      <c r="T466" s="156">
        <v>0</v>
      </c>
      <c r="U466" s="156">
        <v>0</v>
      </c>
      <c r="V466" s="156">
        <v>0</v>
      </c>
      <c r="W466" s="156">
        <v>0</v>
      </c>
      <c r="X466" s="156">
        <v>0</v>
      </c>
      <c r="Y466" s="156">
        <v>0</v>
      </c>
      <c r="Z466" s="156">
        <v>0</v>
      </c>
      <c r="AA466" s="156">
        <v>0</v>
      </c>
      <c r="AB466" s="156">
        <v>0</v>
      </c>
      <c r="AC466" s="156">
        <v>0</v>
      </c>
      <c r="AD466" s="156">
        <v>0</v>
      </c>
      <c r="AE466" s="156">
        <v>0</v>
      </c>
      <c r="AF466" s="156">
        <v>0</v>
      </c>
      <c r="AG466" s="156">
        <v>0</v>
      </c>
      <c r="AH466" s="156">
        <v>0</v>
      </c>
      <c r="AI466" s="156">
        <v>0</v>
      </c>
      <c r="AJ466" s="156">
        <v>0</v>
      </c>
      <c r="AK466" s="156">
        <v>0</v>
      </c>
      <c r="AL466" s="156">
        <v>0</v>
      </c>
      <c r="AM466" s="156">
        <v>0</v>
      </c>
      <c r="AN466" s="156">
        <v>0</v>
      </c>
      <c r="AO466" s="156">
        <v>0</v>
      </c>
      <c r="AP466" s="156">
        <v>0</v>
      </c>
      <c r="AQ466" s="156">
        <v>0</v>
      </c>
    </row>
    <row r="467" spans="7:43" ht="14.1" hidden="1" customHeight="1" thickTop="1" x14ac:dyDescent="0.25">
      <c r="G467" s="106"/>
      <c r="H467" s="218"/>
      <c r="J467" s="210"/>
      <c r="K467" s="119" t="s">
        <v>119</v>
      </c>
      <c r="L467" s="157">
        <v>0</v>
      </c>
      <c r="M467" s="157">
        <v>0</v>
      </c>
      <c r="N467" s="157">
        <v>0</v>
      </c>
      <c r="O467" s="157">
        <v>0</v>
      </c>
      <c r="P467" s="157">
        <v>0</v>
      </c>
      <c r="Q467" s="157">
        <v>0</v>
      </c>
      <c r="R467" s="157">
        <v>0</v>
      </c>
      <c r="S467" s="157">
        <v>0</v>
      </c>
      <c r="T467" s="157">
        <v>0</v>
      </c>
      <c r="U467" s="157">
        <v>0</v>
      </c>
      <c r="V467" s="157">
        <v>0</v>
      </c>
      <c r="W467" s="157">
        <v>0</v>
      </c>
      <c r="X467" s="157">
        <v>0</v>
      </c>
      <c r="Y467" s="157">
        <v>0</v>
      </c>
      <c r="Z467" s="157">
        <v>0</v>
      </c>
      <c r="AA467" s="157">
        <v>0</v>
      </c>
      <c r="AB467" s="157">
        <v>0</v>
      </c>
      <c r="AC467" s="157">
        <v>0</v>
      </c>
      <c r="AD467" s="157">
        <v>0</v>
      </c>
      <c r="AE467" s="157">
        <v>0</v>
      </c>
      <c r="AF467" s="157">
        <v>0</v>
      </c>
      <c r="AG467" s="157">
        <v>0</v>
      </c>
      <c r="AH467" s="157">
        <v>0</v>
      </c>
      <c r="AI467" s="157">
        <v>0</v>
      </c>
      <c r="AJ467" s="157">
        <v>0</v>
      </c>
      <c r="AK467" s="157">
        <v>0</v>
      </c>
      <c r="AL467" s="157">
        <v>0</v>
      </c>
      <c r="AM467" s="157">
        <v>0</v>
      </c>
      <c r="AN467" s="157">
        <v>0</v>
      </c>
      <c r="AO467" s="157">
        <v>0</v>
      </c>
      <c r="AP467" s="157">
        <v>0</v>
      </c>
      <c r="AQ467" s="157">
        <v>0</v>
      </c>
    </row>
    <row r="468" spans="7:43" ht="14.1" hidden="1" customHeight="1" x14ac:dyDescent="0.25">
      <c r="G468" s="106"/>
      <c r="H468" s="218"/>
      <c r="J468" s="210"/>
      <c r="K468" s="7" t="s">
        <v>120</v>
      </c>
      <c r="L468" s="155">
        <v>0</v>
      </c>
      <c r="M468" s="155">
        <v>0</v>
      </c>
      <c r="N468" s="155">
        <v>0</v>
      </c>
      <c r="O468" s="155">
        <v>0</v>
      </c>
      <c r="P468" s="155">
        <v>0</v>
      </c>
      <c r="Q468" s="155">
        <v>0</v>
      </c>
      <c r="R468" s="155">
        <v>0</v>
      </c>
      <c r="S468" s="155">
        <v>0</v>
      </c>
      <c r="T468" s="155">
        <v>0</v>
      </c>
      <c r="U468" s="155">
        <v>0</v>
      </c>
      <c r="V468" s="155">
        <v>0</v>
      </c>
      <c r="W468" s="155">
        <v>0</v>
      </c>
      <c r="X468" s="155">
        <v>0</v>
      </c>
      <c r="Y468" s="155">
        <v>0</v>
      </c>
      <c r="Z468" s="155">
        <v>0</v>
      </c>
      <c r="AA468" s="155">
        <v>0</v>
      </c>
      <c r="AB468" s="155">
        <v>0</v>
      </c>
      <c r="AC468" s="155">
        <v>0</v>
      </c>
      <c r="AD468" s="155">
        <v>0</v>
      </c>
      <c r="AE468" s="155">
        <v>0</v>
      </c>
      <c r="AF468" s="155">
        <v>0</v>
      </c>
      <c r="AG468" s="155">
        <v>0</v>
      </c>
      <c r="AH468" s="155">
        <v>0</v>
      </c>
      <c r="AI468" s="155">
        <v>0</v>
      </c>
      <c r="AJ468" s="155">
        <v>0</v>
      </c>
      <c r="AK468" s="155">
        <v>0</v>
      </c>
      <c r="AL468" s="155">
        <v>0</v>
      </c>
      <c r="AM468" s="155">
        <v>0</v>
      </c>
      <c r="AN468" s="155">
        <v>0</v>
      </c>
      <c r="AO468" s="155">
        <v>0</v>
      </c>
      <c r="AP468" s="155">
        <v>0</v>
      </c>
      <c r="AQ468" s="155">
        <v>0</v>
      </c>
    </row>
    <row r="469" spans="7:43" ht="14.1" hidden="1" customHeight="1" thickBot="1" x14ac:dyDescent="0.3">
      <c r="G469" s="106"/>
      <c r="H469" s="218"/>
      <c r="J469" s="210"/>
      <c r="K469" s="121" t="s">
        <v>121</v>
      </c>
      <c r="L469" s="156">
        <v>0</v>
      </c>
      <c r="M469" s="156">
        <v>0</v>
      </c>
      <c r="N469" s="156">
        <v>0</v>
      </c>
      <c r="O469" s="156">
        <v>0</v>
      </c>
      <c r="P469" s="156">
        <v>0</v>
      </c>
      <c r="Q469" s="156">
        <v>0</v>
      </c>
      <c r="R469" s="156">
        <v>0</v>
      </c>
      <c r="S469" s="156">
        <v>0</v>
      </c>
      <c r="T469" s="156">
        <v>0</v>
      </c>
      <c r="U469" s="156">
        <v>0</v>
      </c>
      <c r="V469" s="156">
        <v>0</v>
      </c>
      <c r="W469" s="156">
        <v>0</v>
      </c>
      <c r="X469" s="156">
        <v>0</v>
      </c>
      <c r="Y469" s="156">
        <v>0</v>
      </c>
      <c r="Z469" s="156">
        <v>0</v>
      </c>
      <c r="AA469" s="156">
        <v>0</v>
      </c>
      <c r="AB469" s="156">
        <v>0</v>
      </c>
      <c r="AC469" s="156">
        <v>0</v>
      </c>
      <c r="AD469" s="156">
        <v>0</v>
      </c>
      <c r="AE469" s="156">
        <v>0</v>
      </c>
      <c r="AF469" s="156">
        <v>0</v>
      </c>
      <c r="AG469" s="156">
        <v>0</v>
      </c>
      <c r="AH469" s="156">
        <v>0</v>
      </c>
      <c r="AI469" s="156">
        <v>0</v>
      </c>
      <c r="AJ469" s="156">
        <v>0</v>
      </c>
      <c r="AK469" s="156">
        <v>0</v>
      </c>
      <c r="AL469" s="156">
        <v>0</v>
      </c>
      <c r="AM469" s="156">
        <v>0</v>
      </c>
      <c r="AN469" s="156">
        <v>0</v>
      </c>
      <c r="AO469" s="156">
        <v>0</v>
      </c>
      <c r="AP469" s="156">
        <v>0</v>
      </c>
      <c r="AQ469" s="156">
        <v>0</v>
      </c>
    </row>
    <row r="470" spans="7:43" ht="14.1" hidden="1" customHeight="1" thickTop="1" x14ac:dyDescent="0.25">
      <c r="G470" s="106"/>
      <c r="H470" s="218"/>
      <c r="J470" s="210"/>
      <c r="K470" s="119" t="s">
        <v>122</v>
      </c>
      <c r="L470" s="157">
        <v>0</v>
      </c>
      <c r="M470" s="157">
        <v>0</v>
      </c>
      <c r="N470" s="157">
        <v>0</v>
      </c>
      <c r="O470" s="157">
        <v>0</v>
      </c>
      <c r="P470" s="157">
        <v>0</v>
      </c>
      <c r="Q470" s="157">
        <v>0</v>
      </c>
      <c r="R470" s="157">
        <v>0</v>
      </c>
      <c r="S470" s="157">
        <v>0</v>
      </c>
      <c r="T470" s="157">
        <v>0</v>
      </c>
      <c r="U470" s="157">
        <v>0</v>
      </c>
      <c r="V470" s="157">
        <v>0</v>
      </c>
      <c r="W470" s="157">
        <v>0</v>
      </c>
      <c r="X470" s="157">
        <v>0</v>
      </c>
      <c r="Y470" s="157">
        <v>0</v>
      </c>
      <c r="Z470" s="157">
        <v>0</v>
      </c>
      <c r="AA470" s="157">
        <v>0</v>
      </c>
      <c r="AB470" s="157">
        <v>0</v>
      </c>
      <c r="AC470" s="157">
        <v>0</v>
      </c>
      <c r="AD470" s="157">
        <v>0</v>
      </c>
      <c r="AE470" s="157">
        <v>0</v>
      </c>
      <c r="AF470" s="157">
        <v>0</v>
      </c>
      <c r="AG470" s="157">
        <v>0</v>
      </c>
      <c r="AH470" s="157">
        <v>0</v>
      </c>
      <c r="AI470" s="157">
        <v>0</v>
      </c>
      <c r="AJ470" s="157">
        <v>0</v>
      </c>
      <c r="AK470" s="157">
        <v>0</v>
      </c>
      <c r="AL470" s="157">
        <v>0</v>
      </c>
      <c r="AM470" s="157">
        <v>0</v>
      </c>
      <c r="AN470" s="157">
        <v>0</v>
      </c>
      <c r="AO470" s="157">
        <v>0</v>
      </c>
      <c r="AP470" s="157">
        <v>0</v>
      </c>
      <c r="AQ470" s="157">
        <v>0</v>
      </c>
    </row>
    <row r="471" spans="7:43" ht="14.1" hidden="1" customHeight="1" x14ac:dyDescent="0.25">
      <c r="G471" s="106"/>
      <c r="H471" s="218"/>
      <c r="J471" s="210"/>
      <c r="K471" s="7" t="s">
        <v>123</v>
      </c>
      <c r="L471" s="155">
        <v>0</v>
      </c>
      <c r="M471" s="155">
        <v>0</v>
      </c>
      <c r="N471" s="155">
        <v>0</v>
      </c>
      <c r="O471" s="155">
        <v>0</v>
      </c>
      <c r="P471" s="155">
        <v>0</v>
      </c>
      <c r="Q471" s="155">
        <v>0</v>
      </c>
      <c r="R471" s="155">
        <v>0</v>
      </c>
      <c r="S471" s="155">
        <v>0</v>
      </c>
      <c r="T471" s="155">
        <v>0</v>
      </c>
      <c r="U471" s="155">
        <v>0</v>
      </c>
      <c r="V471" s="155">
        <v>0</v>
      </c>
      <c r="W471" s="155">
        <v>0</v>
      </c>
      <c r="X471" s="155">
        <v>0</v>
      </c>
      <c r="Y471" s="155">
        <v>0</v>
      </c>
      <c r="Z471" s="155">
        <v>0</v>
      </c>
      <c r="AA471" s="155">
        <v>0</v>
      </c>
      <c r="AB471" s="155">
        <v>0</v>
      </c>
      <c r="AC471" s="155">
        <v>0</v>
      </c>
      <c r="AD471" s="155">
        <v>0</v>
      </c>
      <c r="AE471" s="155">
        <v>0</v>
      </c>
      <c r="AF471" s="155">
        <v>0</v>
      </c>
      <c r="AG471" s="155">
        <v>0</v>
      </c>
      <c r="AH471" s="155">
        <v>0</v>
      </c>
      <c r="AI471" s="155">
        <v>0</v>
      </c>
      <c r="AJ471" s="155">
        <v>0</v>
      </c>
      <c r="AK471" s="155">
        <v>0</v>
      </c>
      <c r="AL471" s="155">
        <v>0</v>
      </c>
      <c r="AM471" s="155">
        <v>0</v>
      </c>
      <c r="AN471" s="155">
        <v>0</v>
      </c>
      <c r="AO471" s="155">
        <v>0</v>
      </c>
      <c r="AP471" s="155">
        <v>0</v>
      </c>
      <c r="AQ471" s="155">
        <v>0</v>
      </c>
    </row>
    <row r="472" spans="7:43" ht="14.1" hidden="1" customHeight="1" thickBot="1" x14ac:dyDescent="0.3">
      <c r="G472" s="106"/>
      <c r="H472" s="218"/>
      <c r="J472" s="210"/>
      <c r="K472" s="121" t="s">
        <v>124</v>
      </c>
      <c r="L472" s="158">
        <v>0</v>
      </c>
      <c r="M472" s="158">
        <v>0</v>
      </c>
      <c r="N472" s="158">
        <v>0</v>
      </c>
      <c r="O472" s="158">
        <v>0</v>
      </c>
      <c r="P472" s="158">
        <v>0</v>
      </c>
      <c r="Q472" s="158">
        <v>0</v>
      </c>
      <c r="R472" s="158">
        <v>0</v>
      </c>
      <c r="S472" s="158">
        <v>0</v>
      </c>
      <c r="T472" s="158">
        <v>0</v>
      </c>
      <c r="U472" s="158">
        <v>0</v>
      </c>
      <c r="V472" s="158">
        <v>0</v>
      </c>
      <c r="W472" s="158">
        <v>0</v>
      </c>
      <c r="X472" s="158">
        <v>0</v>
      </c>
      <c r="Y472" s="158">
        <v>0</v>
      </c>
      <c r="Z472" s="158">
        <v>0</v>
      </c>
      <c r="AA472" s="158">
        <v>0</v>
      </c>
      <c r="AB472" s="158">
        <v>0</v>
      </c>
      <c r="AC472" s="158">
        <v>0</v>
      </c>
      <c r="AD472" s="158">
        <v>0</v>
      </c>
      <c r="AE472" s="158">
        <v>0</v>
      </c>
      <c r="AF472" s="158">
        <v>0</v>
      </c>
      <c r="AG472" s="158">
        <v>0</v>
      </c>
      <c r="AH472" s="158">
        <v>0</v>
      </c>
      <c r="AI472" s="158">
        <v>0</v>
      </c>
      <c r="AJ472" s="158">
        <v>0</v>
      </c>
      <c r="AK472" s="158">
        <v>0</v>
      </c>
      <c r="AL472" s="158">
        <v>0</v>
      </c>
      <c r="AM472" s="158">
        <v>0</v>
      </c>
      <c r="AN472" s="158">
        <v>0</v>
      </c>
      <c r="AO472" s="158">
        <v>0</v>
      </c>
      <c r="AP472" s="158">
        <v>0</v>
      </c>
      <c r="AQ472" s="158">
        <v>0</v>
      </c>
    </row>
    <row r="473" spans="7:43" ht="14.1" hidden="1" customHeight="1" thickTop="1" x14ac:dyDescent="0.25">
      <c r="G473" s="106"/>
      <c r="H473" s="159"/>
      <c r="J473" s="211"/>
      <c r="K473" s="119" t="s">
        <v>125</v>
      </c>
      <c r="L473" s="157">
        <v>0</v>
      </c>
      <c r="M473" s="157">
        <v>0</v>
      </c>
      <c r="N473" s="157">
        <v>0</v>
      </c>
      <c r="O473" s="157">
        <v>0</v>
      </c>
      <c r="P473" s="157">
        <v>0</v>
      </c>
      <c r="Q473" s="157">
        <v>0</v>
      </c>
      <c r="R473" s="157">
        <v>0</v>
      </c>
      <c r="S473" s="157">
        <v>0</v>
      </c>
      <c r="T473" s="157">
        <v>0</v>
      </c>
      <c r="U473" s="157">
        <v>0</v>
      </c>
      <c r="V473" s="157">
        <v>0</v>
      </c>
      <c r="W473" s="157">
        <v>0</v>
      </c>
      <c r="X473" s="157">
        <v>0</v>
      </c>
      <c r="Y473" s="157">
        <v>0</v>
      </c>
      <c r="Z473" s="157">
        <v>0</v>
      </c>
      <c r="AA473" s="157">
        <v>0</v>
      </c>
      <c r="AB473" s="157">
        <v>0</v>
      </c>
      <c r="AC473" s="157">
        <v>0</v>
      </c>
      <c r="AD473" s="157">
        <v>0</v>
      </c>
      <c r="AE473" s="157">
        <v>0</v>
      </c>
      <c r="AF473" s="157">
        <v>0</v>
      </c>
      <c r="AG473" s="157">
        <v>0</v>
      </c>
      <c r="AH473" s="157">
        <v>0</v>
      </c>
      <c r="AI473" s="157">
        <v>0</v>
      </c>
      <c r="AJ473" s="157">
        <v>0</v>
      </c>
      <c r="AK473" s="157">
        <v>0</v>
      </c>
      <c r="AL473" s="157">
        <v>0</v>
      </c>
      <c r="AM473" s="157">
        <v>0</v>
      </c>
      <c r="AN473" s="157">
        <v>0</v>
      </c>
      <c r="AO473" s="157">
        <v>0</v>
      </c>
      <c r="AP473" s="157">
        <v>0</v>
      </c>
      <c r="AQ473" s="157">
        <v>0</v>
      </c>
    </row>
    <row r="474" spans="7:43" ht="14.1" hidden="1" customHeight="1" x14ac:dyDescent="0.25">
      <c r="G474" s="106"/>
      <c r="H474" s="159"/>
      <c r="J474" s="211"/>
      <c r="K474" s="7" t="s">
        <v>126</v>
      </c>
      <c r="L474" s="155">
        <v>0</v>
      </c>
      <c r="M474" s="155">
        <v>0</v>
      </c>
      <c r="N474" s="155">
        <v>0</v>
      </c>
      <c r="O474" s="155">
        <v>0</v>
      </c>
      <c r="P474" s="155">
        <v>0</v>
      </c>
      <c r="Q474" s="155">
        <v>0</v>
      </c>
      <c r="R474" s="155">
        <v>0</v>
      </c>
      <c r="S474" s="155">
        <v>0</v>
      </c>
      <c r="T474" s="155">
        <v>0</v>
      </c>
      <c r="U474" s="155">
        <v>0</v>
      </c>
      <c r="V474" s="155">
        <v>0</v>
      </c>
      <c r="W474" s="155">
        <v>0</v>
      </c>
      <c r="X474" s="155">
        <v>0</v>
      </c>
      <c r="Y474" s="155">
        <v>0</v>
      </c>
      <c r="Z474" s="155">
        <v>0</v>
      </c>
      <c r="AA474" s="155">
        <v>0</v>
      </c>
      <c r="AB474" s="155">
        <v>0</v>
      </c>
      <c r="AC474" s="155">
        <v>0</v>
      </c>
      <c r="AD474" s="155">
        <v>0</v>
      </c>
      <c r="AE474" s="155">
        <v>0</v>
      </c>
      <c r="AF474" s="155">
        <v>0</v>
      </c>
      <c r="AG474" s="155">
        <v>0</v>
      </c>
      <c r="AH474" s="155">
        <v>0</v>
      </c>
      <c r="AI474" s="155">
        <v>0</v>
      </c>
      <c r="AJ474" s="155">
        <v>0</v>
      </c>
      <c r="AK474" s="155">
        <v>0</v>
      </c>
      <c r="AL474" s="155">
        <v>0</v>
      </c>
      <c r="AM474" s="155">
        <v>0</v>
      </c>
      <c r="AN474" s="155">
        <v>0</v>
      </c>
      <c r="AO474" s="155">
        <v>0</v>
      </c>
      <c r="AP474" s="155">
        <v>0</v>
      </c>
      <c r="AQ474" s="155">
        <v>0</v>
      </c>
    </row>
    <row r="475" spans="7:43" ht="14.1" hidden="1" customHeight="1" thickBot="1" x14ac:dyDescent="0.3">
      <c r="G475" s="106"/>
      <c r="H475" s="159"/>
      <c r="J475" s="211"/>
      <c r="K475" s="121" t="s">
        <v>127</v>
      </c>
      <c r="L475" s="156">
        <v>0</v>
      </c>
      <c r="M475" s="156">
        <v>0</v>
      </c>
      <c r="N475" s="156">
        <v>0</v>
      </c>
      <c r="O475" s="156">
        <v>0</v>
      </c>
      <c r="P475" s="156">
        <v>0</v>
      </c>
      <c r="Q475" s="156">
        <v>0</v>
      </c>
      <c r="R475" s="156">
        <v>0</v>
      </c>
      <c r="S475" s="156">
        <v>0</v>
      </c>
      <c r="T475" s="156">
        <v>0</v>
      </c>
      <c r="U475" s="156">
        <v>0</v>
      </c>
      <c r="V475" s="156">
        <v>0</v>
      </c>
      <c r="W475" s="156">
        <v>0</v>
      </c>
      <c r="X475" s="156">
        <v>0</v>
      </c>
      <c r="Y475" s="156">
        <v>0</v>
      </c>
      <c r="Z475" s="156">
        <v>0</v>
      </c>
      <c r="AA475" s="156">
        <v>0</v>
      </c>
      <c r="AB475" s="156">
        <v>0</v>
      </c>
      <c r="AC475" s="156">
        <v>0</v>
      </c>
      <c r="AD475" s="156">
        <v>0</v>
      </c>
      <c r="AE475" s="156">
        <v>0</v>
      </c>
      <c r="AF475" s="156">
        <v>0</v>
      </c>
      <c r="AG475" s="156">
        <v>0</v>
      </c>
      <c r="AH475" s="156">
        <v>0</v>
      </c>
      <c r="AI475" s="156">
        <v>0</v>
      </c>
      <c r="AJ475" s="156">
        <v>0</v>
      </c>
      <c r="AK475" s="156">
        <v>0</v>
      </c>
      <c r="AL475" s="156">
        <v>0</v>
      </c>
      <c r="AM475" s="156">
        <v>0</v>
      </c>
      <c r="AN475" s="156">
        <v>0</v>
      </c>
      <c r="AO475" s="156">
        <v>0</v>
      </c>
      <c r="AP475" s="156">
        <v>0</v>
      </c>
      <c r="AQ475" s="156">
        <v>0</v>
      </c>
    </row>
    <row r="476" spans="7:43" ht="14.1" hidden="1" customHeight="1" thickTop="1" x14ac:dyDescent="0.25">
      <c r="G476" s="106"/>
      <c r="H476" s="159"/>
      <c r="J476" s="211"/>
      <c r="K476" s="119" t="s">
        <v>128</v>
      </c>
      <c r="L476" s="157">
        <v>0</v>
      </c>
      <c r="M476" s="157">
        <v>0</v>
      </c>
      <c r="N476" s="157">
        <v>0</v>
      </c>
      <c r="O476" s="157">
        <v>0</v>
      </c>
      <c r="P476" s="157">
        <v>0</v>
      </c>
      <c r="Q476" s="157">
        <v>0</v>
      </c>
      <c r="R476" s="157">
        <v>0</v>
      </c>
      <c r="S476" s="157">
        <v>0</v>
      </c>
      <c r="T476" s="157">
        <v>0</v>
      </c>
      <c r="U476" s="157">
        <v>0</v>
      </c>
      <c r="V476" s="157">
        <v>0</v>
      </c>
      <c r="W476" s="157">
        <v>0</v>
      </c>
      <c r="X476" s="157">
        <v>0</v>
      </c>
      <c r="Y476" s="157">
        <v>0</v>
      </c>
      <c r="Z476" s="157">
        <v>0</v>
      </c>
      <c r="AA476" s="157">
        <v>0</v>
      </c>
      <c r="AB476" s="157">
        <v>0</v>
      </c>
      <c r="AC476" s="157">
        <v>0</v>
      </c>
      <c r="AD476" s="157">
        <v>0</v>
      </c>
      <c r="AE476" s="157">
        <v>0</v>
      </c>
      <c r="AF476" s="157">
        <v>0</v>
      </c>
      <c r="AG476" s="157">
        <v>0</v>
      </c>
      <c r="AH476" s="157">
        <v>0</v>
      </c>
      <c r="AI476" s="157">
        <v>0</v>
      </c>
      <c r="AJ476" s="157">
        <v>0</v>
      </c>
      <c r="AK476" s="157">
        <v>0</v>
      </c>
      <c r="AL476" s="157">
        <v>0</v>
      </c>
      <c r="AM476" s="157">
        <v>0</v>
      </c>
      <c r="AN476" s="157">
        <v>0</v>
      </c>
      <c r="AO476" s="157">
        <v>0</v>
      </c>
      <c r="AP476" s="157">
        <v>0</v>
      </c>
      <c r="AQ476" s="157">
        <v>0</v>
      </c>
    </row>
    <row r="477" spans="7:43" ht="14.1" hidden="1" customHeight="1" x14ac:dyDescent="0.25">
      <c r="G477" s="106"/>
      <c r="H477" s="159"/>
      <c r="J477" s="211"/>
      <c r="K477" s="7" t="s">
        <v>129</v>
      </c>
      <c r="L477" s="155">
        <v>0</v>
      </c>
      <c r="M477" s="155">
        <v>0</v>
      </c>
      <c r="N477" s="155">
        <v>0</v>
      </c>
      <c r="O477" s="155">
        <v>0</v>
      </c>
      <c r="P477" s="155">
        <v>0</v>
      </c>
      <c r="Q477" s="155">
        <v>0</v>
      </c>
      <c r="R477" s="155">
        <v>0</v>
      </c>
      <c r="S477" s="155">
        <v>0</v>
      </c>
      <c r="T477" s="155">
        <v>0</v>
      </c>
      <c r="U477" s="155">
        <v>0</v>
      </c>
      <c r="V477" s="155">
        <v>0</v>
      </c>
      <c r="W477" s="155">
        <v>0</v>
      </c>
      <c r="X477" s="155">
        <v>0</v>
      </c>
      <c r="Y477" s="155">
        <v>0</v>
      </c>
      <c r="Z477" s="155">
        <v>0</v>
      </c>
      <c r="AA477" s="155">
        <v>0</v>
      </c>
      <c r="AB477" s="155">
        <v>0</v>
      </c>
      <c r="AC477" s="155">
        <v>0</v>
      </c>
      <c r="AD477" s="155">
        <v>0</v>
      </c>
      <c r="AE477" s="155">
        <v>0</v>
      </c>
      <c r="AF477" s="155">
        <v>0</v>
      </c>
      <c r="AG477" s="155">
        <v>0</v>
      </c>
      <c r="AH477" s="155">
        <v>0</v>
      </c>
      <c r="AI477" s="155">
        <v>0</v>
      </c>
      <c r="AJ477" s="155">
        <v>0</v>
      </c>
      <c r="AK477" s="155">
        <v>0</v>
      </c>
      <c r="AL477" s="155">
        <v>0</v>
      </c>
      <c r="AM477" s="155">
        <v>0</v>
      </c>
      <c r="AN477" s="155">
        <v>0</v>
      </c>
      <c r="AO477" s="155">
        <v>0</v>
      </c>
      <c r="AP477" s="155">
        <v>0</v>
      </c>
      <c r="AQ477" s="155">
        <v>0</v>
      </c>
    </row>
    <row r="478" spans="7:43" ht="14.1" hidden="1" customHeight="1" thickBot="1" x14ac:dyDescent="0.3">
      <c r="G478" s="106"/>
      <c r="H478" s="159"/>
      <c r="J478" s="211"/>
      <c r="K478" s="121" t="s">
        <v>130</v>
      </c>
      <c r="L478" s="156">
        <v>0</v>
      </c>
      <c r="M478" s="156">
        <v>0</v>
      </c>
      <c r="N478" s="156">
        <v>0</v>
      </c>
      <c r="O478" s="156">
        <v>0</v>
      </c>
      <c r="P478" s="156">
        <v>0</v>
      </c>
      <c r="Q478" s="156">
        <v>0</v>
      </c>
      <c r="R478" s="156">
        <v>0</v>
      </c>
      <c r="S478" s="156">
        <v>0</v>
      </c>
      <c r="T478" s="156">
        <v>0</v>
      </c>
      <c r="U478" s="156">
        <v>0</v>
      </c>
      <c r="V478" s="156">
        <v>0</v>
      </c>
      <c r="W478" s="156">
        <v>0</v>
      </c>
      <c r="X478" s="156">
        <v>0</v>
      </c>
      <c r="Y478" s="156">
        <v>0</v>
      </c>
      <c r="Z478" s="156">
        <v>0</v>
      </c>
      <c r="AA478" s="156">
        <v>0</v>
      </c>
      <c r="AB478" s="156">
        <v>0</v>
      </c>
      <c r="AC478" s="156">
        <v>0</v>
      </c>
      <c r="AD478" s="156">
        <v>0</v>
      </c>
      <c r="AE478" s="156">
        <v>0</v>
      </c>
      <c r="AF478" s="156">
        <v>0</v>
      </c>
      <c r="AG478" s="156">
        <v>0</v>
      </c>
      <c r="AH478" s="156">
        <v>0</v>
      </c>
      <c r="AI478" s="156">
        <v>0</v>
      </c>
      <c r="AJ478" s="156">
        <v>0</v>
      </c>
      <c r="AK478" s="156">
        <v>0</v>
      </c>
      <c r="AL478" s="156">
        <v>0</v>
      </c>
      <c r="AM478" s="156">
        <v>0</v>
      </c>
      <c r="AN478" s="156">
        <v>0</v>
      </c>
      <c r="AO478" s="156">
        <v>0</v>
      </c>
      <c r="AP478" s="156">
        <v>0</v>
      </c>
      <c r="AQ478" s="156">
        <v>0</v>
      </c>
    </row>
    <row r="479" spans="7:43" ht="14.1" hidden="1" customHeight="1" thickTop="1" x14ac:dyDescent="0.25">
      <c r="G479" s="106"/>
      <c r="H479" s="159"/>
      <c r="J479" s="211"/>
      <c r="K479" s="119" t="s">
        <v>131</v>
      </c>
      <c r="L479" s="157">
        <v>0</v>
      </c>
      <c r="M479" s="157">
        <v>0</v>
      </c>
      <c r="N479" s="157">
        <v>0</v>
      </c>
      <c r="O479" s="157">
        <v>0</v>
      </c>
      <c r="P479" s="157">
        <v>0</v>
      </c>
      <c r="Q479" s="157">
        <v>0</v>
      </c>
      <c r="R479" s="157">
        <v>0</v>
      </c>
      <c r="S479" s="157">
        <v>0</v>
      </c>
      <c r="T479" s="157">
        <v>0</v>
      </c>
      <c r="U479" s="157">
        <v>0</v>
      </c>
      <c r="V479" s="157">
        <v>0</v>
      </c>
      <c r="W479" s="157">
        <v>0</v>
      </c>
      <c r="X479" s="157">
        <v>0</v>
      </c>
      <c r="Y479" s="157">
        <v>0</v>
      </c>
      <c r="Z479" s="157">
        <v>0</v>
      </c>
      <c r="AA479" s="157">
        <v>0</v>
      </c>
      <c r="AB479" s="157">
        <v>0</v>
      </c>
      <c r="AC479" s="157">
        <v>0</v>
      </c>
      <c r="AD479" s="157">
        <v>0</v>
      </c>
      <c r="AE479" s="157">
        <v>0</v>
      </c>
      <c r="AF479" s="157">
        <v>0</v>
      </c>
      <c r="AG479" s="157">
        <v>0</v>
      </c>
      <c r="AH479" s="157">
        <v>0</v>
      </c>
      <c r="AI479" s="157">
        <v>0</v>
      </c>
      <c r="AJ479" s="157">
        <v>0</v>
      </c>
      <c r="AK479" s="157">
        <v>0</v>
      </c>
      <c r="AL479" s="157">
        <v>0</v>
      </c>
      <c r="AM479" s="157">
        <v>0</v>
      </c>
      <c r="AN479" s="157">
        <v>0</v>
      </c>
      <c r="AO479" s="157">
        <v>0</v>
      </c>
      <c r="AP479" s="157">
        <v>0</v>
      </c>
      <c r="AQ479" s="157">
        <v>0</v>
      </c>
    </row>
    <row r="480" spans="7:43" ht="14.1" hidden="1" customHeight="1" x14ac:dyDescent="0.25">
      <c r="G480" s="106"/>
      <c r="H480" s="159"/>
      <c r="J480" s="211"/>
      <c r="K480" s="7" t="s">
        <v>132</v>
      </c>
      <c r="L480" s="155">
        <v>0</v>
      </c>
      <c r="M480" s="155">
        <v>0</v>
      </c>
      <c r="N480" s="155">
        <v>0</v>
      </c>
      <c r="O480" s="155">
        <v>0</v>
      </c>
      <c r="P480" s="155">
        <v>0</v>
      </c>
      <c r="Q480" s="155">
        <v>0</v>
      </c>
      <c r="R480" s="155">
        <v>0</v>
      </c>
      <c r="S480" s="155">
        <v>0</v>
      </c>
      <c r="T480" s="155">
        <v>0</v>
      </c>
      <c r="U480" s="155">
        <v>0</v>
      </c>
      <c r="V480" s="155">
        <v>0</v>
      </c>
      <c r="W480" s="155">
        <v>0</v>
      </c>
      <c r="X480" s="155">
        <v>0</v>
      </c>
      <c r="Y480" s="155">
        <v>0</v>
      </c>
      <c r="Z480" s="155">
        <v>0</v>
      </c>
      <c r="AA480" s="155">
        <v>0</v>
      </c>
      <c r="AB480" s="155">
        <v>0</v>
      </c>
      <c r="AC480" s="155">
        <v>0</v>
      </c>
      <c r="AD480" s="155">
        <v>0</v>
      </c>
      <c r="AE480" s="155">
        <v>0</v>
      </c>
      <c r="AF480" s="155">
        <v>0</v>
      </c>
      <c r="AG480" s="155">
        <v>0</v>
      </c>
      <c r="AH480" s="155">
        <v>0</v>
      </c>
      <c r="AI480" s="155">
        <v>0</v>
      </c>
      <c r="AJ480" s="155">
        <v>0</v>
      </c>
      <c r="AK480" s="155">
        <v>0</v>
      </c>
      <c r="AL480" s="155">
        <v>0</v>
      </c>
      <c r="AM480" s="155">
        <v>0</v>
      </c>
      <c r="AN480" s="155">
        <v>0</v>
      </c>
      <c r="AO480" s="155">
        <v>0</v>
      </c>
      <c r="AP480" s="155">
        <v>0</v>
      </c>
      <c r="AQ480" s="155">
        <v>0</v>
      </c>
    </row>
    <row r="481" spans="7:43" ht="14.1" hidden="1" customHeight="1" thickBot="1" x14ac:dyDescent="0.3">
      <c r="G481" s="106"/>
      <c r="H481" s="159"/>
      <c r="J481" s="211"/>
      <c r="K481" s="121" t="s">
        <v>133</v>
      </c>
      <c r="L481" s="156">
        <v>0</v>
      </c>
      <c r="M481" s="156">
        <v>0</v>
      </c>
      <c r="N481" s="156">
        <v>0</v>
      </c>
      <c r="O481" s="156">
        <v>0</v>
      </c>
      <c r="P481" s="156">
        <v>0</v>
      </c>
      <c r="Q481" s="156">
        <v>0</v>
      </c>
      <c r="R481" s="156">
        <v>0</v>
      </c>
      <c r="S481" s="156">
        <v>0</v>
      </c>
      <c r="T481" s="156">
        <v>0</v>
      </c>
      <c r="U481" s="156">
        <v>0</v>
      </c>
      <c r="V481" s="156">
        <v>0</v>
      </c>
      <c r="W481" s="156">
        <v>0</v>
      </c>
      <c r="X481" s="156">
        <v>0</v>
      </c>
      <c r="Y481" s="156">
        <v>0</v>
      </c>
      <c r="Z481" s="156">
        <v>0</v>
      </c>
      <c r="AA481" s="156">
        <v>0</v>
      </c>
      <c r="AB481" s="156">
        <v>0</v>
      </c>
      <c r="AC481" s="156">
        <v>0</v>
      </c>
      <c r="AD481" s="156">
        <v>0</v>
      </c>
      <c r="AE481" s="156">
        <v>0</v>
      </c>
      <c r="AF481" s="156">
        <v>0</v>
      </c>
      <c r="AG481" s="156">
        <v>0</v>
      </c>
      <c r="AH481" s="156">
        <v>0</v>
      </c>
      <c r="AI481" s="156">
        <v>0</v>
      </c>
      <c r="AJ481" s="156">
        <v>0</v>
      </c>
      <c r="AK481" s="156">
        <v>0</v>
      </c>
      <c r="AL481" s="156">
        <v>0</v>
      </c>
      <c r="AM481" s="156">
        <v>0</v>
      </c>
      <c r="AN481" s="156">
        <v>0</v>
      </c>
      <c r="AO481" s="156">
        <v>0</v>
      </c>
      <c r="AP481" s="156">
        <v>0</v>
      </c>
      <c r="AQ481" s="156">
        <v>0</v>
      </c>
    </row>
    <row r="482" spans="7:43" ht="14.1" customHeight="1" thickTop="1" x14ac:dyDescent="0.25">
      <c r="G482" s="106"/>
      <c r="H482" s="159"/>
      <c r="J482" s="211"/>
      <c r="K482" s="119" t="s">
        <v>134</v>
      </c>
      <c r="L482" s="157">
        <v>0</v>
      </c>
      <c r="M482" s="157">
        <v>0</v>
      </c>
      <c r="N482" s="157">
        <v>0</v>
      </c>
      <c r="O482" s="157">
        <v>0</v>
      </c>
      <c r="P482" s="157">
        <v>0</v>
      </c>
      <c r="Q482" s="157">
        <v>0</v>
      </c>
      <c r="R482" s="157">
        <v>0</v>
      </c>
      <c r="S482" s="157">
        <v>0</v>
      </c>
      <c r="T482" s="157">
        <v>0</v>
      </c>
      <c r="U482" s="157">
        <v>0</v>
      </c>
      <c r="V482" s="157">
        <v>0</v>
      </c>
      <c r="W482" s="157">
        <v>0</v>
      </c>
      <c r="X482" s="157">
        <v>0</v>
      </c>
      <c r="Y482" s="157">
        <v>0</v>
      </c>
      <c r="Z482" s="157">
        <v>0</v>
      </c>
      <c r="AA482" s="157">
        <v>0</v>
      </c>
      <c r="AB482" s="157">
        <v>0</v>
      </c>
      <c r="AC482" s="157">
        <v>0</v>
      </c>
      <c r="AD482" s="157">
        <v>0</v>
      </c>
      <c r="AE482" s="157">
        <v>0</v>
      </c>
      <c r="AF482" s="157">
        <v>0</v>
      </c>
      <c r="AG482" s="157">
        <v>0</v>
      </c>
      <c r="AH482" s="157">
        <v>0</v>
      </c>
      <c r="AI482" s="157">
        <v>0</v>
      </c>
      <c r="AJ482" s="157">
        <v>0</v>
      </c>
      <c r="AK482" s="157">
        <v>0</v>
      </c>
      <c r="AL482" s="157">
        <v>0</v>
      </c>
      <c r="AM482" s="157">
        <v>0</v>
      </c>
      <c r="AN482" s="157">
        <v>0</v>
      </c>
      <c r="AO482" s="157">
        <v>0</v>
      </c>
      <c r="AP482" s="157">
        <v>0</v>
      </c>
      <c r="AQ482" s="157">
        <v>0</v>
      </c>
    </row>
    <row r="483" spans="7:43" ht="14.1" customHeight="1" x14ac:dyDescent="0.25">
      <c r="G483" s="106"/>
      <c r="H483" s="159"/>
      <c r="J483" s="211"/>
      <c r="K483" s="7" t="s">
        <v>135</v>
      </c>
      <c r="L483" s="155">
        <v>0</v>
      </c>
      <c r="M483" s="155">
        <v>0</v>
      </c>
      <c r="N483" s="155">
        <v>0</v>
      </c>
      <c r="O483" s="155">
        <v>0</v>
      </c>
      <c r="P483" s="155">
        <v>0</v>
      </c>
      <c r="Q483" s="155">
        <v>0</v>
      </c>
      <c r="R483" s="155">
        <v>0</v>
      </c>
      <c r="S483" s="155">
        <v>0</v>
      </c>
      <c r="T483" s="155">
        <v>0</v>
      </c>
      <c r="U483" s="155">
        <v>0</v>
      </c>
      <c r="V483" s="155">
        <v>0</v>
      </c>
      <c r="W483" s="155">
        <v>0</v>
      </c>
      <c r="X483" s="155">
        <v>0</v>
      </c>
      <c r="Y483" s="155">
        <v>0</v>
      </c>
      <c r="Z483" s="155">
        <v>0</v>
      </c>
      <c r="AA483" s="155">
        <v>0</v>
      </c>
      <c r="AB483" s="155">
        <v>0</v>
      </c>
      <c r="AC483" s="155">
        <v>0</v>
      </c>
      <c r="AD483" s="155">
        <v>0</v>
      </c>
      <c r="AE483" s="155">
        <v>0</v>
      </c>
      <c r="AF483" s="155">
        <v>0</v>
      </c>
      <c r="AG483" s="155">
        <v>0</v>
      </c>
      <c r="AH483" s="155">
        <v>0</v>
      </c>
      <c r="AI483" s="155">
        <v>0</v>
      </c>
      <c r="AJ483" s="155">
        <v>0</v>
      </c>
      <c r="AK483" s="155">
        <v>0</v>
      </c>
      <c r="AL483" s="155">
        <v>0</v>
      </c>
      <c r="AM483" s="155">
        <v>0</v>
      </c>
      <c r="AN483" s="155">
        <v>0</v>
      </c>
      <c r="AO483" s="155">
        <v>0</v>
      </c>
      <c r="AP483" s="155">
        <v>0</v>
      </c>
      <c r="AQ483" s="155">
        <v>0</v>
      </c>
    </row>
    <row r="484" spans="7:43" ht="14.1" customHeight="1" thickBot="1" x14ac:dyDescent="0.3">
      <c r="G484" s="106"/>
      <c r="H484" s="159"/>
      <c r="J484" s="211"/>
      <c r="K484" s="121" t="s">
        <v>136</v>
      </c>
      <c r="L484" s="156">
        <v>0</v>
      </c>
      <c r="M484" s="156">
        <v>0</v>
      </c>
      <c r="N484" s="156">
        <v>0</v>
      </c>
      <c r="O484" s="156">
        <v>0</v>
      </c>
      <c r="P484" s="156">
        <v>0</v>
      </c>
      <c r="Q484" s="156">
        <v>0</v>
      </c>
      <c r="R484" s="156">
        <v>0</v>
      </c>
      <c r="S484" s="156">
        <v>0</v>
      </c>
      <c r="T484" s="156">
        <v>0</v>
      </c>
      <c r="U484" s="156">
        <v>0</v>
      </c>
      <c r="V484" s="156">
        <v>0</v>
      </c>
      <c r="W484" s="156">
        <v>0</v>
      </c>
      <c r="X484" s="156">
        <v>0</v>
      </c>
      <c r="Y484" s="156">
        <v>0</v>
      </c>
      <c r="Z484" s="156">
        <v>0</v>
      </c>
      <c r="AA484" s="156">
        <v>0</v>
      </c>
      <c r="AB484" s="156">
        <v>0</v>
      </c>
      <c r="AC484" s="156">
        <v>0</v>
      </c>
      <c r="AD484" s="156">
        <v>0</v>
      </c>
      <c r="AE484" s="156">
        <v>0</v>
      </c>
      <c r="AF484" s="156">
        <v>0</v>
      </c>
      <c r="AG484" s="156">
        <v>0</v>
      </c>
      <c r="AH484" s="156">
        <v>0</v>
      </c>
      <c r="AI484" s="156">
        <v>0</v>
      </c>
      <c r="AJ484" s="156">
        <v>0</v>
      </c>
      <c r="AK484" s="156">
        <v>0</v>
      </c>
      <c r="AL484" s="156">
        <v>0</v>
      </c>
      <c r="AM484" s="156">
        <v>0</v>
      </c>
      <c r="AN484" s="156">
        <v>0</v>
      </c>
      <c r="AO484" s="156">
        <v>0</v>
      </c>
      <c r="AP484" s="156">
        <v>0</v>
      </c>
      <c r="AQ484" s="156">
        <v>0</v>
      </c>
    </row>
    <row r="485" spans="7:43" ht="14.1" customHeight="1" thickTop="1" thickBot="1" x14ac:dyDescent="0.3">
      <c r="G485" s="106"/>
      <c r="H485" s="160"/>
      <c r="I485" s="160"/>
      <c r="J485" s="160"/>
      <c r="K485" s="160"/>
      <c r="L485" s="160"/>
      <c r="M485" s="160"/>
      <c r="N485" s="160"/>
      <c r="O485" s="160"/>
      <c r="P485" s="160"/>
      <c r="Q485" s="160"/>
      <c r="R485" s="160"/>
      <c r="S485" s="160"/>
      <c r="T485" s="160"/>
      <c r="U485" s="160"/>
      <c r="V485" s="160"/>
      <c r="W485" s="160"/>
      <c r="X485" s="160"/>
      <c r="Y485" s="160"/>
      <c r="Z485" s="160"/>
      <c r="AA485" s="160"/>
      <c r="AB485" s="160"/>
      <c r="AC485" s="160"/>
      <c r="AD485" s="160"/>
      <c r="AE485" s="160"/>
      <c r="AF485" s="160"/>
      <c r="AG485" s="160"/>
      <c r="AH485" s="160"/>
      <c r="AI485" s="160"/>
      <c r="AJ485" s="160"/>
      <c r="AK485" s="160"/>
      <c r="AL485" s="160"/>
      <c r="AM485" s="160"/>
      <c r="AN485" s="160"/>
      <c r="AO485" s="160"/>
      <c r="AP485" s="160"/>
      <c r="AQ485" s="160"/>
    </row>
    <row r="486" spans="7:43" ht="14.1" customHeight="1" thickBot="1" x14ac:dyDescent="0.3">
      <c r="G486" s="106"/>
      <c r="H486" s="160"/>
      <c r="I486" s="160"/>
      <c r="J486" s="160"/>
      <c r="K486" s="160"/>
      <c r="L486" s="160"/>
      <c r="M486" s="160"/>
      <c r="N486" s="160"/>
      <c r="O486" s="160"/>
      <c r="P486" s="160"/>
      <c r="Q486" s="160"/>
      <c r="R486" s="160"/>
      <c r="S486" s="160"/>
      <c r="T486" s="160"/>
      <c r="U486" s="160"/>
      <c r="V486" s="160"/>
      <c r="W486" s="160"/>
      <c r="X486" s="160"/>
      <c r="Y486" s="160"/>
      <c r="Z486" s="160"/>
      <c r="AA486" s="160"/>
      <c r="AB486" s="160"/>
      <c r="AC486" s="160"/>
      <c r="AD486" s="160"/>
      <c r="AE486" s="160"/>
      <c r="AF486" s="160"/>
      <c r="AG486" s="160"/>
      <c r="AH486" s="160"/>
      <c r="AI486" s="160"/>
      <c r="AJ486" s="160"/>
      <c r="AK486" s="160"/>
      <c r="AL486" s="160"/>
      <c r="AM486" s="160"/>
      <c r="AN486" s="160"/>
      <c r="AO486" s="160"/>
      <c r="AP486" s="160"/>
      <c r="AQ486" s="160"/>
    </row>
    <row r="487" spans="7:43" ht="14.1" customHeight="1" x14ac:dyDescent="0.25">
      <c r="G487" s="106"/>
      <c r="H487" s="161"/>
      <c r="I487" s="161"/>
      <c r="J487" s="161"/>
      <c r="K487" s="161"/>
      <c r="L487" s="161"/>
      <c r="M487" s="161"/>
      <c r="N487" s="161"/>
      <c r="O487" s="161"/>
      <c r="P487" s="161"/>
      <c r="Q487" s="161"/>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61"/>
    </row>
    <row r="488" spans="7:43" ht="14.1" customHeight="1" thickBot="1" x14ac:dyDescent="0.3">
      <c r="G488" s="106"/>
      <c r="L488" s="107">
        <v>2019</v>
      </c>
      <c r="M488" s="107">
        <v>2020</v>
      </c>
      <c r="N488" s="107">
        <v>2021</v>
      </c>
      <c r="O488" s="107">
        <v>2022</v>
      </c>
      <c r="P488" s="107">
        <v>2023</v>
      </c>
      <c r="Q488" s="107">
        <v>2024</v>
      </c>
      <c r="R488" s="107">
        <v>2025</v>
      </c>
      <c r="S488" s="107">
        <v>2026</v>
      </c>
      <c r="T488" s="107">
        <v>2027</v>
      </c>
      <c r="U488" s="107">
        <v>2028</v>
      </c>
      <c r="V488" s="107">
        <v>2029</v>
      </c>
      <c r="W488" s="107">
        <v>2030</v>
      </c>
      <c r="X488" s="107">
        <v>2031</v>
      </c>
      <c r="Y488" s="107">
        <v>2032</v>
      </c>
      <c r="Z488" s="107">
        <v>2033</v>
      </c>
      <c r="AA488" s="107">
        <v>2034</v>
      </c>
      <c r="AB488" s="107">
        <v>2035</v>
      </c>
      <c r="AC488" s="107">
        <v>2036</v>
      </c>
      <c r="AD488" s="107">
        <v>2037</v>
      </c>
      <c r="AE488" s="107">
        <v>2038</v>
      </c>
      <c r="AF488" s="107">
        <v>2039</v>
      </c>
      <c r="AG488" s="107">
        <v>2040</v>
      </c>
      <c r="AH488" s="107">
        <v>2041</v>
      </c>
      <c r="AI488" s="107">
        <v>2042</v>
      </c>
      <c r="AJ488" s="107">
        <v>2043</v>
      </c>
      <c r="AK488" s="107">
        <v>2044</v>
      </c>
      <c r="AL488" s="107">
        <v>2045</v>
      </c>
      <c r="AM488" s="107">
        <v>2046</v>
      </c>
      <c r="AN488" s="107">
        <v>2047</v>
      </c>
      <c r="AO488" s="107">
        <v>2048</v>
      </c>
      <c r="AP488" s="107">
        <v>2049</v>
      </c>
      <c r="AQ488" s="107">
        <v>2050</v>
      </c>
    </row>
    <row r="489" spans="7:43" ht="14.1" hidden="1" customHeight="1" x14ac:dyDescent="0.25">
      <c r="G489" s="106"/>
      <c r="H489" s="217" t="s">
        <v>143</v>
      </c>
      <c r="J489" s="209" t="s">
        <v>144</v>
      </c>
      <c r="K489" s="119" t="s">
        <v>95</v>
      </c>
      <c r="L489" s="139">
        <f t="shared" ref="L489:AQ496" si="181">L533</f>
        <v>878.2390056045549</v>
      </c>
      <c r="M489" s="139">
        <f t="shared" si="181"/>
        <v>808.21600244456397</v>
      </c>
      <c r="N489" s="139">
        <f t="shared" si="181"/>
        <v>756.1103192879707</v>
      </c>
      <c r="O489" s="139">
        <f t="shared" si="181"/>
        <v>713.82232616902763</v>
      </c>
      <c r="P489" s="139">
        <f t="shared" si="181"/>
        <v>677.74423191132792</v>
      </c>
      <c r="Q489" s="139">
        <f t="shared" si="181"/>
        <v>645.95153083080163</v>
      </c>
      <c r="R489" s="139">
        <f t="shared" si="181"/>
        <v>617.2954645380828</v>
      </c>
      <c r="S489" s="139">
        <f t="shared" si="181"/>
        <v>591.03506031803363</v>
      </c>
      <c r="T489" s="139">
        <f t="shared" si="181"/>
        <v>566.66438720248811</v>
      </c>
      <c r="U489" s="139">
        <f t="shared" si="181"/>
        <v>543.82258522381971</v>
      </c>
      <c r="V489" s="139">
        <f t="shared" si="181"/>
        <v>522.24320872813666</v>
      </c>
      <c r="W489" s="139">
        <f t="shared" si="181"/>
        <v>501.72391594857186</v>
      </c>
      <c r="X489" s="139">
        <f t="shared" si="181"/>
        <v>490.45050764761044</v>
      </c>
      <c r="Y489" s="139">
        <f t="shared" si="181"/>
        <v>479.95521560919377</v>
      </c>
      <c r="Z489" s="139">
        <f t="shared" si="181"/>
        <v>470.13752557154339</v>
      </c>
      <c r="AA489" s="139">
        <f t="shared" si="181"/>
        <v>460.91522336888193</v>
      </c>
      <c r="AB489" s="139">
        <f t="shared" si="181"/>
        <v>452.22020556814579</v>
      </c>
      <c r="AC489" s="139">
        <f t="shared" si="181"/>
        <v>443.9954243015107</v>
      </c>
      <c r="AD489" s="139">
        <f t="shared" si="181"/>
        <v>436.19261666925206</v>
      </c>
      <c r="AE489" s="139">
        <f t="shared" si="181"/>
        <v>428.77058870427123</v>
      </c>
      <c r="AF489" s="139">
        <f t="shared" si="181"/>
        <v>421.69389890723539</v>
      </c>
      <c r="AG489" s="139">
        <f t="shared" si="181"/>
        <v>414.93183465699622</v>
      </c>
      <c r="AH489" s="139">
        <f t="shared" si="181"/>
        <v>408.45760662820408</v>
      </c>
      <c r="AI489" s="139">
        <f t="shared" si="181"/>
        <v>402.24770776696084</v>
      </c>
      <c r="AJ489" s="139">
        <f t="shared" si="181"/>
        <v>396.28139806529094</v>
      </c>
      <c r="AK489" s="139">
        <f t="shared" si="181"/>
        <v>390.54028662480664</v>
      </c>
      <c r="AL489" s="139">
        <f t="shared" si="181"/>
        <v>385.00798976432952</v>
      </c>
      <c r="AM489" s="139">
        <f t="shared" si="181"/>
        <v>379.66984914928912</v>
      </c>
      <c r="AN489" s="139">
        <f t="shared" si="181"/>
        <v>374.51269772591286</v>
      </c>
      <c r="AO489" s="139">
        <f t="shared" si="181"/>
        <v>369.52466404941453</v>
      </c>
      <c r="AP489" s="139">
        <f t="shared" si="181"/>
        <v>364.69500768826242</v>
      </c>
      <c r="AQ489" s="139">
        <f t="shared" si="181"/>
        <v>360.01397996389619</v>
      </c>
    </row>
    <row r="490" spans="7:43" ht="14.1" hidden="1" customHeight="1" x14ac:dyDescent="0.25">
      <c r="G490" s="106"/>
      <c r="H490" s="217"/>
      <c r="J490" s="210"/>
      <c r="K490" s="7" t="s">
        <v>96</v>
      </c>
      <c r="L490" s="140">
        <f t="shared" si="181"/>
        <v>911.43808852095674</v>
      </c>
      <c r="M490" s="140">
        <f t="shared" si="181"/>
        <v>848.44455237320494</v>
      </c>
      <c r="N490" s="140">
        <f t="shared" si="181"/>
        <v>801.36876002505335</v>
      </c>
      <c r="O490" s="140">
        <f t="shared" si="181"/>
        <v>763.01500170284078</v>
      </c>
      <c r="P490" s="140">
        <f t="shared" si="181"/>
        <v>730.17811638819228</v>
      </c>
      <c r="Q490" s="140">
        <f t="shared" si="181"/>
        <v>701.14837358491627</v>
      </c>
      <c r="R490" s="140">
        <f t="shared" si="181"/>
        <v>674.90521655092766</v>
      </c>
      <c r="S490" s="140">
        <f t="shared" si="181"/>
        <v>650.79036526221807</v>
      </c>
      <c r="T490" s="140">
        <f t="shared" si="181"/>
        <v>628.35435073960195</v>
      </c>
      <c r="U490" s="140">
        <f t="shared" si="181"/>
        <v>607.27658505413297</v>
      </c>
      <c r="V490" s="140">
        <f t="shared" si="181"/>
        <v>587.32035793584419</v>
      </c>
      <c r="W490" s="140">
        <f t="shared" si="181"/>
        <v>568.30590899621291</v>
      </c>
      <c r="X490" s="140">
        <f t="shared" si="181"/>
        <v>558.29061513256818</v>
      </c>
      <c r="Y490" s="140">
        <f t="shared" si="181"/>
        <v>548.96659961362786</v>
      </c>
      <c r="Z490" s="140">
        <f t="shared" si="181"/>
        <v>540.24456558769248</v>
      </c>
      <c r="AA490" s="140">
        <f t="shared" si="181"/>
        <v>532.05147400498834</v>
      </c>
      <c r="AB490" s="140">
        <f t="shared" si="181"/>
        <v>524.32682178809239</v>
      </c>
      <c r="AC490" s="140">
        <f t="shared" si="181"/>
        <v>517.01992762170914</v>
      </c>
      <c r="AD490" s="140">
        <f t="shared" si="181"/>
        <v>510.08791475458924</v>
      </c>
      <c r="AE490" s="140">
        <f t="shared" si="181"/>
        <v>503.4941864739294</v>
      </c>
      <c r="AF490" s="140">
        <f t="shared" si="181"/>
        <v>497.20725655823333</v>
      </c>
      <c r="AG490" s="140">
        <f t="shared" si="181"/>
        <v>491.19983992051465</v>
      </c>
      <c r="AH490" s="140">
        <f t="shared" si="181"/>
        <v>485.44813692905382</v>
      </c>
      <c r="AI490" s="140">
        <f t="shared" si="181"/>
        <v>479.93126392148588</v>
      </c>
      <c r="AJ490" s="140">
        <f t="shared" si="181"/>
        <v>474.63079547853579</v>
      </c>
      <c r="AK490" s="140">
        <f t="shared" si="181"/>
        <v>469.53039312945373</v>
      </c>
      <c r="AL490" s="140">
        <f t="shared" si="181"/>
        <v>464.61550161489083</v>
      </c>
      <c r="AM490" s="140">
        <f t="shared" si="181"/>
        <v>459.8730984731074</v>
      </c>
      <c r="AN490" s="140">
        <f t="shared" si="181"/>
        <v>455.29148609595052</v>
      </c>
      <c r="AO490" s="140">
        <f t="shared" si="181"/>
        <v>450.86011789405313</v>
      </c>
      <c r="AP490" s="140">
        <f t="shared" si="181"/>
        <v>446.56945207001519</v>
      </c>
      <c r="AQ490" s="140">
        <f t="shared" si="181"/>
        <v>442.41082789959472</v>
      </c>
    </row>
    <row r="491" spans="7:43" ht="14.1" hidden="1" customHeight="1" thickBot="1" x14ac:dyDescent="0.3">
      <c r="G491" s="106"/>
      <c r="H491" s="217"/>
      <c r="J491" s="210"/>
      <c r="K491" s="121" t="s">
        <v>97</v>
      </c>
      <c r="L491" s="141">
        <f t="shared" si="181"/>
        <v>965.42675469022663</v>
      </c>
      <c r="M491" s="141">
        <f t="shared" si="181"/>
        <v>922.3092026984167</v>
      </c>
      <c r="N491" s="141">
        <f t="shared" si="181"/>
        <v>889.83188372840652</v>
      </c>
      <c r="O491" s="141">
        <f t="shared" si="181"/>
        <v>863.18481781614014</v>
      </c>
      <c r="P491" s="141">
        <f t="shared" si="181"/>
        <v>840.2255116197739</v>
      </c>
      <c r="Q491" s="141">
        <f t="shared" si="181"/>
        <v>819.81109394392695</v>
      </c>
      <c r="R491" s="141">
        <f t="shared" si="181"/>
        <v>801.25937253293728</v>
      </c>
      <c r="S491" s="141">
        <f t="shared" si="181"/>
        <v>784.13031939431482</v>
      </c>
      <c r="T491" s="141">
        <f t="shared" si="181"/>
        <v>768.12348650384615</v>
      </c>
      <c r="U491" s="141">
        <f t="shared" si="181"/>
        <v>753.02457651443376</v>
      </c>
      <c r="V491" s="141">
        <f t="shared" si="181"/>
        <v>738.67536019065358</v>
      </c>
      <c r="W491" s="141">
        <f t="shared" si="181"/>
        <v>724.95567650679789</v>
      </c>
      <c r="X491" s="141">
        <f t="shared" si="181"/>
        <v>718.26094251480845</v>
      </c>
      <c r="Y491" s="141">
        <f t="shared" si="181"/>
        <v>712.02829427838719</v>
      </c>
      <c r="Z491" s="141">
        <f t="shared" si="181"/>
        <v>706.1980412206434</v>
      </c>
      <c r="AA491" s="141">
        <f t="shared" si="181"/>
        <v>700.72136030992965</v>
      </c>
      <c r="AB491" s="141">
        <f t="shared" si="181"/>
        <v>695.55780819884558</v>
      </c>
      <c r="AC491" s="141">
        <f t="shared" si="181"/>
        <v>690.67350690748515</v>
      </c>
      <c r="AD491" s="141">
        <f t="shared" si="181"/>
        <v>686.03979542520153</v>
      </c>
      <c r="AE491" s="141">
        <f t="shared" si="181"/>
        <v>681.63221063982508</v>
      </c>
      <c r="AF491" s="141">
        <f t="shared" si="181"/>
        <v>677.42970555261547</v>
      </c>
      <c r="AG491" s="141">
        <f t="shared" si="181"/>
        <v>673.41404141772989</v>
      </c>
      <c r="AH491" s="141">
        <f t="shared" si="181"/>
        <v>669.56930934565992</v>
      </c>
      <c r="AI491" s="141">
        <f t="shared" si="181"/>
        <v>665.88154962975966</v>
      </c>
      <c r="AJ491" s="141">
        <f t="shared" si="181"/>
        <v>662.33844577862885</v>
      </c>
      <c r="AK491" s="141">
        <f t="shared" si="181"/>
        <v>658.9290763238622</v>
      </c>
      <c r="AL491" s="141">
        <f t="shared" si="181"/>
        <v>655.64371178663941</v>
      </c>
      <c r="AM491" s="141">
        <f t="shared" si="181"/>
        <v>652.47364728835612</v>
      </c>
      <c r="AN491" s="141">
        <f t="shared" si="181"/>
        <v>649.41106355021805</v>
      </c>
      <c r="AO491" s="141">
        <f t="shared" si="181"/>
        <v>646.44891069318078</v>
      </c>
      <c r="AP491" s="141">
        <f t="shared" si="181"/>
        <v>643.58081049247426</v>
      </c>
      <c r="AQ491" s="141">
        <f t="shared" si="181"/>
        <v>640.8009736776321</v>
      </c>
    </row>
    <row r="492" spans="7:43" ht="14.1" hidden="1" customHeight="1" thickTop="1" x14ac:dyDescent="0.25">
      <c r="G492" s="106"/>
      <c r="H492" s="217"/>
      <c r="J492" s="210"/>
      <c r="K492" s="119" t="s">
        <v>98</v>
      </c>
      <c r="L492" s="142">
        <f t="shared" si="181"/>
        <v>909.81443540265604</v>
      </c>
      <c r="M492" s="142">
        <f t="shared" si="181"/>
        <v>837.27388701133202</v>
      </c>
      <c r="N492" s="142">
        <f t="shared" si="181"/>
        <v>783.29484212735724</v>
      </c>
      <c r="O492" s="142">
        <f t="shared" si="181"/>
        <v>739.48646384047163</v>
      </c>
      <c r="P492" s="142">
        <f t="shared" si="181"/>
        <v>702.11124963568068</v>
      </c>
      <c r="Q492" s="142">
        <f t="shared" si="181"/>
        <v>669.17550185072218</v>
      </c>
      <c r="R492" s="142">
        <f t="shared" si="181"/>
        <v>639.48916065135336</v>
      </c>
      <c r="S492" s="142">
        <f t="shared" si="181"/>
        <v>612.28461304365192</v>
      </c>
      <c r="T492" s="142">
        <f t="shared" si="181"/>
        <v>587.03773826411555</v>
      </c>
      <c r="U492" s="142">
        <f t="shared" si="181"/>
        <v>563.37470230445012</v>
      </c>
      <c r="V492" s="142">
        <f t="shared" si="181"/>
        <v>541.01947995897217</v>
      </c>
      <c r="W492" s="142">
        <f t="shared" si="181"/>
        <v>519.76245464357919</v>
      </c>
      <c r="X492" s="142">
        <f t="shared" si="181"/>
        <v>508.08373217401368</v>
      </c>
      <c r="Y492" s="142">
        <f t="shared" si="181"/>
        <v>497.21110167208673</v>
      </c>
      <c r="Z492" s="142">
        <f t="shared" si="181"/>
        <v>487.04043507499745</v>
      </c>
      <c r="AA492" s="142">
        <f t="shared" si="181"/>
        <v>477.48656236144006</v>
      </c>
      <c r="AB492" s="142">
        <f t="shared" si="181"/>
        <v>468.47893156764815</v>
      </c>
      <c r="AC492" s="142">
        <f t="shared" si="181"/>
        <v>459.95844377712598</v>
      </c>
      <c r="AD492" s="142">
        <f t="shared" si="181"/>
        <v>451.8751008884642</v>
      </c>
      <c r="AE492" s="142">
        <f t="shared" si="181"/>
        <v>444.18622788304197</v>
      </c>
      <c r="AF492" s="142">
        <f t="shared" si="181"/>
        <v>436.85510902915115</v>
      </c>
      <c r="AG492" s="142">
        <f t="shared" si="181"/>
        <v>429.84992749117919</v>
      </c>
      <c r="AH492" s="142">
        <f t="shared" si="181"/>
        <v>423.14293078402562</v>
      </c>
      <c r="AI492" s="142">
        <f t="shared" si="181"/>
        <v>416.70976670193113</v>
      </c>
      <c r="AJ492" s="142">
        <f t="shared" si="181"/>
        <v>410.52894956898507</v>
      </c>
      <c r="AK492" s="142">
        <f t="shared" si="181"/>
        <v>404.58142727667649</v>
      </c>
      <c r="AL492" s="142">
        <f t="shared" si="181"/>
        <v>398.85022709941944</v>
      </c>
      <c r="AM492" s="142">
        <f t="shared" si="181"/>
        <v>393.32016368982437</v>
      </c>
      <c r="AN492" s="142">
        <f t="shared" si="181"/>
        <v>387.97759659749255</v>
      </c>
      <c r="AO492" s="142">
        <f t="shared" si="181"/>
        <v>382.81022756219357</v>
      </c>
      <c r="AP492" s="142">
        <f t="shared" si="181"/>
        <v>377.80693000040321</v>
      </c>
      <c r="AQ492" s="142">
        <f t="shared" si="181"/>
        <v>372.9576047381795</v>
      </c>
    </row>
    <row r="493" spans="7:43" ht="14.1" hidden="1" customHeight="1" x14ac:dyDescent="0.25">
      <c r="G493" s="106"/>
      <c r="H493" s="217"/>
      <c r="J493" s="210"/>
      <c r="K493" s="7" t="s">
        <v>99</v>
      </c>
      <c r="L493" s="143">
        <f t="shared" si="181"/>
        <v>944.20712883430315</v>
      </c>
      <c r="M493" s="143">
        <f t="shared" si="181"/>
        <v>878.94877870576238</v>
      </c>
      <c r="N493" s="143">
        <f t="shared" si="181"/>
        <v>830.18046488339564</v>
      </c>
      <c r="O493" s="143">
        <f t="shared" si="181"/>
        <v>790.44776939753172</v>
      </c>
      <c r="P493" s="143">
        <f t="shared" si="181"/>
        <v>756.43029570042211</v>
      </c>
      <c r="Q493" s="143">
        <f t="shared" si="181"/>
        <v>726.35684315515982</v>
      </c>
      <c r="R493" s="143">
        <f t="shared" si="181"/>
        <v>699.17016282361863</v>
      </c>
      <c r="S493" s="143">
        <f t="shared" si="181"/>
        <v>674.1883074630116</v>
      </c>
      <c r="T493" s="143">
        <f t="shared" si="181"/>
        <v>650.94564828331795</v>
      </c>
      <c r="U493" s="143">
        <f t="shared" si="181"/>
        <v>629.11007122024546</v>
      </c>
      <c r="V493" s="143">
        <f t="shared" si="181"/>
        <v>608.43635553177546</v>
      </c>
      <c r="W493" s="143">
        <f t="shared" si="181"/>
        <v>588.73827788308961</v>
      </c>
      <c r="X493" s="143">
        <f t="shared" si="181"/>
        <v>578.36290298651329</v>
      </c>
      <c r="Y493" s="143">
        <f t="shared" si="181"/>
        <v>568.70366004590767</v>
      </c>
      <c r="Z493" s="143">
        <f t="shared" si="181"/>
        <v>559.66804170940873</v>
      </c>
      <c r="AA493" s="143">
        <f t="shared" si="181"/>
        <v>551.18038294573432</v>
      </c>
      <c r="AB493" s="143">
        <f t="shared" si="181"/>
        <v>543.17800540323469</v>
      </c>
      <c r="AC493" s="143">
        <f t="shared" si="181"/>
        <v>535.60840561535144</v>
      </c>
      <c r="AD493" s="143">
        <f t="shared" si="181"/>
        <v>528.42716527797756</v>
      </c>
      <c r="AE493" s="143">
        <f t="shared" si="181"/>
        <v>521.59637191240904</v>
      </c>
      <c r="AF493" s="143">
        <f t="shared" si="181"/>
        <v>515.08340726934171</v>
      </c>
      <c r="AG493" s="143">
        <f t="shared" si="181"/>
        <v>508.860005277862</v>
      </c>
      <c r="AH493" s="143">
        <f t="shared" si="181"/>
        <v>502.90151063530459</v>
      </c>
      <c r="AI493" s="143">
        <f t="shared" si="181"/>
        <v>497.18628884654629</v>
      </c>
      <c r="AJ493" s="143">
        <f t="shared" si="181"/>
        <v>491.69525204105548</v>
      </c>
      <c r="AK493" s="143">
        <f t="shared" si="181"/>
        <v>486.41147432913056</v>
      </c>
      <c r="AL493" s="143">
        <f t="shared" si="181"/>
        <v>481.31987714447899</v>
      </c>
      <c r="AM493" s="143">
        <f t="shared" si="181"/>
        <v>476.40696982726945</v>
      </c>
      <c r="AN493" s="143">
        <f t="shared" si="181"/>
        <v>471.66063420387337</v>
      </c>
      <c r="AO493" s="143">
        <f t="shared" si="181"/>
        <v>467.06994450216143</v>
      </c>
      <c r="AP493" s="143">
        <f t="shared" si="181"/>
        <v>462.62501586737449</v>
      </c>
      <c r="AQ493" s="143">
        <f t="shared" si="181"/>
        <v>458.31687619523768</v>
      </c>
    </row>
    <row r="494" spans="7:43" ht="14.1" hidden="1" customHeight="1" thickBot="1" x14ac:dyDescent="0.3">
      <c r="G494" s="106"/>
      <c r="H494" s="217"/>
      <c r="J494" s="210"/>
      <c r="K494" s="121" t="s">
        <v>100</v>
      </c>
      <c r="L494" s="141">
        <f t="shared" si="181"/>
        <v>1000.1368558396805</v>
      </c>
      <c r="M494" s="141">
        <f t="shared" si="181"/>
        <v>955.46909345264203</v>
      </c>
      <c r="N494" s="141">
        <f t="shared" si="181"/>
        <v>921.82411363105973</v>
      </c>
      <c r="O494" s="141">
        <f t="shared" si="181"/>
        <v>894.21900263804787</v>
      </c>
      <c r="P494" s="141">
        <f t="shared" si="181"/>
        <v>870.43423781778756</v>
      </c>
      <c r="Q494" s="141">
        <f t="shared" si="181"/>
        <v>849.28585819299587</v>
      </c>
      <c r="R494" s="141">
        <f t="shared" si="181"/>
        <v>830.06714456996781</v>
      </c>
      <c r="S494" s="141">
        <f t="shared" si="181"/>
        <v>812.32224857827805</v>
      </c>
      <c r="T494" s="141">
        <f t="shared" si="181"/>
        <v>795.73992015072031</v>
      </c>
      <c r="U494" s="141">
        <f t="shared" si="181"/>
        <v>780.09815728258582</v>
      </c>
      <c r="V494" s="141">
        <f t="shared" si="181"/>
        <v>765.23304190422255</v>
      </c>
      <c r="W494" s="141">
        <f t="shared" si="181"/>
        <v>751.02009282649669</v>
      </c>
      <c r="X494" s="141">
        <f t="shared" si="181"/>
        <v>744.08466227943279</v>
      </c>
      <c r="Y494" s="141">
        <f t="shared" si="181"/>
        <v>737.6279309112108</v>
      </c>
      <c r="Z494" s="141">
        <f t="shared" si="181"/>
        <v>731.58806208264025</v>
      </c>
      <c r="AA494" s="141">
        <f t="shared" si="181"/>
        <v>725.9144774219003</v>
      </c>
      <c r="AB494" s="141">
        <f t="shared" si="181"/>
        <v>720.56527951718613</v>
      </c>
      <c r="AC494" s="141">
        <f t="shared" si="181"/>
        <v>715.5053723696135</v>
      </c>
      <c r="AD494" s="141">
        <f t="shared" si="181"/>
        <v>710.70506451586402</v>
      </c>
      <c r="AE494" s="141">
        <f t="shared" si="181"/>
        <v>706.13901331863178</v>
      </c>
      <c r="AF494" s="141">
        <f t="shared" si="181"/>
        <v>701.78541507396676</v>
      </c>
      <c r="AG494" s="141">
        <f t="shared" si="181"/>
        <v>697.62537529626115</v>
      </c>
      <c r="AH494" s="141">
        <f t="shared" si="181"/>
        <v>693.64241312183924</v>
      </c>
      <c r="AI494" s="141">
        <f t="shared" si="181"/>
        <v>689.82206694908768</v>
      </c>
      <c r="AJ494" s="141">
        <f t="shared" si="181"/>
        <v>686.15157747034891</v>
      </c>
      <c r="AK494" s="141">
        <f t="shared" si="181"/>
        <v>682.61963055638512</v>
      </c>
      <c r="AL494" s="141">
        <f t="shared" si="181"/>
        <v>679.21614692328501</v>
      </c>
      <c r="AM494" s="141">
        <f t="shared" si="181"/>
        <v>675.93210872492432</v>
      </c>
      <c r="AN494" s="141">
        <f t="shared" si="181"/>
        <v>672.75941555506301</v>
      </c>
      <c r="AO494" s="141">
        <f t="shared" si="181"/>
        <v>669.69076406952968</v>
      </c>
      <c r="AP494" s="141">
        <f t="shared" si="181"/>
        <v>666.71954672649247</v>
      </c>
      <c r="AQ494" s="141">
        <f t="shared" si="181"/>
        <v>663.83976611316598</v>
      </c>
    </row>
    <row r="495" spans="7:43" ht="14.1" hidden="1" customHeight="1" thickTop="1" x14ac:dyDescent="0.25">
      <c r="G495" s="106"/>
      <c r="H495" s="217"/>
      <c r="J495" s="210"/>
      <c r="K495" s="119" t="s">
        <v>101</v>
      </c>
      <c r="L495" s="142">
        <f t="shared" si="181"/>
        <v>916.73910886145973</v>
      </c>
      <c r="M495" s="142">
        <f t="shared" si="181"/>
        <v>843.64644831342969</v>
      </c>
      <c r="N495" s="142">
        <f t="shared" si="181"/>
        <v>789.2565644221861</v>
      </c>
      <c r="O495" s="142">
        <f t="shared" si="181"/>
        <v>745.11475691875683</v>
      </c>
      <c r="P495" s="142">
        <f t="shared" si="181"/>
        <v>707.45507684515769</v>
      </c>
      <c r="Q495" s="142">
        <f t="shared" si="181"/>
        <v>674.26865234013655</v>
      </c>
      <c r="R495" s="142">
        <f t="shared" si="181"/>
        <v>644.35636592491585</v>
      </c>
      <c r="S495" s="142">
        <f t="shared" si="181"/>
        <v>616.94476223913136</v>
      </c>
      <c r="T495" s="142">
        <f t="shared" si="181"/>
        <v>591.50573139248866</v>
      </c>
      <c r="U495" s="142">
        <f t="shared" si="181"/>
        <v>567.66259409491454</v>
      </c>
      <c r="V495" s="142">
        <f t="shared" si="181"/>
        <v>545.13722428989138</v>
      </c>
      <c r="W495" s="142">
        <f t="shared" si="181"/>
        <v>523.71840998403297</v>
      </c>
      <c r="X495" s="142">
        <f t="shared" si="181"/>
        <v>511.95079978487018</v>
      </c>
      <c r="Y495" s="142">
        <f t="shared" si="181"/>
        <v>500.99541678646221</v>
      </c>
      <c r="Z495" s="142">
        <f t="shared" si="181"/>
        <v>490.74734039864779</v>
      </c>
      <c r="AA495" s="142">
        <f t="shared" si="181"/>
        <v>481.12075236399409</v>
      </c>
      <c r="AB495" s="142">
        <f t="shared" si="181"/>
        <v>472.04456374186123</v>
      </c>
      <c r="AC495" s="142">
        <f t="shared" si="181"/>
        <v>463.45922580897678</v>
      </c>
      <c r="AD495" s="142">
        <f t="shared" si="181"/>
        <v>455.31435992421666</v>
      </c>
      <c r="AE495" s="142">
        <f t="shared" si="181"/>
        <v>447.56696626583823</v>
      </c>
      <c r="AF495" s="142">
        <f t="shared" si="181"/>
        <v>440.18004965564069</v>
      </c>
      <c r="AG495" s="142">
        <f t="shared" si="181"/>
        <v>433.12155109742537</v>
      </c>
      <c r="AH495" s="142">
        <f t="shared" si="181"/>
        <v>426.36350687961567</v>
      </c>
      <c r="AI495" s="142">
        <f t="shared" si="181"/>
        <v>419.8813794497857</v>
      </c>
      <c r="AJ495" s="142">
        <f t="shared" si="181"/>
        <v>413.65351960275547</v>
      </c>
      <c r="AK495" s="142">
        <f t="shared" si="181"/>
        <v>407.66073022282927</v>
      </c>
      <c r="AL495" s="142">
        <f t="shared" si="181"/>
        <v>401.88590940359268</v>
      </c>
      <c r="AM495" s="142">
        <f t="shared" si="181"/>
        <v>396.31375622071215</v>
      </c>
      <c r="AN495" s="142">
        <f t="shared" si="181"/>
        <v>390.93052640518471</v>
      </c>
      <c r="AO495" s="142">
        <f t="shared" si="181"/>
        <v>385.72382809369685</v>
      </c>
      <c r="AP495" s="142">
        <f t="shared" si="181"/>
        <v>380.68245001737029</v>
      </c>
      <c r="AQ495" s="142">
        <f t="shared" si="181"/>
        <v>375.79621613660873</v>
      </c>
    </row>
    <row r="496" spans="7:43" ht="14.1" hidden="1" customHeight="1" x14ac:dyDescent="0.25">
      <c r="G496" s="106"/>
      <c r="H496" s="217"/>
      <c r="J496" s="210"/>
      <c r="K496" s="7" t="s">
        <v>102</v>
      </c>
      <c r="L496" s="144">
        <f t="shared" si="181"/>
        <v>951.39356794785544</v>
      </c>
      <c r="M496" s="144">
        <f t="shared" si="181"/>
        <v>885.63853108022113</v>
      </c>
      <c r="N496" s="144">
        <f t="shared" si="181"/>
        <v>836.49903755876892</v>
      </c>
      <c r="O496" s="144">
        <f t="shared" si="181"/>
        <v>796.46393321767948</v>
      </c>
      <c r="P496" s="144">
        <f t="shared" si="181"/>
        <v>762.18754969447809</v>
      </c>
      <c r="Q496" s="144">
        <f t="shared" si="181"/>
        <v>731.88520559666244</v>
      </c>
      <c r="R496" s="144">
        <f t="shared" si="181"/>
        <v>704.49160517636551</v>
      </c>
      <c r="S496" s="144">
        <f t="shared" si="181"/>
        <v>679.31961083352667</v>
      </c>
      <c r="T496" s="144">
        <f t="shared" si="181"/>
        <v>655.9000498386157</v>
      </c>
      <c r="U496" s="144">
        <f t="shared" si="181"/>
        <v>633.89828037953077</v>
      </c>
      <c r="V496" s="144">
        <f t="shared" si="181"/>
        <v>613.0672153187578</v>
      </c>
      <c r="W496" s="144">
        <f t="shared" si="181"/>
        <v>593.21921396016398</v>
      </c>
      <c r="X496" s="144">
        <f t="shared" si="181"/>
        <v>582.76487122094215</v>
      </c>
      <c r="Y496" s="144">
        <f t="shared" si="181"/>
        <v>573.03211097766439</v>
      </c>
      <c r="Z496" s="144">
        <f t="shared" si="181"/>
        <v>563.92772179730559</v>
      </c>
      <c r="AA496" s="144">
        <f t="shared" si="181"/>
        <v>555.37546275572697</v>
      </c>
      <c r="AB496" s="144">
        <f t="shared" si="181"/>
        <v>547.31217845112337</v>
      </c>
      <c r="AC496" s="144">
        <f t="shared" si="181"/>
        <v>539.6849658086785</v>
      </c>
      <c r="AD496" s="144">
        <f t="shared" si="181"/>
        <v>532.44906845287255</v>
      </c>
      <c r="AE496" s="144">
        <f t="shared" si="181"/>
        <v>525.5662853499681</v>
      </c>
      <c r="AF496" s="144">
        <f t="shared" si="181"/>
        <v>519.00374999044789</v>
      </c>
      <c r="AG496" s="144">
        <f t="shared" si="181"/>
        <v>512.73298116797844</v>
      </c>
      <c r="AH496" s="144">
        <f t="shared" si="181"/>
        <v>506.72913592633148</v>
      </c>
      <c r="AI496" s="144">
        <f t="shared" si="181"/>
        <v>500.97041510843957</v>
      </c>
      <c r="AJ496" s="144">
        <f t="shared" si="181"/>
        <v>495.4375855643982</v>
      </c>
      <c r="AK496" s="144">
        <f t="shared" si="181"/>
        <v>490.11359258014932</v>
      </c>
      <c r="AL496" s="144">
        <f t="shared" si="181"/>
        <v>484.98324282517621</v>
      </c>
      <c r="AM496" s="144">
        <f t="shared" si="181"/>
        <v>480.03294296111181</v>
      </c>
      <c r="AN496" s="144">
        <f t="shared" si="181"/>
        <v>475.2504825818985</v>
      </c>
      <c r="AO496" s="144">
        <f t="shared" si="181"/>
        <v>470.62485275844517</v>
      </c>
      <c r="AP496" s="144">
        <f t="shared" si="181"/>
        <v>466.14609340153964</v>
      </c>
      <c r="AQ496" s="144">
        <f t="shared" ref="AQ496" si="182">AQ540</f>
        <v>461.805164119474</v>
      </c>
    </row>
    <row r="497" spans="7:43" ht="14.1" hidden="1" customHeight="1" thickBot="1" x14ac:dyDescent="0.3">
      <c r="G497" s="106"/>
      <c r="H497" s="217"/>
      <c r="J497" s="210"/>
      <c r="K497" s="121" t="s">
        <v>103</v>
      </c>
      <c r="L497" s="141">
        <f t="shared" ref="L497:AQ504" si="183">L541</f>
        <v>1007.7489807646267</v>
      </c>
      <c r="M497" s="141">
        <f t="shared" si="183"/>
        <v>962.74124831706843</v>
      </c>
      <c r="N497" s="141">
        <f t="shared" si="183"/>
        <v>928.84019375131106</v>
      </c>
      <c r="O497" s="141">
        <f t="shared" si="183"/>
        <v>901.02497795892214</v>
      </c>
      <c r="P497" s="141">
        <f t="shared" si="183"/>
        <v>877.05918531225473</v>
      </c>
      <c r="Q497" s="141">
        <f t="shared" si="183"/>
        <v>855.74984360839937</v>
      </c>
      <c r="R497" s="141">
        <f t="shared" si="183"/>
        <v>836.38485475499556</v>
      </c>
      <c r="S497" s="141">
        <f t="shared" si="183"/>
        <v>818.5049008816967</v>
      </c>
      <c r="T497" s="141">
        <f t="shared" si="183"/>
        <v>801.79636297110665</v>
      </c>
      <c r="U497" s="141">
        <f t="shared" si="183"/>
        <v>786.03554934276519</v>
      </c>
      <c r="V497" s="141">
        <f t="shared" si="183"/>
        <v>771.05729433293743</v>
      </c>
      <c r="W497" s="141">
        <f t="shared" si="183"/>
        <v>756.73616931578908</v>
      </c>
      <c r="X497" s="141">
        <f t="shared" si="183"/>
        <v>749.74795262908401</v>
      </c>
      <c r="Y497" s="141">
        <f t="shared" si="183"/>
        <v>743.24207854054862</v>
      </c>
      <c r="Z497" s="141">
        <f t="shared" si="183"/>
        <v>737.15623976718007</v>
      </c>
      <c r="AA497" s="141">
        <f t="shared" si="183"/>
        <v>731.43947298095634</v>
      </c>
      <c r="AB497" s="141">
        <f t="shared" si="183"/>
        <v>726.04956188538119</v>
      </c>
      <c r="AC497" s="141">
        <f t="shared" si="183"/>
        <v>720.95114336299912</v>
      </c>
      <c r="AD497" s="141">
        <f t="shared" si="183"/>
        <v>716.11429996629113</v>
      </c>
      <c r="AE497" s="141">
        <f t="shared" si="183"/>
        <v>711.51349617302765</v>
      </c>
      <c r="AF497" s="141">
        <f t="shared" si="183"/>
        <v>707.12676232945137</v>
      </c>
      <c r="AG497" s="141">
        <f t="shared" si="183"/>
        <v>702.93506014245065</v>
      </c>
      <c r="AH497" s="141">
        <f t="shared" si="183"/>
        <v>698.92178331112359</v>
      </c>
      <c r="AI497" s="141">
        <f t="shared" si="183"/>
        <v>695.07236016540207</v>
      </c>
      <c r="AJ497" s="141">
        <f t="shared" si="183"/>
        <v>691.373934285475</v>
      </c>
      <c r="AK497" s="141">
        <f t="shared" si="183"/>
        <v>687.81510542932472</v>
      </c>
      <c r="AL497" s="141">
        <f t="shared" si="183"/>
        <v>684.38571759877016</v>
      </c>
      <c r="AM497" s="141">
        <f t="shared" si="183"/>
        <v>681.07668431210902</v>
      </c>
      <c r="AN497" s="141">
        <f t="shared" si="183"/>
        <v>677.87984351023465</v>
      </c>
      <c r="AO497" s="141">
        <f t="shared" si="183"/>
        <v>674.78783626261475</v>
      </c>
      <c r="AP497" s="141">
        <f t="shared" si="183"/>
        <v>671.7940047368661</v>
      </c>
      <c r="AQ497" s="141">
        <f t="shared" si="183"/>
        <v>668.892305873395</v>
      </c>
    </row>
    <row r="498" spans="7:43" ht="14.1" hidden="1" customHeight="1" thickTop="1" x14ac:dyDescent="0.25">
      <c r="G498" s="106"/>
      <c r="H498" s="217"/>
      <c r="J498" s="210"/>
      <c r="K498" s="119" t="s">
        <v>104</v>
      </c>
      <c r="L498" s="142">
        <f t="shared" si="183"/>
        <v>937.22358841025323</v>
      </c>
      <c r="M498" s="142">
        <f t="shared" si="183"/>
        <v>862.49767681436219</v>
      </c>
      <c r="N498" s="142">
        <f t="shared" si="183"/>
        <v>806.89245428046479</v>
      </c>
      <c r="O498" s="142">
        <f t="shared" si="183"/>
        <v>761.7643007770555</v>
      </c>
      <c r="P498" s="142">
        <f t="shared" si="183"/>
        <v>723.26311744606846</v>
      </c>
      <c r="Q498" s="142">
        <f t="shared" si="183"/>
        <v>689.33514430687273</v>
      </c>
      <c r="R498" s="142">
        <f t="shared" si="183"/>
        <v>658.75446967366577</v>
      </c>
      <c r="S498" s="142">
        <f t="shared" si="183"/>
        <v>630.73035537316719</v>
      </c>
      <c r="T498" s="142">
        <f t="shared" si="183"/>
        <v>604.72289093175141</v>
      </c>
      <c r="U498" s="142">
        <f t="shared" si="183"/>
        <v>580.34698018355209</v>
      </c>
      <c r="V498" s="142">
        <f t="shared" si="183"/>
        <v>557.31828236225931</v>
      </c>
      <c r="W498" s="142">
        <f t="shared" si="183"/>
        <v>535.42086595535977</v>
      </c>
      <c r="X498" s="142">
        <f t="shared" si="183"/>
        <v>523.39030922306347</v>
      </c>
      <c r="Y498" s="142">
        <f t="shared" si="183"/>
        <v>512.19012885885013</v>
      </c>
      <c r="Z498" s="142">
        <f t="shared" si="183"/>
        <v>501.71305982836185</v>
      </c>
      <c r="AA498" s="142">
        <f t="shared" si="183"/>
        <v>491.87136627043071</v>
      </c>
      <c r="AB498" s="142">
        <f t="shared" si="183"/>
        <v>482.59237076636833</v>
      </c>
      <c r="AC498" s="142">
        <f t="shared" si="183"/>
        <v>473.81519398030775</v>
      </c>
      <c r="AD498" s="142">
        <f t="shared" si="183"/>
        <v>465.48833156345768</v>
      </c>
      <c r="AE498" s="142">
        <f t="shared" si="183"/>
        <v>457.56782286567767</v>
      </c>
      <c r="AF498" s="142">
        <f t="shared" si="183"/>
        <v>450.01584605376348</v>
      </c>
      <c r="AG498" s="142">
        <f t="shared" si="183"/>
        <v>442.79962577519905</v>
      </c>
      <c r="AH498" s="142">
        <f t="shared" si="183"/>
        <v>435.89057347097588</v>
      </c>
      <c r="AI498" s="142">
        <f t="shared" si="183"/>
        <v>429.26360329855368</v>
      </c>
      <c r="AJ498" s="142">
        <f t="shared" si="183"/>
        <v>422.89658230258146</v>
      </c>
      <c r="AK498" s="142">
        <f t="shared" si="183"/>
        <v>416.76988440898248</v>
      </c>
      <c r="AL498" s="142">
        <f t="shared" si="183"/>
        <v>410.86602557028522</v>
      </c>
      <c r="AM498" s="142">
        <f t="shared" si="183"/>
        <v>405.16936296393391</v>
      </c>
      <c r="AN498" s="142">
        <f t="shared" si="183"/>
        <v>399.66584520607188</v>
      </c>
      <c r="AO498" s="142">
        <f t="shared" si="183"/>
        <v>394.34280353795458</v>
      </c>
      <c r="AP498" s="142">
        <f t="shared" si="183"/>
        <v>389.1887761755836</v>
      </c>
      <c r="AQ498" s="142">
        <f t="shared" si="183"/>
        <v>384.19335969637768</v>
      </c>
    </row>
    <row r="499" spans="7:43" ht="14.1" hidden="1" customHeight="1" x14ac:dyDescent="0.25">
      <c r="G499" s="106"/>
      <c r="H499" s="217"/>
      <c r="J499" s="210"/>
      <c r="K499" s="7" t="s">
        <v>105</v>
      </c>
      <c r="L499" s="140">
        <f t="shared" si="183"/>
        <v>972.6523992741262</v>
      </c>
      <c r="M499" s="140">
        <f t="shared" si="183"/>
        <v>905.42807011283355</v>
      </c>
      <c r="N499" s="140">
        <f t="shared" si="183"/>
        <v>855.19055760173842</v>
      </c>
      <c r="O499" s="140">
        <f t="shared" si="183"/>
        <v>814.26087129269149</v>
      </c>
      <c r="P499" s="140">
        <f t="shared" si="183"/>
        <v>779.21858406744389</v>
      </c>
      <c r="Q499" s="140">
        <f t="shared" si="183"/>
        <v>748.23913593648285</v>
      </c>
      <c r="R499" s="140">
        <f t="shared" si="183"/>
        <v>720.23342718334266</v>
      </c>
      <c r="S499" s="140">
        <f t="shared" si="183"/>
        <v>694.49896616014303</v>
      </c>
      <c r="T499" s="140">
        <f t="shared" si="183"/>
        <v>670.55609650128963</v>
      </c>
      <c r="U499" s="140">
        <f t="shared" si="183"/>
        <v>648.06269884377252</v>
      </c>
      <c r="V499" s="140">
        <f t="shared" si="183"/>
        <v>626.76616490303979</v>
      </c>
      <c r="W499" s="140">
        <f t="shared" si="183"/>
        <v>606.47466116303303</v>
      </c>
      <c r="X499" s="140">
        <f t="shared" si="183"/>
        <v>595.78671677207888</v>
      </c>
      <c r="Y499" s="140">
        <f t="shared" si="183"/>
        <v>585.836478593989</v>
      </c>
      <c r="Z499" s="140">
        <f t="shared" si="183"/>
        <v>576.52865239194466</v>
      </c>
      <c r="AA499" s="140">
        <f t="shared" si="183"/>
        <v>567.78529364300141</v>
      </c>
      <c r="AB499" s="140">
        <f t="shared" si="183"/>
        <v>559.54183574174726</v>
      </c>
      <c r="AC499" s="140">
        <f t="shared" si="183"/>
        <v>551.74419349738173</v>
      </c>
      <c r="AD499" s="140">
        <f t="shared" si="183"/>
        <v>544.34661045589985</v>
      </c>
      <c r="AE499" s="140">
        <f t="shared" si="183"/>
        <v>537.31003198379233</v>
      </c>
      <c r="AF499" s="140">
        <f t="shared" si="183"/>
        <v>530.60085717138861</v>
      </c>
      <c r="AG499" s="140">
        <f t="shared" si="183"/>
        <v>524.18996840153443</v>
      </c>
      <c r="AH499" s="140">
        <f t="shared" si="183"/>
        <v>518.05196760365811</v>
      </c>
      <c r="AI499" s="140">
        <f t="shared" si="183"/>
        <v>512.16456851985492</v>
      </c>
      <c r="AJ499" s="140">
        <f t="shared" si="183"/>
        <v>506.50810823665739</v>
      </c>
      <c r="AK499" s="140">
        <f t="shared" si="183"/>
        <v>501.06515095346072</v>
      </c>
      <c r="AL499" s="140">
        <f t="shared" si="183"/>
        <v>495.82016384570312</v>
      </c>
      <c r="AM499" s="140">
        <f t="shared" si="183"/>
        <v>490.75924983269965</v>
      </c>
      <c r="AN499" s="140">
        <f t="shared" si="183"/>
        <v>485.86992566761324</v>
      </c>
      <c r="AO499" s="140">
        <f t="shared" si="183"/>
        <v>481.14093642750265</v>
      </c>
      <c r="AP499" s="140">
        <f t="shared" si="183"/>
        <v>476.56209946556891</v>
      </c>
      <c r="AQ499" s="140">
        <f t="shared" si="183"/>
        <v>472.12417238310218</v>
      </c>
    </row>
    <row r="500" spans="7:43" ht="14.1" hidden="1" customHeight="1" thickBot="1" x14ac:dyDescent="0.3">
      <c r="G500" s="106"/>
      <c r="H500" s="217"/>
      <c r="J500" s="210"/>
      <c r="K500" s="121" t="s">
        <v>106</v>
      </c>
      <c r="L500" s="141">
        <f t="shared" si="183"/>
        <v>1030.2670703576714</v>
      </c>
      <c r="M500" s="141">
        <f t="shared" si="183"/>
        <v>984.25364287000025</v>
      </c>
      <c r="N500" s="141">
        <f t="shared" si="183"/>
        <v>949.5950713048893</v>
      </c>
      <c r="O500" s="141">
        <f t="shared" si="183"/>
        <v>921.15832620984838</v>
      </c>
      <c r="P500" s="141">
        <f t="shared" si="183"/>
        <v>896.65701938625125</v>
      </c>
      <c r="Q500" s="141">
        <f t="shared" si="183"/>
        <v>874.87152173997845</v>
      </c>
      <c r="R500" s="141">
        <f t="shared" si="183"/>
        <v>855.07382339016954</v>
      </c>
      <c r="S500" s="141">
        <f t="shared" si="183"/>
        <v>836.79434303664254</v>
      </c>
      <c r="T500" s="141">
        <f t="shared" si="183"/>
        <v>819.7124538641599</v>
      </c>
      <c r="U500" s="141">
        <f t="shared" si="183"/>
        <v>803.59946581528675</v>
      </c>
      <c r="V500" s="141">
        <f t="shared" si="183"/>
        <v>788.28652260959211</v>
      </c>
      <c r="W500" s="141">
        <f t="shared" si="183"/>
        <v>773.64539292623738</v>
      </c>
      <c r="X500" s="141">
        <f t="shared" si="183"/>
        <v>766.50102496332124</v>
      </c>
      <c r="Y500" s="141">
        <f t="shared" si="183"/>
        <v>759.84977751455131</v>
      </c>
      <c r="Z500" s="141">
        <f t="shared" si="183"/>
        <v>753.62795104448116</v>
      </c>
      <c r="AA500" s="141">
        <f t="shared" si="183"/>
        <v>747.78344345262838</v>
      </c>
      <c r="AB500" s="141">
        <f t="shared" si="183"/>
        <v>742.27309512192289</v>
      </c>
      <c r="AC500" s="141">
        <f t="shared" si="183"/>
        <v>737.06075274820364</v>
      </c>
      <c r="AD500" s="141">
        <f t="shared" si="183"/>
        <v>732.11583038040908</v>
      </c>
      <c r="AE500" s="141">
        <f t="shared" si="183"/>
        <v>727.41222190662074</v>
      </c>
      <c r="AF500" s="141">
        <f t="shared" si="183"/>
        <v>722.92746676250636</v>
      </c>
      <c r="AG500" s="141">
        <f t="shared" si="183"/>
        <v>718.64210124545434</v>
      </c>
      <c r="AH500" s="141">
        <f t="shared" si="183"/>
        <v>714.53914798778044</v>
      </c>
      <c r="AI500" s="141">
        <f t="shared" si="183"/>
        <v>710.60370971633688</v>
      </c>
      <c r="AJ500" s="141">
        <f t="shared" si="183"/>
        <v>706.82264273539442</v>
      </c>
      <c r="AK500" s="141">
        <f t="shared" si="183"/>
        <v>703.18429206522228</v>
      </c>
      <c r="AL500" s="141">
        <f t="shared" si="183"/>
        <v>699.67827477247852</v>
      </c>
      <c r="AM500" s="141">
        <f t="shared" si="183"/>
        <v>696.29530133858066</v>
      </c>
      <c r="AN500" s="141">
        <f t="shared" si="183"/>
        <v>693.02702732370835</v>
      </c>
      <c r="AO500" s="141">
        <f t="shared" si="183"/>
        <v>689.86592936247507</v>
      </c>
      <c r="AP500" s="141">
        <f t="shared" si="183"/>
        <v>686.80520085363821</v>
      </c>
      <c r="AQ500" s="141">
        <f t="shared" si="183"/>
        <v>683.83866370580597</v>
      </c>
    </row>
    <row r="501" spans="7:43" ht="14.1" hidden="1" customHeight="1" thickTop="1" x14ac:dyDescent="0.25">
      <c r="G501" s="106"/>
      <c r="H501" s="217"/>
      <c r="J501" s="210"/>
      <c r="K501" s="119" t="s">
        <v>107</v>
      </c>
      <c r="L501" s="142">
        <f t="shared" si="183"/>
        <v>1067.5663341918623</v>
      </c>
      <c r="M501" s="142">
        <f t="shared" si="183"/>
        <v>982.44804598607027</v>
      </c>
      <c r="N501" s="142">
        <f t="shared" si="183"/>
        <v>919.10962352582499</v>
      </c>
      <c r="O501" s="142">
        <f t="shared" si="183"/>
        <v>867.70535030837209</v>
      </c>
      <c r="P501" s="142">
        <f t="shared" si="183"/>
        <v>823.84968165151508</v>
      </c>
      <c r="Q501" s="142">
        <f t="shared" si="183"/>
        <v>785.20323446572741</v>
      </c>
      <c r="R501" s="142">
        <f t="shared" si="183"/>
        <v>750.36960552275184</v>
      </c>
      <c r="S501" s="142">
        <f t="shared" si="183"/>
        <v>718.44808610868756</v>
      </c>
      <c r="T501" s="142">
        <f t="shared" si="183"/>
        <v>688.82367863678132</v>
      </c>
      <c r="U501" s="142">
        <f t="shared" si="183"/>
        <v>661.05773035950415</v>
      </c>
      <c r="V501" s="142">
        <f t="shared" si="183"/>
        <v>634.82635631140647</v>
      </c>
      <c r="W501" s="142">
        <f t="shared" si="183"/>
        <v>609.88359467921248</v>
      </c>
      <c r="X501" s="142">
        <f t="shared" si="183"/>
        <v>596.17990912561891</v>
      </c>
      <c r="Y501" s="142">
        <f t="shared" si="183"/>
        <v>583.42208309395369</v>
      </c>
      <c r="Z501" s="142">
        <f t="shared" si="183"/>
        <v>571.48793385116119</v>
      </c>
      <c r="AA501" s="142">
        <f t="shared" si="183"/>
        <v>560.27752382328106</v>
      </c>
      <c r="AB501" s="142">
        <f t="shared" si="183"/>
        <v>549.70806810561453</v>
      </c>
      <c r="AC501" s="142">
        <f t="shared" si="183"/>
        <v>539.71022067419995</v>
      </c>
      <c r="AD501" s="142">
        <f t="shared" si="183"/>
        <v>530.22531430222614</v>
      </c>
      <c r="AE501" s="142">
        <f t="shared" si="183"/>
        <v>521.2032745883447</v>
      </c>
      <c r="AF501" s="142">
        <f t="shared" si="183"/>
        <v>512.6010196934667</v>
      </c>
      <c r="AG501" s="142">
        <f t="shared" si="183"/>
        <v>504.38121608974456</v>
      </c>
      <c r="AH501" s="142">
        <f t="shared" si="183"/>
        <v>496.51129931388687</v>
      </c>
      <c r="AI501" s="142">
        <f t="shared" si="183"/>
        <v>488.96269475329109</v>
      </c>
      <c r="AJ501" s="142">
        <f t="shared" si="183"/>
        <v>481.71019135021061</v>
      </c>
      <c r="AK501" s="142">
        <f t="shared" si="183"/>
        <v>474.73143356834032</v>
      </c>
      <c r="AL501" s="142">
        <f t="shared" si="183"/>
        <v>468.00650579661703</v>
      </c>
      <c r="AM501" s="142">
        <f t="shared" si="183"/>
        <v>461.51758971405656</v>
      </c>
      <c r="AN501" s="142">
        <f t="shared" si="183"/>
        <v>455.24867976495187</v>
      </c>
      <c r="AO501" s="142">
        <f t="shared" si="183"/>
        <v>449.18534530489876</v>
      </c>
      <c r="AP501" s="142">
        <f t="shared" si="183"/>
        <v>443.31453052215943</v>
      </c>
      <c r="AQ501" s="142">
        <f t="shared" si="183"/>
        <v>437.62438515619249</v>
      </c>
    </row>
    <row r="502" spans="7:43" ht="14.1" hidden="1" customHeight="1" x14ac:dyDescent="0.25">
      <c r="G502" s="106"/>
      <c r="H502" s="217"/>
      <c r="J502" s="210"/>
      <c r="K502" s="7" t="s">
        <v>108</v>
      </c>
      <c r="L502" s="140">
        <f t="shared" si="183"/>
        <v>1107.9223455070251</v>
      </c>
      <c r="M502" s="140">
        <f t="shared" si="183"/>
        <v>1031.3489093081341</v>
      </c>
      <c r="N502" s="140">
        <f t="shared" si="183"/>
        <v>974.12470183661742</v>
      </c>
      <c r="O502" s="140">
        <f t="shared" si="183"/>
        <v>927.50279036009442</v>
      </c>
      <c r="P502" s="140">
        <f t="shared" si="183"/>
        <v>887.5870577885189</v>
      </c>
      <c r="Q502" s="140">
        <f t="shared" si="183"/>
        <v>852.29919661490533</v>
      </c>
      <c r="R502" s="140">
        <f t="shared" si="183"/>
        <v>820.39864246779018</v>
      </c>
      <c r="S502" s="140">
        <f t="shared" si="183"/>
        <v>791.08520589120815</v>
      </c>
      <c r="T502" s="140">
        <f t="shared" si="183"/>
        <v>763.81252314205517</v>
      </c>
      <c r="U502" s="140">
        <f t="shared" si="183"/>
        <v>738.19089520001057</v>
      </c>
      <c r="V502" s="140">
        <f t="shared" si="183"/>
        <v>713.93258272127207</v>
      </c>
      <c r="W502" s="140">
        <f t="shared" si="183"/>
        <v>690.81907327609883</v>
      </c>
      <c r="X502" s="140">
        <f t="shared" si="183"/>
        <v>678.64472154765849</v>
      </c>
      <c r="Y502" s="140">
        <f t="shared" si="183"/>
        <v>667.31067124474453</v>
      </c>
      <c r="Z502" s="140">
        <f t="shared" si="183"/>
        <v>656.70837524975536</v>
      </c>
      <c r="AA502" s="140">
        <f t="shared" si="183"/>
        <v>646.74904904034304</v>
      </c>
      <c r="AB502" s="140">
        <f t="shared" si="183"/>
        <v>637.35914652238102</v>
      </c>
      <c r="AC502" s="140">
        <f t="shared" si="183"/>
        <v>628.47706070092056</v>
      </c>
      <c r="AD502" s="140">
        <f t="shared" si="183"/>
        <v>620.05067162243984</v>
      </c>
      <c r="AE502" s="140">
        <f t="shared" si="183"/>
        <v>612.03549319797946</v>
      </c>
      <c r="AF502" s="140">
        <f t="shared" si="183"/>
        <v>604.39325152960726</v>
      </c>
      <c r="AG502" s="140">
        <f t="shared" si="183"/>
        <v>597.0907795180417</v>
      </c>
      <c r="AH502" s="140">
        <f t="shared" si="183"/>
        <v>590.09914690007633</v>
      </c>
      <c r="AI502" s="140">
        <f t="shared" si="183"/>
        <v>583.39296799512431</v>
      </c>
      <c r="AJ502" s="140">
        <f t="shared" si="183"/>
        <v>576.94984530411523</v>
      </c>
      <c r="AK502" s="140">
        <f t="shared" si="183"/>
        <v>570.749918172702</v>
      </c>
      <c r="AL502" s="140">
        <f t="shared" si="183"/>
        <v>564.77549357567477</v>
      </c>
      <c r="AM502" s="140">
        <f t="shared" si="183"/>
        <v>559.01074171994435</v>
      </c>
      <c r="AN502" s="140">
        <f t="shared" si="183"/>
        <v>553.44144327276081</v>
      </c>
      <c r="AO502" s="140">
        <f t="shared" si="183"/>
        <v>548.05477805228657</v>
      </c>
      <c r="AP502" s="140">
        <f t="shared" si="183"/>
        <v>542.83914727777164</v>
      </c>
      <c r="AQ502" s="140">
        <f t="shared" si="183"/>
        <v>537.78402317992845</v>
      </c>
    </row>
    <row r="503" spans="7:43" ht="14.1" hidden="1" customHeight="1" thickBot="1" x14ac:dyDescent="0.3">
      <c r="G503" s="106"/>
      <c r="H503" s="217"/>
      <c r="J503" s="210"/>
      <c r="K503" s="121" t="s">
        <v>109</v>
      </c>
      <c r="L503" s="141">
        <f t="shared" si="183"/>
        <v>1173.5496770903683</v>
      </c>
      <c r="M503" s="141">
        <f t="shared" si="183"/>
        <v>1121.1370119440085</v>
      </c>
      <c r="N503" s="141">
        <f t="shared" si="183"/>
        <v>1081.6583596227915</v>
      </c>
      <c r="O503" s="141">
        <f t="shared" si="183"/>
        <v>1049.2668235017732</v>
      </c>
      <c r="P503" s="141">
        <f t="shared" si="183"/>
        <v>1021.3580399072996</v>
      </c>
      <c r="Q503" s="141">
        <f t="shared" si="183"/>
        <v>996.54276194334329</v>
      </c>
      <c r="R503" s="141">
        <f t="shared" si="183"/>
        <v>973.99173301694577</v>
      </c>
      <c r="S503" s="141">
        <f t="shared" si="183"/>
        <v>953.1700656226709</v>
      </c>
      <c r="T503" s="141">
        <f t="shared" si="183"/>
        <v>933.71254232679291</v>
      </c>
      <c r="U503" s="141">
        <f t="shared" si="183"/>
        <v>915.35866839859739</v>
      </c>
      <c r="V503" s="141">
        <f t="shared" si="183"/>
        <v>897.91610416318281</v>
      </c>
      <c r="W503" s="141">
        <f t="shared" si="183"/>
        <v>881.23878475106744</v>
      </c>
      <c r="X503" s="141">
        <f t="shared" si="183"/>
        <v>873.10082619922878</v>
      </c>
      <c r="Y503" s="141">
        <f t="shared" si="183"/>
        <v>865.52456804216445</v>
      </c>
      <c r="Z503" s="141">
        <f t="shared" si="183"/>
        <v>858.43745184196575</v>
      </c>
      <c r="AA503" s="141">
        <f t="shared" si="183"/>
        <v>851.78012948885009</v>
      </c>
      <c r="AB503" s="141">
        <f t="shared" si="183"/>
        <v>845.50343901682527</v>
      </c>
      <c r="AC503" s="141">
        <f t="shared" si="183"/>
        <v>839.56619916362968</v>
      </c>
      <c r="AD503" s="141">
        <f t="shared" si="183"/>
        <v>833.93357029008178</v>
      </c>
      <c r="AE503" s="141">
        <f t="shared" si="183"/>
        <v>828.57581562200573</v>
      </c>
      <c r="AF503" s="141">
        <f t="shared" si="183"/>
        <v>823.46735093102268</v>
      </c>
      <c r="AG503" s="141">
        <f t="shared" si="183"/>
        <v>818.58600563382254</v>
      </c>
      <c r="AH503" s="141">
        <f t="shared" si="183"/>
        <v>813.91244126474248</v>
      </c>
      <c r="AI503" s="141">
        <f t="shared" si="183"/>
        <v>809.42968873819768</v>
      </c>
      <c r="AJ503" s="141">
        <f t="shared" si="183"/>
        <v>805.12277642176161</v>
      </c>
      <c r="AK503" s="141">
        <f t="shared" si="183"/>
        <v>800.97842843960223</v>
      </c>
      <c r="AL503" s="141">
        <f t="shared" si="183"/>
        <v>796.98481786992306</v>
      </c>
      <c r="AM503" s="141">
        <f t="shared" si="183"/>
        <v>793.13136327044936</v>
      </c>
      <c r="AN503" s="141">
        <f t="shared" si="183"/>
        <v>789.40855971285862</v>
      </c>
      <c r="AO503" s="141">
        <f t="shared" si="183"/>
        <v>785.80783753276546</v>
      </c>
      <c r="AP503" s="141">
        <f t="shared" si="183"/>
        <v>782.32144351265993</v>
      </c>
      <c r="AQ503" s="141">
        <f t="shared" si="183"/>
        <v>778.94234035379975</v>
      </c>
    </row>
    <row r="504" spans="7:43" ht="14.1" hidden="1" customHeight="1" thickTop="1" x14ac:dyDescent="0.25">
      <c r="G504" s="106"/>
      <c r="H504" s="217"/>
      <c r="J504" s="210"/>
      <c r="K504" s="119" t="s">
        <v>110</v>
      </c>
      <c r="L504" s="142">
        <f t="shared" si="183"/>
        <v>1015.8517892028588</v>
      </c>
      <c r="M504" s="142">
        <f t="shared" si="183"/>
        <v>934.85676097991131</v>
      </c>
      <c r="N504" s="142">
        <f t="shared" si="183"/>
        <v>874.58654851556514</v>
      </c>
      <c r="O504" s="142">
        <f t="shared" si="183"/>
        <v>825.67237686350427</v>
      </c>
      <c r="P504" s="142">
        <f t="shared" si="183"/>
        <v>783.94114382918372</v>
      </c>
      <c r="Q504" s="142">
        <f t="shared" si="183"/>
        <v>747.16678961564912</v>
      </c>
      <c r="R504" s="142">
        <f t="shared" si="183"/>
        <v>714.02055490140356</v>
      </c>
      <c r="S504" s="142">
        <f t="shared" si="183"/>
        <v>683.64536267936853</v>
      </c>
      <c r="T504" s="142">
        <f t="shared" si="183"/>
        <v>655.45600678590893</v>
      </c>
      <c r="U504" s="142">
        <f t="shared" si="183"/>
        <v>629.0350834830607</v>
      </c>
      <c r="V504" s="142">
        <f t="shared" si="183"/>
        <v>604.0743972881545</v>
      </c>
      <c r="W504" s="142">
        <f t="shared" si="183"/>
        <v>580.33990115409881</v>
      </c>
      <c r="X504" s="142">
        <f t="shared" si="183"/>
        <v>567.30004307462002</v>
      </c>
      <c r="Y504" s="142">
        <f t="shared" si="183"/>
        <v>555.16022563609374</v>
      </c>
      <c r="Z504" s="142">
        <f t="shared" si="183"/>
        <v>543.80418482380844</v>
      </c>
      <c r="AA504" s="142">
        <f t="shared" si="183"/>
        <v>533.13682419263932</v>
      </c>
      <c r="AB504" s="142">
        <f t="shared" si="183"/>
        <v>523.07936906520717</v>
      </c>
      <c r="AC504" s="142">
        <f t="shared" si="183"/>
        <v>513.56583264494532</v>
      </c>
      <c r="AD504" s="142">
        <f t="shared" si="183"/>
        <v>504.54038963518138</v>
      </c>
      <c r="AE504" s="142">
        <f t="shared" si="183"/>
        <v>495.95539131510645</v>
      </c>
      <c r="AF504" s="142">
        <f t="shared" si="183"/>
        <v>487.76984279576703</v>
      </c>
      <c r="AG504" s="142">
        <f t="shared" si="183"/>
        <v>479.94821904246817</v>
      </c>
      <c r="AH504" s="142">
        <f t="shared" si="183"/>
        <v>472.45953306429476</v>
      </c>
      <c r="AI504" s="142">
        <f t="shared" si="183"/>
        <v>465.2765944465545</v>
      </c>
      <c r="AJ504" s="142">
        <f t="shared" si="183"/>
        <v>458.37541339367294</v>
      </c>
      <c r="AK504" s="142">
        <f t="shared" si="183"/>
        <v>451.73471730569361</v>
      </c>
      <c r="AL504" s="142">
        <f t="shared" si="183"/>
        <v>445.33555531419404</v>
      </c>
      <c r="AM504" s="142">
        <f t="shared" si="183"/>
        <v>439.16097224489357</v>
      </c>
      <c r="AN504" s="142">
        <f t="shared" si="183"/>
        <v>433.19573787566787</v>
      </c>
      <c r="AO504" s="142">
        <f t="shared" si="183"/>
        <v>427.4261206045847</v>
      </c>
      <c r="AP504" s="142">
        <f t="shared" si="183"/>
        <v>421.83969706338246</v>
      </c>
      <c r="AQ504" s="142">
        <f t="shared" ref="AQ504" si="184">AQ548</f>
        <v>416.42519103625352</v>
      </c>
    </row>
    <row r="505" spans="7:43" ht="14.1" hidden="1" customHeight="1" x14ac:dyDescent="0.25">
      <c r="G505" s="106"/>
      <c r="H505" s="217"/>
      <c r="J505" s="210"/>
      <c r="K505" s="7" t="s">
        <v>111</v>
      </c>
      <c r="L505" s="140">
        <f t="shared" ref="L505:AQ512" si="185">L549</f>
        <v>1054.2528936462959</v>
      </c>
      <c r="M505" s="140">
        <f t="shared" si="185"/>
        <v>981.38879173834391</v>
      </c>
      <c r="N505" s="140">
        <f t="shared" si="185"/>
        <v>926.93661234317722</v>
      </c>
      <c r="O505" s="140">
        <f t="shared" si="185"/>
        <v>882.57313751954018</v>
      </c>
      <c r="P505" s="140">
        <f t="shared" si="185"/>
        <v>844.59098404439089</v>
      </c>
      <c r="Q505" s="140">
        <f t="shared" si="185"/>
        <v>811.01252080304732</v>
      </c>
      <c r="R505" s="140">
        <f t="shared" si="185"/>
        <v>780.65727825838542</v>
      </c>
      <c r="S505" s="140">
        <f t="shared" si="185"/>
        <v>752.76382935476556</v>
      </c>
      <c r="T505" s="140">
        <f t="shared" si="185"/>
        <v>726.81227704390938</v>
      </c>
      <c r="U505" s="140">
        <f t="shared" si="185"/>
        <v>702.43179992169041</v>
      </c>
      <c r="V505" s="140">
        <f t="shared" si="185"/>
        <v>679.34859717792551</v>
      </c>
      <c r="W505" s="140">
        <f t="shared" si="185"/>
        <v>657.3547414589641</v>
      </c>
      <c r="X505" s="140">
        <f t="shared" si="185"/>
        <v>645.77013393658194</v>
      </c>
      <c r="Y505" s="140">
        <f t="shared" si="185"/>
        <v>634.98512235428416</v>
      </c>
      <c r="Z505" s="140">
        <f t="shared" si="185"/>
        <v>624.89641778275882</v>
      </c>
      <c r="AA505" s="140">
        <f t="shared" si="185"/>
        <v>615.4195365576262</v>
      </c>
      <c r="AB505" s="140">
        <f t="shared" si="185"/>
        <v>606.48449526997376</v>
      </c>
      <c r="AC505" s="140">
        <f t="shared" si="185"/>
        <v>598.03267126185335</v>
      </c>
      <c r="AD505" s="140">
        <f t="shared" si="185"/>
        <v>590.01446934995624</v>
      </c>
      <c r="AE505" s="140">
        <f t="shared" si="185"/>
        <v>582.38755841946886</v>
      </c>
      <c r="AF505" s="140">
        <f t="shared" si="185"/>
        <v>575.11551861857606</v>
      </c>
      <c r="AG505" s="140">
        <f t="shared" si="185"/>
        <v>568.1667895129807</v>
      </c>
      <c r="AH505" s="140">
        <f t="shared" si="185"/>
        <v>561.51384226564585</v>
      </c>
      <c r="AI505" s="140">
        <f t="shared" si="185"/>
        <v>555.13252091715367</v>
      </c>
      <c r="AJ505" s="140">
        <f t="shared" si="185"/>
        <v>549.00151293752333</v>
      </c>
      <c r="AK505" s="140">
        <f t="shared" si="185"/>
        <v>543.10191975286079</v>
      </c>
      <c r="AL505" s="140">
        <f t="shared" si="185"/>
        <v>537.41690541514095</v>
      </c>
      <c r="AM505" s="140">
        <f t="shared" si="185"/>
        <v>531.93140695064767</v>
      </c>
      <c r="AN505" s="140">
        <f t="shared" si="185"/>
        <v>526.63189383284328</v>
      </c>
      <c r="AO505" s="140">
        <f t="shared" si="185"/>
        <v>521.50616690909396</v>
      </c>
      <c r="AP505" s="140">
        <f t="shared" si="185"/>
        <v>516.54318926131793</v>
      </c>
      <c r="AQ505" s="140">
        <f t="shared" si="185"/>
        <v>511.73294310146321</v>
      </c>
    </row>
    <row r="506" spans="7:43" ht="14.1" hidden="1" customHeight="1" thickBot="1" x14ac:dyDescent="0.3">
      <c r="G506" s="106"/>
      <c r="H506" s="217"/>
      <c r="J506" s="210"/>
      <c r="K506" s="121" t="s">
        <v>112</v>
      </c>
      <c r="L506" s="141">
        <f t="shared" si="185"/>
        <v>1116.7011369772501</v>
      </c>
      <c r="M506" s="141">
        <f t="shared" si="185"/>
        <v>1066.8274214426322</v>
      </c>
      <c r="N506" s="141">
        <f t="shared" si="185"/>
        <v>1029.2611753824428</v>
      </c>
      <c r="O506" s="141">
        <f t="shared" si="185"/>
        <v>998.43873478115279</v>
      </c>
      <c r="P506" s="141">
        <f t="shared" si="185"/>
        <v>971.88189532219496</v>
      </c>
      <c r="Q506" s="141">
        <f t="shared" si="185"/>
        <v>948.26870735263071</v>
      </c>
      <c r="R506" s="141">
        <f t="shared" si="185"/>
        <v>926.81008473637155</v>
      </c>
      <c r="S506" s="141">
        <f t="shared" si="185"/>
        <v>906.99705073631333</v>
      </c>
      <c r="T506" s="141">
        <f t="shared" si="185"/>
        <v>888.48207960944956</v>
      </c>
      <c r="U506" s="141">
        <f t="shared" si="185"/>
        <v>871.01729538798475</v>
      </c>
      <c r="V506" s="141">
        <f t="shared" si="185"/>
        <v>854.41967562485797</v>
      </c>
      <c r="W506" s="141">
        <f t="shared" si="185"/>
        <v>838.55023105612338</v>
      </c>
      <c r="X506" s="141">
        <f t="shared" si="185"/>
        <v>830.80648765529565</v>
      </c>
      <c r="Y506" s="141">
        <f t="shared" si="185"/>
        <v>823.59723502356792</v>
      </c>
      <c r="Z506" s="141">
        <f t="shared" si="185"/>
        <v>816.85342956466843</v>
      </c>
      <c r="AA506" s="141">
        <f t="shared" si="185"/>
        <v>810.51859808196525</v>
      </c>
      <c r="AB506" s="141">
        <f t="shared" si="185"/>
        <v>804.54596009024203</v>
      </c>
      <c r="AC506" s="141">
        <f t="shared" si="185"/>
        <v>798.89632921052635</v>
      </c>
      <c r="AD506" s="141">
        <f t="shared" si="185"/>
        <v>793.53655348901043</v>
      </c>
      <c r="AE506" s="141">
        <f t="shared" si="185"/>
        <v>788.43833664631177</v>
      </c>
      <c r="AF506" s="141">
        <f t="shared" si="185"/>
        <v>783.57733379317926</v>
      </c>
      <c r="AG506" s="141">
        <f t="shared" si="185"/>
        <v>778.93244832324592</v>
      </c>
      <c r="AH506" s="141">
        <f t="shared" si="185"/>
        <v>774.48527855568443</v>
      </c>
      <c r="AI506" s="141">
        <f t="shared" si="185"/>
        <v>770.2196774133522</v>
      </c>
      <c r="AJ506" s="141">
        <f t="shared" si="185"/>
        <v>766.12139851258166</v>
      </c>
      <c r="AK506" s="141">
        <f t="shared" si="185"/>
        <v>762.17780908125815</v>
      </c>
      <c r="AL506" s="141">
        <f t="shared" si="185"/>
        <v>758.37765511175417</v>
      </c>
      <c r="AM506" s="141">
        <f t="shared" si="185"/>
        <v>754.7108677430324</v>
      </c>
      <c r="AN506" s="141">
        <f t="shared" si="185"/>
        <v>751.16840248002632</v>
      </c>
      <c r="AO506" s="141">
        <f t="shared" si="185"/>
        <v>747.74210478599218</v>
      </c>
      <c r="AP506" s="141">
        <f t="shared" si="185"/>
        <v>744.42459702112683</v>
      </c>
      <c r="AQ506" s="141">
        <f t="shared" si="185"/>
        <v>741.20918278419549</v>
      </c>
    </row>
    <row r="507" spans="7:43" ht="14.1" hidden="1" customHeight="1" thickTop="1" x14ac:dyDescent="0.25">
      <c r="G507" s="106"/>
      <c r="H507" s="217"/>
      <c r="J507" s="210"/>
      <c r="K507" s="119" t="s">
        <v>113</v>
      </c>
      <c r="L507" s="142">
        <f t="shared" si="185"/>
        <v>800.44645172160642</v>
      </c>
      <c r="M507" s="142">
        <f t="shared" si="185"/>
        <v>736.62593810217027</v>
      </c>
      <c r="N507" s="142">
        <f t="shared" si="185"/>
        <v>689.13566617042557</v>
      </c>
      <c r="O507" s="142">
        <f t="shared" si="185"/>
        <v>650.59345405450517</v>
      </c>
      <c r="P507" s="142">
        <f t="shared" si="185"/>
        <v>617.71108109092438</v>
      </c>
      <c r="Q507" s="142">
        <f t="shared" si="185"/>
        <v>588.73451023930863</v>
      </c>
      <c r="R507" s="142">
        <f t="shared" si="185"/>
        <v>562.61673769911454</v>
      </c>
      <c r="S507" s="142">
        <f t="shared" si="185"/>
        <v>538.68242455135828</v>
      </c>
      <c r="T507" s="142">
        <f t="shared" si="185"/>
        <v>516.47045412312946</v>
      </c>
      <c r="U507" s="142">
        <f t="shared" si="185"/>
        <v>495.65193065961427</v>
      </c>
      <c r="V507" s="142">
        <f t="shared" si="185"/>
        <v>475.98400969948364</v>
      </c>
      <c r="W507" s="142">
        <f t="shared" si="185"/>
        <v>457.28227248168241</v>
      </c>
      <c r="X507" s="142">
        <f t="shared" si="185"/>
        <v>447.00743884786789</v>
      </c>
      <c r="Y507" s="142">
        <f t="shared" si="185"/>
        <v>437.44179758356341</v>
      </c>
      <c r="Z507" s="142">
        <f t="shared" si="185"/>
        <v>428.49373776773888</v>
      </c>
      <c r="AA507" s="142">
        <f t="shared" si="185"/>
        <v>420.08832759156115</v>
      </c>
      <c r="AB507" s="142">
        <f t="shared" si="185"/>
        <v>412.16349608004748</v>
      </c>
      <c r="AC507" s="142">
        <f t="shared" si="185"/>
        <v>404.66724854486478</v>
      </c>
      <c r="AD507" s="142">
        <f t="shared" si="185"/>
        <v>397.55559711188351</v>
      </c>
      <c r="AE507" s="142">
        <f t="shared" si="185"/>
        <v>390.79099668849665</v>
      </c>
      <c r="AF507" s="142">
        <f t="shared" si="185"/>
        <v>384.3411451084333</v>
      </c>
      <c r="AG507" s="142">
        <f t="shared" si="185"/>
        <v>378.17805020957763</v>
      </c>
      <c r="AH507" s="142">
        <f t="shared" si="185"/>
        <v>372.27729560836758</v>
      </c>
      <c r="AI507" s="142">
        <f t="shared" si="185"/>
        <v>366.61745645602826</v>
      </c>
      <c r="AJ507" s="142">
        <f t="shared" si="185"/>
        <v>361.17962985063127</v>
      </c>
      <c r="AK507" s="142">
        <f t="shared" si="185"/>
        <v>355.94705392067624</v>
      </c>
      <c r="AL507" s="142">
        <f t="shared" si="185"/>
        <v>350.90479621681675</v>
      </c>
      <c r="AM507" s="142">
        <f t="shared" si="185"/>
        <v>346.03949680876013</v>
      </c>
      <c r="AN507" s="142">
        <f t="shared" si="185"/>
        <v>341.33915495251227</v>
      </c>
      <c r="AO507" s="142">
        <f t="shared" si="185"/>
        <v>336.79295075076141</v>
      </c>
      <c r="AP507" s="142">
        <f t="shared" si="185"/>
        <v>332.39109513668774</v>
      </c>
      <c r="AQ507" s="142">
        <f t="shared" si="185"/>
        <v>328.12470294906205</v>
      </c>
    </row>
    <row r="508" spans="7:43" ht="14.1" hidden="1" customHeight="1" x14ac:dyDescent="0.25">
      <c r="G508" s="106"/>
      <c r="H508" s="217"/>
      <c r="J508" s="210"/>
      <c r="K508" s="7" t="s">
        <v>114</v>
      </c>
      <c r="L508" s="140">
        <f t="shared" si="185"/>
        <v>830.70483008018584</v>
      </c>
      <c r="M508" s="140">
        <f t="shared" si="185"/>
        <v>773.29112815043061</v>
      </c>
      <c r="N508" s="140">
        <f t="shared" si="185"/>
        <v>730.38520993614884</v>
      </c>
      <c r="O508" s="140">
        <f t="shared" si="185"/>
        <v>695.42874641848721</v>
      </c>
      <c r="P508" s="140">
        <f t="shared" si="185"/>
        <v>665.50048296404589</v>
      </c>
      <c r="Q508" s="140">
        <f t="shared" si="185"/>
        <v>639.04213338837701</v>
      </c>
      <c r="R508" s="140">
        <f t="shared" si="185"/>
        <v>615.1235397074131</v>
      </c>
      <c r="S508" s="140">
        <f t="shared" si="185"/>
        <v>593.14473094959169</v>
      </c>
      <c r="T508" s="140">
        <f t="shared" si="185"/>
        <v>572.69605114740034</v>
      </c>
      <c r="U508" s="140">
        <f t="shared" si="185"/>
        <v>553.48530937268367</v>
      </c>
      <c r="V508" s="140">
        <f t="shared" si="185"/>
        <v>535.2967626506113</v>
      </c>
      <c r="W508" s="140">
        <f t="shared" si="185"/>
        <v>517.96657338773241</v>
      </c>
      <c r="X508" s="140">
        <f t="shared" si="185"/>
        <v>508.83841307494237</v>
      </c>
      <c r="Y508" s="140">
        <f t="shared" si="185"/>
        <v>500.34029913294614</v>
      </c>
      <c r="Z508" s="140">
        <f t="shared" si="185"/>
        <v>492.39084443632953</v>
      </c>
      <c r="AA508" s="140">
        <f t="shared" si="185"/>
        <v>484.92347957989017</v>
      </c>
      <c r="AB508" s="140">
        <f t="shared" si="185"/>
        <v>477.88306072085595</v>
      </c>
      <c r="AC508" s="140">
        <f t="shared" si="185"/>
        <v>471.22339578766309</v>
      </c>
      <c r="AD508" s="140">
        <f t="shared" si="185"/>
        <v>464.9054059610155</v>
      </c>
      <c r="AE508" s="140">
        <f t="shared" si="185"/>
        <v>458.89573618753815</v>
      </c>
      <c r="AF508" s="140">
        <f t="shared" si="185"/>
        <v>453.16568922864991</v>
      </c>
      <c r="AG508" s="140">
        <f t="shared" si="185"/>
        <v>447.69039685266955</v>
      </c>
      <c r="AH508" s="140">
        <f t="shared" si="185"/>
        <v>442.44816754892531</v>
      </c>
      <c r="AI508" s="140">
        <f t="shared" si="185"/>
        <v>437.41996748570148</v>
      </c>
      <c r="AJ508" s="140">
        <f t="shared" si="185"/>
        <v>432.58900332839761</v>
      </c>
      <c r="AK508" s="140">
        <f t="shared" si="185"/>
        <v>427.94038383345168</v>
      </c>
      <c r="AL508" s="140">
        <f t="shared" si="185"/>
        <v>423.46084301560751</v>
      </c>
      <c r="AM508" s="140">
        <f t="shared" si="185"/>
        <v>419.13851191524736</v>
      </c>
      <c r="AN508" s="140">
        <f t="shared" si="185"/>
        <v>414.96272907361129</v>
      </c>
      <c r="AO508" s="140">
        <f t="shared" si="185"/>
        <v>410.92388209591525</v>
      </c>
      <c r="AP508" s="140">
        <f t="shared" si="185"/>
        <v>407.01327437699467</v>
      </c>
      <c r="AQ508" s="140">
        <f t="shared" si="185"/>
        <v>403.22301234124581</v>
      </c>
    </row>
    <row r="509" spans="7:43" ht="14.1" hidden="1" customHeight="1" thickBot="1" x14ac:dyDescent="0.3">
      <c r="G509" s="106"/>
      <c r="H509" s="217"/>
      <c r="J509" s="210"/>
      <c r="K509" s="121" t="s">
        <v>115</v>
      </c>
      <c r="L509" s="141">
        <f t="shared" si="185"/>
        <v>879.91129437133452</v>
      </c>
      <c r="M509" s="141">
        <f t="shared" si="185"/>
        <v>840.61300395321757</v>
      </c>
      <c r="N509" s="141">
        <f t="shared" si="185"/>
        <v>811.01245721699013</v>
      </c>
      <c r="O509" s="141">
        <f t="shared" si="185"/>
        <v>786.72573205203037</v>
      </c>
      <c r="P509" s="141">
        <f t="shared" si="185"/>
        <v>765.8001126459319</v>
      </c>
      <c r="Q509" s="141">
        <f t="shared" si="185"/>
        <v>747.19396091694318</v>
      </c>
      <c r="R509" s="141">
        <f t="shared" si="185"/>
        <v>730.28551175676</v>
      </c>
      <c r="S509" s="141">
        <f t="shared" si="185"/>
        <v>714.67371392192922</v>
      </c>
      <c r="T509" s="141">
        <f t="shared" si="185"/>
        <v>700.08473243885726</v>
      </c>
      <c r="U509" s="141">
        <f t="shared" si="185"/>
        <v>686.32325196627289</v>
      </c>
      <c r="V509" s="141">
        <f t="shared" si="185"/>
        <v>673.24505887981445</v>
      </c>
      <c r="W509" s="141">
        <f t="shared" si="185"/>
        <v>660.74063576332412</v>
      </c>
      <c r="X509" s="141">
        <f t="shared" si="185"/>
        <v>654.63890715082732</v>
      </c>
      <c r="Y509" s="141">
        <f t="shared" si="185"/>
        <v>648.95833371485458</v>
      </c>
      <c r="Z509" s="141">
        <f t="shared" si="185"/>
        <v>643.64451214358701</v>
      </c>
      <c r="AA509" s="141">
        <f t="shared" si="185"/>
        <v>638.65294404627332</v>
      </c>
      <c r="AB509" s="141">
        <f t="shared" si="185"/>
        <v>633.94676846169909</v>
      </c>
      <c r="AC509" s="141">
        <f t="shared" si="185"/>
        <v>629.49510824977597</v>
      </c>
      <c r="AD509" s="141">
        <f t="shared" si="185"/>
        <v>625.27184113157011</v>
      </c>
      <c r="AE509" s="141">
        <f t="shared" si="185"/>
        <v>621.25467088565483</v>
      </c>
      <c r="AF509" s="141">
        <f t="shared" si="185"/>
        <v>617.42441481193009</v>
      </c>
      <c r="AG509" s="141">
        <f t="shared" si="185"/>
        <v>613.76444971408944</v>
      </c>
      <c r="AH509" s="141">
        <f t="shared" si="185"/>
        <v>610.26027587841452</v>
      </c>
      <c r="AI509" s="141">
        <f t="shared" si="185"/>
        <v>606.89917011955299</v>
      </c>
      <c r="AJ509" s="141">
        <f t="shared" si="185"/>
        <v>603.66990691486706</v>
      </c>
      <c r="AK509" s="141">
        <f t="shared" si="185"/>
        <v>600.5625321965266</v>
      </c>
      <c r="AL509" s="141">
        <f t="shared" si="185"/>
        <v>597.56817830237037</v>
      </c>
      <c r="AM509" s="141">
        <f t="shared" si="185"/>
        <v>594.67891141353209</v>
      </c>
      <c r="AN509" s="141">
        <f t="shared" si="185"/>
        <v>591.88760486639751</v>
      </c>
      <c r="AO509" s="141">
        <f t="shared" si="185"/>
        <v>589.18783324529954</v>
      </c>
      <c r="AP509" s="141">
        <f t="shared" si="185"/>
        <v>586.57378329512994</v>
      </c>
      <c r="AQ509" s="141">
        <f t="shared" si="185"/>
        <v>584.04017854675772</v>
      </c>
    </row>
    <row r="510" spans="7:43" ht="14.1" customHeight="1" thickTop="1" x14ac:dyDescent="0.25">
      <c r="G510" s="106"/>
      <c r="H510" s="217"/>
      <c r="J510" s="210"/>
      <c r="K510" s="119" t="s">
        <v>116</v>
      </c>
      <c r="L510" s="142">
        <f t="shared" si="185"/>
        <v>1023.0804760028153</v>
      </c>
      <c r="M510" s="142">
        <f t="shared" si="185"/>
        <v>945.21062814828019</v>
      </c>
      <c r="N510" s="142">
        <f t="shared" si="185"/>
        <v>887.21332932073631</v>
      </c>
      <c r="O510" s="142">
        <f t="shared" si="185"/>
        <v>840.10507676618931</v>
      </c>
      <c r="P510" s="142">
        <f t="shared" si="185"/>
        <v>799.88437879844662</v>
      </c>
      <c r="Q510" s="142">
        <f t="shared" si="185"/>
        <v>764.41671789189184</v>
      </c>
      <c r="R510" s="142">
        <f t="shared" si="185"/>
        <v>732.42797730314408</v>
      </c>
      <c r="S510" s="142">
        <f t="shared" si="185"/>
        <v>703.09632560839384</v>
      </c>
      <c r="T510" s="142">
        <f t="shared" si="185"/>
        <v>675.86062208083399</v>
      </c>
      <c r="U510" s="142">
        <f t="shared" si="185"/>
        <v>650.32062787909865</v>
      </c>
      <c r="V510" s="142">
        <f t="shared" si="185"/>
        <v>626.18082144533253</v>
      </c>
      <c r="W510" s="142">
        <f t="shared" si="185"/>
        <v>603.21678045066972</v>
      </c>
      <c r="X510" s="142">
        <f t="shared" si="185"/>
        <v>590.71316053878184</v>
      </c>
      <c r="Y510" s="142">
        <f t="shared" si="185"/>
        <v>579.07256889078553</v>
      </c>
      <c r="Z510" s="142">
        <f t="shared" si="185"/>
        <v>568.18352261779285</v>
      </c>
      <c r="AA510" s="142">
        <f t="shared" si="185"/>
        <v>557.95483592640335</v>
      </c>
      <c r="AB510" s="142">
        <f t="shared" si="185"/>
        <v>548.3109735908015</v>
      </c>
      <c r="AC510" s="142">
        <f t="shared" si="185"/>
        <v>539.18866238988016</v>
      </c>
      <c r="AD510" s="142">
        <f t="shared" si="185"/>
        <v>530.53437273100042</v>
      </c>
      <c r="AE510" s="142">
        <f t="shared" si="185"/>
        <v>522.30241535200537</v>
      </c>
      <c r="AF510" s="142">
        <f t="shared" si="185"/>
        <v>514.45348119702373</v>
      </c>
      <c r="AG510" s="142">
        <f t="shared" si="185"/>
        <v>506.95350612759034</v>
      </c>
      <c r="AH510" s="142">
        <f t="shared" si="185"/>
        <v>499.77277743101638</v>
      </c>
      <c r="AI510" s="142">
        <f t="shared" si="185"/>
        <v>492.8852228442081</v>
      </c>
      <c r="AJ510" s="142">
        <f t="shared" si="185"/>
        <v>486.26783910410825</v>
      </c>
      <c r="AK510" s="142">
        <f t="shared" si="185"/>
        <v>479.90022840402514</v>
      </c>
      <c r="AL510" s="142">
        <f t="shared" si="185"/>
        <v>473.76421919222054</v>
      </c>
      <c r="AM510" s="142">
        <f t="shared" si="185"/>
        <v>467.84355354215404</v>
      </c>
      <c r="AN510" s="142">
        <f t="shared" si="185"/>
        <v>462.12362754422406</v>
      </c>
      <c r="AO510" s="142">
        <f t="shared" si="185"/>
        <v>456.59127428125277</v>
      </c>
      <c r="AP510" s="142">
        <f t="shared" si="185"/>
        <v>451.23458127123143</v>
      </c>
      <c r="AQ510" s="142">
        <f t="shared" si="185"/>
        <v>446.04273601024738</v>
      </c>
    </row>
    <row r="511" spans="7:43" ht="14.1" customHeight="1" x14ac:dyDescent="0.25">
      <c r="G511" s="106"/>
      <c r="H511" s="217"/>
      <c r="J511" s="210"/>
      <c r="K511" s="7" t="s">
        <v>117</v>
      </c>
      <c r="L511" s="140">
        <f t="shared" si="185"/>
        <v>1060.1013246805503</v>
      </c>
      <c r="M511" s="140">
        <f t="shared" si="185"/>
        <v>991.60630210107013</v>
      </c>
      <c r="N511" s="140">
        <f t="shared" si="185"/>
        <v>940.50621757564602</v>
      </c>
      <c r="O511" s="140">
        <f t="shared" si="185"/>
        <v>898.93758697337751</v>
      </c>
      <c r="P511" s="140">
        <f t="shared" si="185"/>
        <v>863.39780476991155</v>
      </c>
      <c r="Q511" s="140">
        <f t="shared" si="185"/>
        <v>832.01847451127185</v>
      </c>
      <c r="R511" s="140">
        <f t="shared" si="185"/>
        <v>803.68433001823541</v>
      </c>
      <c r="S511" s="140">
        <f t="shared" si="185"/>
        <v>777.67600173792709</v>
      </c>
      <c r="T511" s="140">
        <f t="shared" si="185"/>
        <v>753.50230918971465</v>
      </c>
      <c r="U511" s="140">
        <f t="shared" si="185"/>
        <v>730.81291332837316</v>
      </c>
      <c r="V511" s="140">
        <f t="shared" si="185"/>
        <v>709.34913675999667</v>
      </c>
      <c r="W511" s="140">
        <f t="shared" si="185"/>
        <v>688.91453701999035</v>
      </c>
      <c r="X511" s="140">
        <f t="shared" si="185"/>
        <v>677.96980650135697</v>
      </c>
      <c r="Y511" s="140">
        <f t="shared" si="185"/>
        <v>667.78050615773031</v>
      </c>
      <c r="Z511" s="140">
        <f t="shared" si="185"/>
        <v>658.24905223457267</v>
      </c>
      <c r="AA511" s="140">
        <f t="shared" si="185"/>
        <v>649.29562753151106</v>
      </c>
      <c r="AB511" s="140">
        <f t="shared" si="185"/>
        <v>640.85411418051649</v>
      </c>
      <c r="AC511" s="140">
        <f t="shared" si="185"/>
        <v>632.86912755226251</v>
      </c>
      <c r="AD511" s="140">
        <f t="shared" si="185"/>
        <v>625.29381185855846</v>
      </c>
      <c r="AE511" s="140">
        <f t="shared" si="185"/>
        <v>618.08817414812881</v>
      </c>
      <c r="AF511" s="140">
        <f t="shared" si="185"/>
        <v>611.21780622346887</v>
      </c>
      <c r="AG511" s="140">
        <f t="shared" si="185"/>
        <v>604.65289089415887</v>
      </c>
      <c r="AH511" s="140">
        <f t="shared" si="185"/>
        <v>598.36741988134452</v>
      </c>
      <c r="AI511" s="140">
        <f t="shared" si="185"/>
        <v>592.33857148254401</v>
      </c>
      <c r="AJ511" s="140">
        <f t="shared" si="185"/>
        <v>586.54621036759033</v>
      </c>
      <c r="AK511" s="140">
        <f t="shared" si="185"/>
        <v>580.97248182728833</v>
      </c>
      <c r="AL511" s="140">
        <f t="shared" si="185"/>
        <v>575.60147984895684</v>
      </c>
      <c r="AM511" s="140">
        <f t="shared" si="185"/>
        <v>570.41897346380222</v>
      </c>
      <c r="AN511" s="140">
        <f t="shared" si="185"/>
        <v>565.41217950533019</v>
      </c>
      <c r="AO511" s="140">
        <f t="shared" si="185"/>
        <v>560.56957264237428</v>
      </c>
      <c r="AP511" s="140">
        <f t="shared" si="185"/>
        <v>555.88072558217254</v>
      </c>
      <c r="AQ511" s="140">
        <f t="shared" si="185"/>
        <v>551.33617387024094</v>
      </c>
    </row>
    <row r="512" spans="7:43" ht="14.1" customHeight="1" thickBot="1" x14ac:dyDescent="0.3">
      <c r="G512" s="106"/>
      <c r="H512" s="217"/>
      <c r="J512" s="210"/>
      <c r="K512" s="121" t="s">
        <v>118</v>
      </c>
      <c r="L512" s="141">
        <f t="shared" si="185"/>
        <v>1118.621008787173</v>
      </c>
      <c r="M512" s="141">
        <f t="shared" si="185"/>
        <v>1073.9797634075776</v>
      </c>
      <c r="N512" s="141">
        <f t="shared" si="185"/>
        <v>1040.2897449776938</v>
      </c>
      <c r="O512" s="141">
        <f t="shared" si="185"/>
        <v>1012.6003868978962</v>
      </c>
      <c r="P512" s="141">
        <f t="shared" si="185"/>
        <v>988.70657478989438</v>
      </c>
      <c r="Q512" s="141">
        <f t="shared" si="185"/>
        <v>967.43203349042142</v>
      </c>
      <c r="R512" s="141">
        <f t="shared" si="185"/>
        <v>948.07463155180631</v>
      </c>
      <c r="S512" s="141">
        <f t="shared" si="185"/>
        <v>930.18147979389255</v>
      </c>
      <c r="T512" s="141">
        <f t="shared" si="185"/>
        <v>913.44334866380859</v>
      </c>
      <c r="U512" s="141">
        <f t="shared" si="185"/>
        <v>897.63967730748698</v>
      </c>
      <c r="V512" s="141">
        <f t="shared" si="185"/>
        <v>882.60761174760228</v>
      </c>
      <c r="W512" s="141">
        <f t="shared" si="185"/>
        <v>868.22347887847377</v>
      </c>
      <c r="X512" s="141">
        <f t="shared" si="185"/>
        <v>861.33307044812932</v>
      </c>
      <c r="Y512" s="141">
        <f t="shared" si="185"/>
        <v>854.91825366780688</v>
      </c>
      <c r="Z512" s="141">
        <f t="shared" si="185"/>
        <v>848.91759331771857</v>
      </c>
      <c r="AA512" s="141">
        <f t="shared" si="185"/>
        <v>843.28083936115479</v>
      </c>
      <c r="AB512" s="141">
        <f t="shared" si="185"/>
        <v>837.96636636800713</v>
      </c>
      <c r="AC512" s="141">
        <f t="shared" si="185"/>
        <v>832.9393061689608</v>
      </c>
      <c r="AD512" s="141">
        <f t="shared" si="185"/>
        <v>828.17016004612526</v>
      </c>
      <c r="AE512" s="141">
        <f t="shared" si="185"/>
        <v>823.63374987673615</v>
      </c>
      <c r="AF512" s="141">
        <f t="shared" si="185"/>
        <v>819.30841349800596</v>
      </c>
      <c r="AG512" s="141">
        <f t="shared" si="185"/>
        <v>815.17537907997587</v>
      </c>
      <c r="AH512" s="141">
        <f t="shared" si="185"/>
        <v>811.2182727463254</v>
      </c>
      <c r="AI512" s="141">
        <f t="shared" si="185"/>
        <v>807.42272677453207</v>
      </c>
      <c r="AJ512" s="141">
        <f t="shared" si="185"/>
        <v>803.77606468539921</v>
      </c>
      <c r="AK512" s="141">
        <f t="shared" si="185"/>
        <v>800.26704579661396</v>
      </c>
      <c r="AL512" s="141">
        <f t="shared" si="185"/>
        <v>796.88565625505464</v>
      </c>
      <c r="AM512" s="141">
        <f t="shared" si="185"/>
        <v>793.62293675494561</v>
      </c>
      <c r="AN512" s="141">
        <f t="shared" si="185"/>
        <v>790.47083947473209</v>
      </c>
      <c r="AO512" s="141">
        <f t="shared" si="185"/>
        <v>787.42210848071204</v>
      </c>
      <c r="AP512" s="141">
        <f t="shared" si="185"/>
        <v>784.47017912464389</v>
      </c>
      <c r="AQ512" s="141">
        <f t="shared" ref="AQ512" si="186">AQ556</f>
        <v>781.60909292661279</v>
      </c>
    </row>
    <row r="513" spans="7:43" ht="14.1" hidden="1" customHeight="1" thickTop="1" x14ac:dyDescent="0.25">
      <c r="G513" s="106"/>
      <c r="H513" s="217"/>
      <c r="J513" s="210"/>
      <c r="K513" s="119" t="s">
        <v>119</v>
      </c>
      <c r="L513" s="142">
        <f t="shared" ref="L513:AQ520" si="187">L557</f>
        <v>1093.8289877834263</v>
      </c>
      <c r="M513" s="142">
        <f t="shared" si="187"/>
        <v>1010.5742499055615</v>
      </c>
      <c r="N513" s="142">
        <f t="shared" si="187"/>
        <v>948.56629631958117</v>
      </c>
      <c r="O513" s="142">
        <f t="shared" si="187"/>
        <v>898.200393131488</v>
      </c>
      <c r="P513" s="142">
        <f t="shared" si="187"/>
        <v>855.19833573920334</v>
      </c>
      <c r="Q513" s="142">
        <f t="shared" si="187"/>
        <v>817.27799952084717</v>
      </c>
      <c r="R513" s="142">
        <f t="shared" si="187"/>
        <v>783.07715945070572</v>
      </c>
      <c r="S513" s="142">
        <f t="shared" si="187"/>
        <v>751.71715245630332</v>
      </c>
      <c r="T513" s="142">
        <f t="shared" si="187"/>
        <v>722.59803356009024</v>
      </c>
      <c r="U513" s="142">
        <f t="shared" si="187"/>
        <v>695.29188642802262</v>
      </c>
      <c r="V513" s="142">
        <f t="shared" si="187"/>
        <v>669.48275346528817</v>
      </c>
      <c r="W513" s="142">
        <f t="shared" si="187"/>
        <v>644.93069299126932</v>
      </c>
      <c r="X513" s="142">
        <f t="shared" si="187"/>
        <v>631.56241724693643</v>
      </c>
      <c r="Y513" s="142">
        <f t="shared" si="187"/>
        <v>619.11685027719489</v>
      </c>
      <c r="Z513" s="142">
        <f t="shared" si="187"/>
        <v>607.4747998793124</v>
      </c>
      <c r="AA513" s="142">
        <f t="shared" si="187"/>
        <v>596.53877453973234</v>
      </c>
      <c r="AB513" s="142">
        <f t="shared" si="187"/>
        <v>586.22801558742776</v>
      </c>
      <c r="AC513" s="142">
        <f t="shared" si="187"/>
        <v>576.47487430363128</v>
      </c>
      <c r="AD513" s="142">
        <f t="shared" si="187"/>
        <v>567.2221193937321</v>
      </c>
      <c r="AE513" s="142">
        <f t="shared" si="187"/>
        <v>558.42090207158901</v>
      </c>
      <c r="AF513" s="142">
        <f t="shared" si="187"/>
        <v>550.02919496418178</v>
      </c>
      <c r="AG513" s="142">
        <f t="shared" si="187"/>
        <v>542.01057831473588</v>
      </c>
      <c r="AH513" s="142">
        <f t="shared" si="187"/>
        <v>534.33328470396486</v>
      </c>
      <c r="AI513" s="142">
        <f t="shared" si="187"/>
        <v>526.96943890815203</v>
      </c>
      <c r="AJ513" s="142">
        <f t="shared" si="187"/>
        <v>519.89444693245912</v>
      </c>
      <c r="AK513" s="142">
        <f t="shared" si="187"/>
        <v>513.08650041208034</v>
      </c>
      <c r="AL513" s="142">
        <f t="shared" si="187"/>
        <v>506.52617118812645</v>
      </c>
      <c r="AM513" s="142">
        <f t="shared" si="187"/>
        <v>500.19607705875853</v>
      </c>
      <c r="AN513" s="142">
        <f t="shared" si="187"/>
        <v>494.08060421838479</v>
      </c>
      <c r="AO513" s="142">
        <f t="shared" si="187"/>
        <v>488.16567522537019</v>
      </c>
      <c r="AP513" s="142">
        <f t="shared" si="187"/>
        <v>482.43855382050225</v>
      </c>
      <c r="AQ513" s="142">
        <f t="shared" si="187"/>
        <v>476.88767978883448</v>
      </c>
    </row>
    <row r="514" spans="7:43" ht="14.1" hidden="1" customHeight="1" x14ac:dyDescent="0.25">
      <c r="G514" s="106"/>
      <c r="H514" s="217"/>
      <c r="J514" s="210"/>
      <c r="K514" s="7" t="s">
        <v>120</v>
      </c>
      <c r="L514" s="140">
        <f t="shared" si="187"/>
        <v>1133.4099184979509</v>
      </c>
      <c r="M514" s="140">
        <f t="shared" si="187"/>
        <v>1060.1782979425122</v>
      </c>
      <c r="N514" s="140">
        <f t="shared" si="187"/>
        <v>1005.5445178605451</v>
      </c>
      <c r="O514" s="140">
        <f t="shared" si="187"/>
        <v>961.10131500237867</v>
      </c>
      <c r="P514" s="140">
        <f t="shared" si="187"/>
        <v>923.10387012341528</v>
      </c>
      <c r="Q514" s="140">
        <f t="shared" si="187"/>
        <v>889.55458259499676</v>
      </c>
      <c r="R514" s="140">
        <f t="shared" si="187"/>
        <v>859.26106285975936</v>
      </c>
      <c r="S514" s="140">
        <f t="shared" si="187"/>
        <v>831.45419520459905</v>
      </c>
      <c r="T514" s="140">
        <f t="shared" si="187"/>
        <v>805.60883281990402</v>
      </c>
      <c r="U514" s="140">
        <f t="shared" si="187"/>
        <v>781.35040986045715</v>
      </c>
      <c r="V514" s="140">
        <f t="shared" si="187"/>
        <v>758.40236075925202</v>
      </c>
      <c r="W514" s="140">
        <f t="shared" si="187"/>
        <v>736.55465857584238</v>
      </c>
      <c r="X514" s="140">
        <f t="shared" si="187"/>
        <v>724.8530732308335</v>
      </c>
      <c r="Y514" s="140">
        <f t="shared" si="187"/>
        <v>713.95915790108791</v>
      </c>
      <c r="Z514" s="140">
        <f t="shared" si="187"/>
        <v>703.76858067728483</v>
      </c>
      <c r="AA514" s="140">
        <f t="shared" si="187"/>
        <v>694.19600480484871</v>
      </c>
      <c r="AB514" s="140">
        <f t="shared" si="187"/>
        <v>685.17074020381335</v>
      </c>
      <c r="AC514" s="140">
        <f t="shared" si="187"/>
        <v>676.63357226256608</v>
      </c>
      <c r="AD514" s="140">
        <f t="shared" si="187"/>
        <v>668.53440500080967</v>
      </c>
      <c r="AE514" s="140">
        <f t="shared" si="187"/>
        <v>660.83047985708356</v>
      </c>
      <c r="AF514" s="140">
        <f t="shared" si="187"/>
        <v>653.48500922305118</v>
      </c>
      <c r="AG514" s="140">
        <f t="shared" si="187"/>
        <v>646.46611397680545</v>
      </c>
      <c r="AH514" s="140">
        <f t="shared" si="187"/>
        <v>639.74598730353489</v>
      </c>
      <c r="AI514" s="140">
        <f t="shared" si="187"/>
        <v>633.30022932433417</v>
      </c>
      <c r="AJ514" s="140">
        <f t="shared" si="187"/>
        <v>627.10731230181398</v>
      </c>
      <c r="AK514" s="140">
        <f t="shared" si="187"/>
        <v>621.14814683006341</v>
      </c>
      <c r="AL514" s="140">
        <f t="shared" si="187"/>
        <v>615.4057269568051</v>
      </c>
      <c r="AM514" s="140">
        <f t="shared" si="187"/>
        <v>609.8648376070222</v>
      </c>
      <c r="AN514" s="140">
        <f t="shared" si="187"/>
        <v>604.51181162705961</v>
      </c>
      <c r="AO514" s="140">
        <f t="shared" si="187"/>
        <v>599.33432668097237</v>
      </c>
      <c r="AP514" s="140">
        <f t="shared" si="187"/>
        <v>594.32123440325643</v>
      </c>
      <c r="AQ514" s="140">
        <f t="shared" si="187"/>
        <v>589.46241584930135</v>
      </c>
    </row>
    <row r="515" spans="7:43" ht="14.1" hidden="1" customHeight="1" thickBot="1" x14ac:dyDescent="0.3">
      <c r="G515" s="106"/>
      <c r="H515" s="217"/>
      <c r="J515" s="210"/>
      <c r="K515" s="121" t="s">
        <v>121</v>
      </c>
      <c r="L515" s="141">
        <f t="shared" si="187"/>
        <v>1195.9763815799586</v>
      </c>
      <c r="M515" s="141">
        <f t="shared" si="187"/>
        <v>1148.2480851337853</v>
      </c>
      <c r="N515" s="141">
        <f t="shared" si="187"/>
        <v>1112.2283197077629</v>
      </c>
      <c r="O515" s="141">
        <f t="shared" si="187"/>
        <v>1082.6241749398646</v>
      </c>
      <c r="P515" s="141">
        <f t="shared" si="187"/>
        <v>1057.078047410879</v>
      </c>
      <c r="Q515" s="141">
        <f t="shared" si="187"/>
        <v>1034.3323196592576</v>
      </c>
      <c r="R515" s="141">
        <f t="shared" si="187"/>
        <v>1013.6363061341457</v>
      </c>
      <c r="S515" s="141">
        <f t="shared" si="187"/>
        <v>994.50579926328624</v>
      </c>
      <c r="T515" s="141">
        <f t="shared" si="187"/>
        <v>976.61018551554071</v>
      </c>
      <c r="U515" s="141">
        <f t="shared" si="187"/>
        <v>959.71365171549621</v>
      </c>
      <c r="V515" s="141">
        <f t="shared" si="187"/>
        <v>943.64208213584413</v>
      </c>
      <c r="W515" s="141">
        <f t="shared" si="187"/>
        <v>928.2632513738173</v>
      </c>
      <c r="X515" s="141">
        <f t="shared" si="187"/>
        <v>920.89635438422283</v>
      </c>
      <c r="Y515" s="141">
        <f t="shared" si="187"/>
        <v>914.03793736794796</v>
      </c>
      <c r="Z515" s="141">
        <f t="shared" si="187"/>
        <v>907.6223167098218</v>
      </c>
      <c r="AA515" s="141">
        <f t="shared" si="187"/>
        <v>901.59576746045911</v>
      </c>
      <c r="AB515" s="141">
        <f t="shared" si="187"/>
        <v>895.91378568967116</v>
      </c>
      <c r="AC515" s="141">
        <f t="shared" si="187"/>
        <v>890.5390920091379</v>
      </c>
      <c r="AD515" s="141">
        <f t="shared" si="187"/>
        <v>885.44014779263421</v>
      </c>
      <c r="AE515" s="141">
        <f t="shared" si="187"/>
        <v>880.59003378875832</v>
      </c>
      <c r="AF515" s="141">
        <f t="shared" si="187"/>
        <v>875.96558984329852</v>
      </c>
      <c r="AG515" s="141">
        <f t="shared" si="187"/>
        <v>871.54674600844123</v>
      </c>
      <c r="AH515" s="141">
        <f t="shared" si="187"/>
        <v>867.31599611435729</v>
      </c>
      <c r="AI515" s="141">
        <f t="shared" si="187"/>
        <v>863.25797887544684</v>
      </c>
      <c r="AJ515" s="141">
        <f t="shared" si="187"/>
        <v>859.35914120303926</v>
      </c>
      <c r="AK515" s="141">
        <f t="shared" si="187"/>
        <v>855.60746509420665</v>
      </c>
      <c r="AL515" s="141">
        <f t="shared" si="187"/>
        <v>851.99224421344468</v>
      </c>
      <c r="AM515" s="141">
        <f t="shared" si="187"/>
        <v>848.50389969711773</v>
      </c>
      <c r="AN515" s="141">
        <f t="shared" si="187"/>
        <v>845.13382719716981</v>
      </c>
      <c r="AO515" s="141">
        <f t="shared" si="187"/>
        <v>841.8742690143747</v>
      </c>
      <c r="AP515" s="141">
        <f t="shared" si="187"/>
        <v>838.71820653904365</v>
      </c>
      <c r="AQ515" s="141">
        <f t="shared" si="187"/>
        <v>835.65926924783412</v>
      </c>
    </row>
    <row r="516" spans="7:43" ht="14.1" hidden="1" customHeight="1" thickTop="1" x14ac:dyDescent="0.25">
      <c r="G516" s="106"/>
      <c r="H516" s="217"/>
      <c r="J516" s="210"/>
      <c r="K516" s="119" t="s">
        <v>122</v>
      </c>
      <c r="L516" s="142">
        <f t="shared" si="187"/>
        <v>1097.9638599668615</v>
      </c>
      <c r="M516" s="142">
        <f t="shared" si="187"/>
        <v>1014.3944040630207</v>
      </c>
      <c r="N516" s="142">
        <f t="shared" si="187"/>
        <v>952.15204915352649</v>
      </c>
      <c r="O516" s="142">
        <f t="shared" si="187"/>
        <v>901.59575370630319</v>
      </c>
      <c r="P516" s="142">
        <f t="shared" si="187"/>
        <v>858.43114072907088</v>
      </c>
      <c r="Q516" s="142">
        <f t="shared" si="187"/>
        <v>820.36745875450686</v>
      </c>
      <c r="R516" s="142">
        <f t="shared" si="187"/>
        <v>786.03733329895738</v>
      </c>
      <c r="S516" s="142">
        <f t="shared" si="187"/>
        <v>754.55877978399133</v>
      </c>
      <c r="T516" s="142">
        <f t="shared" si="187"/>
        <v>725.32958533111002</v>
      </c>
      <c r="U516" s="142">
        <f t="shared" si="187"/>
        <v>697.92021600482894</v>
      </c>
      <c r="V516" s="142">
        <f t="shared" si="187"/>
        <v>672.01351983325833</v>
      </c>
      <c r="W516" s="142">
        <f t="shared" si="187"/>
        <v>647.36864811266082</v>
      </c>
      <c r="X516" s="142">
        <f t="shared" si="187"/>
        <v>633.94983785869886</v>
      </c>
      <c r="Y516" s="142">
        <f t="shared" si="187"/>
        <v>621.45722438603502</v>
      </c>
      <c r="Z516" s="142">
        <f t="shared" si="187"/>
        <v>609.77116492376854</v>
      </c>
      <c r="AA516" s="142">
        <f t="shared" si="187"/>
        <v>598.79379942271999</v>
      </c>
      <c r="AB516" s="142">
        <f t="shared" si="187"/>
        <v>588.4440639294221</v>
      </c>
      <c r="AC516" s="142">
        <f t="shared" si="187"/>
        <v>578.65405400066754</v>
      </c>
      <c r="AD516" s="142">
        <f t="shared" si="187"/>
        <v>569.36632199716018</v>
      </c>
      <c r="AE516" s="142">
        <f t="shared" si="187"/>
        <v>560.53183447547747</v>
      </c>
      <c r="AF516" s="142">
        <f t="shared" si="187"/>
        <v>552.10840519149838</v>
      </c>
      <c r="AG516" s="142">
        <f t="shared" si="187"/>
        <v>544.05947671515469</v>
      </c>
      <c r="AH516" s="142">
        <f t="shared" si="187"/>
        <v>536.35316154054715</v>
      </c>
      <c r="AI516" s="142">
        <f t="shared" si="187"/>
        <v>528.96147907055183</v>
      </c>
      <c r="AJ516" s="142">
        <f t="shared" si="187"/>
        <v>521.85974234056459</v>
      </c>
      <c r="AK516" s="142">
        <f t="shared" si="187"/>
        <v>515.02606054620071</v>
      </c>
      <c r="AL516" s="142">
        <f t="shared" si="187"/>
        <v>508.4409320866028</v>
      </c>
      <c r="AM516" s="142">
        <f t="shared" si="187"/>
        <v>502.08690905205282</v>
      </c>
      <c r="AN516" s="142">
        <f t="shared" si="187"/>
        <v>495.94831861393885</v>
      </c>
      <c r="AO516" s="142">
        <f t="shared" si="187"/>
        <v>490.0110301153403</v>
      </c>
      <c r="AP516" s="142">
        <f t="shared" si="187"/>
        <v>484.26225915167237</v>
      </c>
      <c r="AQ516" s="142">
        <f t="shared" si="187"/>
        <v>478.69040180827704</v>
      </c>
    </row>
    <row r="517" spans="7:43" ht="14.1" hidden="1" customHeight="1" x14ac:dyDescent="0.25">
      <c r="G517" s="106"/>
      <c r="H517" s="217"/>
      <c r="J517" s="210"/>
      <c r="K517" s="7" t="s">
        <v>123</v>
      </c>
      <c r="L517" s="140">
        <f t="shared" si="187"/>
        <v>1137.6944137863081</v>
      </c>
      <c r="M517" s="140">
        <f t="shared" si="187"/>
        <v>1064.1859644082981</v>
      </c>
      <c r="N517" s="140">
        <f t="shared" si="187"/>
        <v>1009.3456587176115</v>
      </c>
      <c r="O517" s="140">
        <f t="shared" si="187"/>
        <v>964.73445248296355</v>
      </c>
      <c r="P517" s="140">
        <f t="shared" si="187"/>
        <v>926.59337036305453</v>
      </c>
      <c r="Q517" s="140">
        <f t="shared" si="187"/>
        <v>892.91726043613983</v>
      </c>
      <c r="R517" s="140">
        <f t="shared" si="187"/>
        <v>862.50922569582337</v>
      </c>
      <c r="S517" s="140">
        <f t="shared" si="187"/>
        <v>834.59724303195526</v>
      </c>
      <c r="T517" s="140">
        <f t="shared" si="187"/>
        <v>808.65418048463073</v>
      </c>
      <c r="U517" s="140">
        <f t="shared" si="187"/>
        <v>784.30405628172684</v>
      </c>
      <c r="V517" s="140">
        <f t="shared" si="187"/>
        <v>761.26925938817726</v>
      </c>
      <c r="W517" s="140">
        <f t="shared" si="187"/>
        <v>739.33896892356529</v>
      </c>
      <c r="X517" s="140">
        <f t="shared" si="187"/>
        <v>727.59314946126256</v>
      </c>
      <c r="Y517" s="140">
        <f t="shared" si="187"/>
        <v>716.65805315353157</v>
      </c>
      <c r="Z517" s="140">
        <f t="shared" si="187"/>
        <v>706.42895369749067</v>
      </c>
      <c r="AA517" s="140">
        <f t="shared" si="187"/>
        <v>696.82019175013716</v>
      </c>
      <c r="AB517" s="140">
        <f t="shared" si="187"/>
        <v>687.76081001016712</v>
      </c>
      <c r="AC517" s="140">
        <f t="shared" si="187"/>
        <v>679.19137002398429</v>
      </c>
      <c r="AD517" s="140">
        <f t="shared" si="187"/>
        <v>671.06158643938977</v>
      </c>
      <c r="AE517" s="140">
        <f t="shared" si="187"/>
        <v>663.32853905979698</v>
      </c>
      <c r="AF517" s="140">
        <f t="shared" si="187"/>
        <v>655.95530121303022</v>
      </c>
      <c r="AG517" s="140">
        <f t="shared" si="187"/>
        <v>648.90987326831305</v>
      </c>
      <c r="AH517" s="140">
        <f t="shared" si="187"/>
        <v>642.16434329602521</v>
      </c>
      <c r="AI517" s="140">
        <f t="shared" si="187"/>
        <v>635.69421918128864</v>
      </c>
      <c r="AJ517" s="140">
        <f t="shared" si="187"/>
        <v>629.4778918079578</v>
      </c>
      <c r="AK517" s="140">
        <f t="shared" si="187"/>
        <v>623.49619960870166</v>
      </c>
      <c r="AL517" s="140">
        <f t="shared" si="187"/>
        <v>617.73207234565507</v>
      </c>
      <c r="AM517" s="140">
        <f t="shared" si="187"/>
        <v>612.17023742805497</v>
      </c>
      <c r="AN517" s="140">
        <f t="shared" si="187"/>
        <v>606.79697603792408</v>
      </c>
      <c r="AO517" s="140">
        <f t="shared" si="187"/>
        <v>601.59991925865017</v>
      </c>
      <c r="AP517" s="140">
        <f t="shared" si="187"/>
        <v>596.56787658188318</v>
      </c>
      <c r="AQ517" s="140">
        <f t="shared" si="187"/>
        <v>591.69069081156476</v>
      </c>
    </row>
    <row r="518" spans="7:43" ht="14.1" hidden="1" customHeight="1" thickBot="1" x14ac:dyDescent="0.3">
      <c r="G518" s="106"/>
      <c r="H518" s="217"/>
      <c r="J518" s="210"/>
      <c r="K518" s="121" t="s">
        <v>124</v>
      </c>
      <c r="L518" s="145">
        <f t="shared" si="187"/>
        <v>1200.4973894591349</v>
      </c>
      <c r="M518" s="145">
        <f t="shared" si="187"/>
        <v>1152.5886713862337</v>
      </c>
      <c r="N518" s="145">
        <f t="shared" si="187"/>
        <v>1116.4327447066905</v>
      </c>
      <c r="O518" s="145">
        <f t="shared" si="187"/>
        <v>1086.7166908962615</v>
      </c>
      <c r="P518" s="145">
        <f t="shared" si="187"/>
        <v>1061.073994366734</v>
      </c>
      <c r="Q518" s="145">
        <f t="shared" si="187"/>
        <v>1038.2422836342055</v>
      </c>
      <c r="R518" s="145">
        <f t="shared" si="187"/>
        <v>1017.4680354201352</v>
      </c>
      <c r="S518" s="145">
        <f t="shared" si="187"/>
        <v>998.26521175972368</v>
      </c>
      <c r="T518" s="145">
        <f t="shared" si="187"/>
        <v>980.30194934265478</v>
      </c>
      <c r="U518" s="145">
        <f t="shared" si="187"/>
        <v>963.34154357689476</v>
      </c>
      <c r="V518" s="145">
        <f t="shared" si="187"/>
        <v>947.20922054607138</v>
      </c>
      <c r="W518" s="145">
        <f t="shared" si="187"/>
        <v>931.77225501138639</v>
      </c>
      <c r="X518" s="145">
        <f t="shared" si="187"/>
        <v>924.37750981354304</v>
      </c>
      <c r="Y518" s="145">
        <f t="shared" si="187"/>
        <v>917.49316673564454</v>
      </c>
      <c r="Z518" s="145">
        <f t="shared" si="187"/>
        <v>911.05329386652829</v>
      </c>
      <c r="AA518" s="145">
        <f t="shared" si="187"/>
        <v>905.00396316674551</v>
      </c>
      <c r="AB518" s="145">
        <f t="shared" si="187"/>
        <v>899.30050247317047</v>
      </c>
      <c r="AC518" s="145">
        <f t="shared" si="187"/>
        <v>893.90549147462661</v>
      </c>
      <c r="AD518" s="145">
        <f t="shared" si="187"/>
        <v>888.78727232315487</v>
      </c>
      <c r="AE518" s="145">
        <f t="shared" si="187"/>
        <v>883.91882400769543</v>
      </c>
      <c r="AF518" s="145">
        <f t="shared" si="187"/>
        <v>879.27689882444849</v>
      </c>
      <c r="AG518" s="145">
        <f t="shared" si="187"/>
        <v>874.84135095755346</v>
      </c>
      <c r="AH518" s="145">
        <f t="shared" si="187"/>
        <v>870.59460806068068</v>
      </c>
      <c r="AI518" s="145">
        <f t="shared" si="187"/>
        <v>866.52125077978155</v>
      </c>
      <c r="AJ518" s="145">
        <f t="shared" si="187"/>
        <v>862.60767479304934</v>
      </c>
      <c r="AK518" s="145">
        <f t="shared" si="187"/>
        <v>858.84181666732286</v>
      </c>
      <c r="AL518" s="145">
        <f t="shared" si="187"/>
        <v>855.21292959520576</v>
      </c>
      <c r="AM518" s="145">
        <f t="shared" si="187"/>
        <v>851.71139850321856</v>
      </c>
      <c r="AN518" s="145">
        <f t="shared" si="187"/>
        <v>848.32858651730726</v>
      </c>
      <c r="AO518" s="145">
        <f t="shared" si="187"/>
        <v>845.05670661273393</v>
      </c>
      <c r="AP518" s="145">
        <f t="shared" si="187"/>
        <v>841.88871364819101</v>
      </c>
      <c r="AQ518" s="145">
        <f t="shared" si="187"/>
        <v>838.81821301860089</v>
      </c>
    </row>
    <row r="519" spans="7:43" ht="14.1" hidden="1" customHeight="1" thickTop="1" x14ac:dyDescent="0.25">
      <c r="H519" s="217"/>
      <c r="J519" s="211"/>
      <c r="K519" s="119" t="s">
        <v>125</v>
      </c>
      <c r="L519" s="142">
        <f t="shared" si="187"/>
        <v>1303.2175490389984</v>
      </c>
      <c r="M519" s="142">
        <f t="shared" si="187"/>
        <v>1204.0255943048844</v>
      </c>
      <c r="N519" s="142">
        <f t="shared" si="187"/>
        <v>1130.1476351396213</v>
      </c>
      <c r="O519" s="142">
        <f t="shared" si="187"/>
        <v>1070.1403308525653</v>
      </c>
      <c r="P519" s="142">
        <f t="shared" si="187"/>
        <v>1018.9065123450023</v>
      </c>
      <c r="Q519" s="142">
        <f t="shared" si="187"/>
        <v>973.72719439205218</v>
      </c>
      <c r="R519" s="142">
        <f t="shared" si="187"/>
        <v>932.97938511922882</v>
      </c>
      <c r="S519" s="142">
        <f t="shared" si="187"/>
        <v>895.61622148986748</v>
      </c>
      <c r="T519" s="142">
        <f t="shared" si="187"/>
        <v>860.92291277165714</v>
      </c>
      <c r="U519" s="142">
        <f t="shared" si="187"/>
        <v>828.38962782803537</v>
      </c>
      <c r="V519" s="142">
        <f t="shared" si="187"/>
        <v>797.63992620358374</v>
      </c>
      <c r="W519" s="142">
        <f t="shared" si="187"/>
        <v>768.38793486657653</v>
      </c>
      <c r="X519" s="142">
        <f t="shared" si="187"/>
        <v>752.46060825063898</v>
      </c>
      <c r="Y519" s="142">
        <f t="shared" si="187"/>
        <v>737.63262191652791</v>
      </c>
      <c r="Z519" s="142">
        <f t="shared" si="187"/>
        <v>723.76196703832579</v>
      </c>
      <c r="AA519" s="142">
        <f t="shared" si="187"/>
        <v>710.73248958028489</v>
      </c>
      <c r="AB519" s="142">
        <f t="shared" si="187"/>
        <v>698.44797146947496</v>
      </c>
      <c r="AC519" s="142">
        <f t="shared" si="187"/>
        <v>686.82781418597028</v>
      </c>
      <c r="AD519" s="142">
        <f t="shared" si="187"/>
        <v>675.80383081177501</v>
      </c>
      <c r="AE519" s="142">
        <f t="shared" si="187"/>
        <v>665.31782157703526</v>
      </c>
      <c r="AF519" s="142">
        <f t="shared" si="187"/>
        <v>655.31971392866342</v>
      </c>
      <c r="AG519" s="142">
        <f t="shared" si="187"/>
        <v>645.76611637979022</v>
      </c>
      <c r="AH519" s="142">
        <f t="shared" si="187"/>
        <v>636.61918036472207</v>
      </c>
      <c r="AI519" s="142">
        <f t="shared" si="187"/>
        <v>627.84569458522424</v>
      </c>
      <c r="AJ519" s="142">
        <f t="shared" si="187"/>
        <v>619.41635708822002</v>
      </c>
      <c r="AK519" s="142">
        <f t="shared" si="187"/>
        <v>611.30518479587147</v>
      </c>
      <c r="AL519" s="142">
        <f t="shared" si="187"/>
        <v>603.48903047228271</v>
      </c>
      <c r="AM519" s="142">
        <f t="shared" si="187"/>
        <v>595.947184490327</v>
      </c>
      <c r="AN519" s="142">
        <f t="shared" si="187"/>
        <v>588.66104413817141</v>
      </c>
      <c r="AO519" s="142">
        <f t="shared" si="187"/>
        <v>581.61383716970658</v>
      </c>
      <c r="AP519" s="142">
        <f t="shared" si="187"/>
        <v>574.79038925996929</v>
      </c>
      <c r="AQ519" s="142">
        <f t="shared" si="187"/>
        <v>568.17692725505981</v>
      </c>
    </row>
    <row r="520" spans="7:43" ht="14.1" hidden="1" customHeight="1" x14ac:dyDescent="0.25">
      <c r="H520" s="217"/>
      <c r="J520" s="211"/>
      <c r="K520" s="7" t="s">
        <v>126</v>
      </c>
      <c r="L520" s="140">
        <f t="shared" si="187"/>
        <v>1350.3753443530484</v>
      </c>
      <c r="M520" s="140">
        <f t="shared" si="187"/>
        <v>1263.1252036836104</v>
      </c>
      <c r="N520" s="140">
        <f t="shared" si="187"/>
        <v>1198.0330350097499</v>
      </c>
      <c r="O520" s="140">
        <f t="shared" si="187"/>
        <v>1145.0821966729163</v>
      </c>
      <c r="P520" s="140">
        <f t="shared" si="187"/>
        <v>1099.8110093685332</v>
      </c>
      <c r="Q520" s="140">
        <f t="shared" si="187"/>
        <v>1059.8394774809115</v>
      </c>
      <c r="R520" s="140">
        <f t="shared" si="187"/>
        <v>1023.7469557228967</v>
      </c>
      <c r="S520" s="140">
        <f t="shared" si="187"/>
        <v>990.61709875554334</v>
      </c>
      <c r="T520" s="140">
        <f t="shared" si="187"/>
        <v>959.82423241428694</v>
      </c>
      <c r="U520" s="140">
        <f t="shared" si="187"/>
        <v>930.92208878320105</v>
      </c>
      <c r="V520" s="140">
        <f t="shared" si="187"/>
        <v>903.5811601381281</v>
      </c>
      <c r="W520" s="140">
        <f t="shared" si="187"/>
        <v>877.55121468084553</v>
      </c>
      <c r="X520" s="140">
        <f t="shared" si="187"/>
        <v>863.60962825050638</v>
      </c>
      <c r="Y520" s="140">
        <f t="shared" si="187"/>
        <v>850.63032180129721</v>
      </c>
      <c r="Z520" s="140">
        <f t="shared" si="187"/>
        <v>838.48899146426754</v>
      </c>
      <c r="AA520" s="140">
        <f t="shared" si="187"/>
        <v>827.08396471347157</v>
      </c>
      <c r="AB520" s="140">
        <f t="shared" si="187"/>
        <v>816.33101946869022</v>
      </c>
      <c r="AC520" s="140">
        <f t="shared" si="187"/>
        <v>806.15960583421315</v>
      </c>
      <c r="AD520" s="140">
        <f t="shared" si="187"/>
        <v>796.51003809921281</v>
      </c>
      <c r="AE520" s="140">
        <f t="shared" si="187"/>
        <v>787.33137255284453</v>
      </c>
      <c r="AF520" s="140">
        <f t="shared" si="187"/>
        <v>778.57977943990261</v>
      </c>
      <c r="AG520" s="140">
        <f t="shared" si="187"/>
        <v>770.217277109159</v>
      </c>
      <c r="AH520" s="140">
        <f t="shared" si="187"/>
        <v>762.21073576660569</v>
      </c>
      <c r="AI520" s="140">
        <f t="shared" si="187"/>
        <v>754.53108473415773</v>
      </c>
      <c r="AJ520" s="140">
        <f t="shared" si="187"/>
        <v>747.15267528109916</v>
      </c>
      <c r="AK520" s="140">
        <f t="shared" si="187"/>
        <v>740.05276377102837</v>
      </c>
      <c r="AL520" s="140">
        <f t="shared" si="187"/>
        <v>733.21108885075989</v>
      </c>
      <c r="AM520" s="140">
        <f t="shared" si="187"/>
        <v>726.60952286689144</v>
      </c>
      <c r="AN520" s="140">
        <f t="shared" si="187"/>
        <v>720.23178240155073</v>
      </c>
      <c r="AO520" s="140">
        <f t="shared" si="187"/>
        <v>714.06318628919212</v>
      </c>
      <c r="AP520" s="140">
        <f t="shared" si="187"/>
        <v>708.09045206452117</v>
      </c>
      <c r="AQ520" s="140">
        <f t="shared" ref="AQ520" si="188">AQ564</f>
        <v>702.30152374224099</v>
      </c>
    </row>
    <row r="521" spans="7:43" ht="14.1" hidden="1" customHeight="1" thickBot="1" x14ac:dyDescent="0.3">
      <c r="H521" s="217"/>
      <c r="J521" s="211"/>
      <c r="K521" s="121" t="s">
        <v>127</v>
      </c>
      <c r="L521" s="141">
        <f t="shared" ref="L521:AQ528" si="189">L565</f>
        <v>1424.9187268931323</v>
      </c>
      <c r="M521" s="141">
        <f t="shared" si="189"/>
        <v>1368.0539388786608</v>
      </c>
      <c r="N521" s="141">
        <f t="shared" si="189"/>
        <v>1325.1390125604391</v>
      </c>
      <c r="O521" s="141">
        <f t="shared" si="189"/>
        <v>1289.8678308522296</v>
      </c>
      <c r="P521" s="141">
        <f t="shared" si="189"/>
        <v>1259.4314810410708</v>
      </c>
      <c r="Q521" s="141">
        <f t="shared" si="189"/>
        <v>1232.3316035440907</v>
      </c>
      <c r="R521" s="141">
        <f t="shared" si="189"/>
        <v>1207.6738112179521</v>
      </c>
      <c r="S521" s="141">
        <f t="shared" si="189"/>
        <v>1184.8812060168075</v>
      </c>
      <c r="T521" s="141">
        <f t="shared" si="189"/>
        <v>1163.5598860048506</v>
      </c>
      <c r="U521" s="141">
        <f t="shared" si="189"/>
        <v>1143.4288969635284</v>
      </c>
      <c r="V521" s="141">
        <f t="shared" si="189"/>
        <v>1124.2807926887942</v>
      </c>
      <c r="W521" s="141">
        <f t="shared" si="189"/>
        <v>1105.9580362464112</v>
      </c>
      <c r="X521" s="141">
        <f t="shared" si="189"/>
        <v>1097.1809151918144</v>
      </c>
      <c r="Y521" s="141">
        <f t="shared" si="189"/>
        <v>1089.0096109805872</v>
      </c>
      <c r="Z521" s="141">
        <f t="shared" si="189"/>
        <v>1081.3658663705728</v>
      </c>
      <c r="AA521" s="141">
        <f t="shared" si="189"/>
        <v>1074.1856719986604</v>
      </c>
      <c r="AB521" s="141">
        <f t="shared" si="189"/>
        <v>1067.4160046743229</v>
      </c>
      <c r="AC521" s="141">
        <f t="shared" si="189"/>
        <v>1061.0124487223327</v>
      </c>
      <c r="AD521" s="141">
        <f t="shared" si="189"/>
        <v>1054.9374281672601</v>
      </c>
      <c r="AE521" s="141">
        <f t="shared" si="189"/>
        <v>1049.1588706822374</v>
      </c>
      <c r="AF521" s="141">
        <f t="shared" si="189"/>
        <v>1043.6491826308327</v>
      </c>
      <c r="AG521" s="141">
        <f t="shared" si="189"/>
        <v>1038.384452132404</v>
      </c>
      <c r="AH521" s="141">
        <f t="shared" si="189"/>
        <v>1033.3438218609958</v>
      </c>
      <c r="AI521" s="141">
        <f t="shared" si="189"/>
        <v>1028.5089899639479</v>
      </c>
      <c r="AJ521" s="141">
        <f t="shared" si="189"/>
        <v>1023.8638089235072</v>
      </c>
      <c r="AK521" s="141">
        <f t="shared" si="189"/>
        <v>1019.3939601647459</v>
      </c>
      <c r="AL521" s="141">
        <f t="shared" si="189"/>
        <v>1015.0866878689104</v>
      </c>
      <c r="AM521" s="141">
        <f t="shared" si="189"/>
        <v>1010.9305795178385</v>
      </c>
      <c r="AN521" s="141">
        <f t="shared" si="189"/>
        <v>1006.9153836576832</v>
      </c>
      <c r="AO521" s="141">
        <f t="shared" si="189"/>
        <v>1003.0318575549966</v>
      </c>
      <c r="AP521" s="141">
        <f t="shared" si="189"/>
        <v>999.27163904766871</v>
      </c>
      <c r="AQ521" s="141">
        <f t="shared" si="189"/>
        <v>995.62713812125571</v>
      </c>
    </row>
    <row r="522" spans="7:43" ht="14.1" hidden="1" customHeight="1" thickTop="1" x14ac:dyDescent="0.25">
      <c r="H522" s="217"/>
      <c r="J522" s="211"/>
      <c r="K522" s="119" t="s">
        <v>128</v>
      </c>
      <c r="L522" s="142">
        <f t="shared" si="189"/>
        <v>1483.1214817684179</v>
      </c>
      <c r="M522" s="142">
        <f t="shared" si="189"/>
        <v>1370.2364772707056</v>
      </c>
      <c r="N522" s="142">
        <f t="shared" si="189"/>
        <v>1286.1599634545669</v>
      </c>
      <c r="O522" s="142">
        <f t="shared" si="189"/>
        <v>1217.8688925456656</v>
      </c>
      <c r="P522" s="142">
        <f t="shared" si="189"/>
        <v>1159.5624517847782</v>
      </c>
      <c r="Q522" s="142">
        <f t="shared" si="189"/>
        <v>1108.146310989961</v>
      </c>
      <c r="R522" s="142">
        <f t="shared" si="189"/>
        <v>1061.7734307965575</v>
      </c>
      <c r="S522" s="142">
        <f t="shared" si="189"/>
        <v>1019.2524329429012</v>
      </c>
      <c r="T522" s="142">
        <f t="shared" si="189"/>
        <v>979.76985271556759</v>
      </c>
      <c r="U522" s="142">
        <f t="shared" si="189"/>
        <v>942.7454788434087</v>
      </c>
      <c r="V522" s="142">
        <f t="shared" si="189"/>
        <v>907.75090478259801</v>
      </c>
      <c r="W522" s="142">
        <f t="shared" si="189"/>
        <v>874.46079388099838</v>
      </c>
      <c r="X522" s="142">
        <f t="shared" si="189"/>
        <v>856.3347639877868</v>
      </c>
      <c r="Y522" s="142">
        <f t="shared" si="189"/>
        <v>839.45983387369688</v>
      </c>
      <c r="Z522" s="142">
        <f t="shared" si="189"/>
        <v>823.67439096646524</v>
      </c>
      <c r="AA522" s="142">
        <f t="shared" si="189"/>
        <v>808.84624663362706</v>
      </c>
      <c r="AB522" s="142">
        <f t="shared" si="189"/>
        <v>794.86590028489161</v>
      </c>
      <c r="AC522" s="142">
        <f t="shared" si="189"/>
        <v>781.64162709934237</v>
      </c>
      <c r="AD522" s="142">
        <f t="shared" si="189"/>
        <v>769.09582722964035</v>
      </c>
      <c r="AE522" s="142">
        <f t="shared" si="189"/>
        <v>757.16226666215675</v>
      </c>
      <c r="AF522" s="142">
        <f t="shared" si="189"/>
        <v>745.78396052956361</v>
      </c>
      <c r="AG522" s="142">
        <f t="shared" si="189"/>
        <v>734.91152732502883</v>
      </c>
      <c r="AH522" s="142">
        <f t="shared" si="189"/>
        <v>724.50189364083519</v>
      </c>
      <c r="AI522" s="142">
        <f t="shared" si="189"/>
        <v>714.51726349281557</v>
      </c>
      <c r="AJ522" s="142">
        <f t="shared" si="189"/>
        <v>704.92428991131192</v>
      </c>
      <c r="AK522" s="142">
        <f t="shared" si="189"/>
        <v>695.69340295926168</v>
      </c>
      <c r="AL522" s="142">
        <f t="shared" si="189"/>
        <v>686.79826001810056</v>
      </c>
      <c r="AM522" s="142">
        <f t="shared" si="189"/>
        <v>678.21529258010412</v>
      </c>
      <c r="AN522" s="142">
        <f t="shared" si="189"/>
        <v>669.92332990401042</v>
      </c>
      <c r="AO522" s="142">
        <f t="shared" si="189"/>
        <v>661.90328440270048</v>
      </c>
      <c r="AP522" s="142">
        <f t="shared" si="189"/>
        <v>654.13788699677878</v>
      </c>
      <c r="AQ522" s="142">
        <f t="shared" si="189"/>
        <v>646.61146320393368</v>
      </c>
    </row>
    <row r="523" spans="7:43" ht="14.1" hidden="1" customHeight="1" x14ac:dyDescent="0.25">
      <c r="H523" s="217"/>
      <c r="J523" s="211"/>
      <c r="K523" s="7" t="s">
        <v>129</v>
      </c>
      <c r="L523" s="140">
        <f t="shared" si="189"/>
        <v>1536.789220753885</v>
      </c>
      <c r="M523" s="140">
        <f t="shared" si="189"/>
        <v>1437.4945496457635</v>
      </c>
      <c r="N523" s="140">
        <f t="shared" si="189"/>
        <v>1363.416669305459</v>
      </c>
      <c r="O523" s="140">
        <f t="shared" si="189"/>
        <v>1303.1561810447577</v>
      </c>
      <c r="P523" s="140">
        <f t="shared" si="189"/>
        <v>1251.6354887046311</v>
      </c>
      <c r="Q523" s="140">
        <f t="shared" si="189"/>
        <v>1206.1460478622801</v>
      </c>
      <c r="R523" s="140">
        <f t="shared" si="189"/>
        <v>1165.0710988716232</v>
      </c>
      <c r="S523" s="140">
        <f t="shared" si="189"/>
        <v>1127.3677986111029</v>
      </c>
      <c r="T523" s="140">
        <f t="shared" si="189"/>
        <v>1092.3241011182183</v>
      </c>
      <c r="U523" s="140">
        <f t="shared" si="189"/>
        <v>1059.432132989007</v>
      </c>
      <c r="V523" s="140">
        <f t="shared" si="189"/>
        <v>1028.3168992853884</v>
      </c>
      <c r="W523" s="140">
        <f t="shared" si="189"/>
        <v>998.69362471743625</v>
      </c>
      <c r="X523" s="140">
        <f t="shared" si="189"/>
        <v>982.82745844303747</v>
      </c>
      <c r="Y523" s="140">
        <f t="shared" si="189"/>
        <v>968.05641102469019</v>
      </c>
      <c r="Z523" s="140">
        <f t="shared" si="189"/>
        <v>954.23901894508401</v>
      </c>
      <c r="AA523" s="140">
        <f t="shared" si="189"/>
        <v>941.25957419564656</v>
      </c>
      <c r="AB523" s="140">
        <f t="shared" si="189"/>
        <v>929.02222817726704</v>
      </c>
      <c r="AC523" s="140">
        <f t="shared" si="189"/>
        <v>917.44669186533713</v>
      </c>
      <c r="AD523" s="140">
        <f t="shared" si="189"/>
        <v>906.46504017708924</v>
      </c>
      <c r="AE523" s="140">
        <f t="shared" si="189"/>
        <v>896.01929682761943</v>
      </c>
      <c r="AF523" s="140">
        <f t="shared" si="189"/>
        <v>886.05958154058089</v>
      </c>
      <c r="AG523" s="140">
        <f t="shared" si="189"/>
        <v>876.54266945079962</v>
      </c>
      <c r="AH523" s="140">
        <f t="shared" si="189"/>
        <v>867.43085732966586</v>
      </c>
      <c r="AI523" s="140">
        <f t="shared" si="189"/>
        <v>858.691061409094</v>
      </c>
      <c r="AJ523" s="140">
        <f t="shared" si="189"/>
        <v>850.29409225441702</v>
      </c>
      <c r="AK523" s="140">
        <f t="shared" si="189"/>
        <v>842.21406656184888</v>
      </c>
      <c r="AL523" s="140">
        <f t="shared" si="189"/>
        <v>834.42792598001824</v>
      </c>
      <c r="AM523" s="140">
        <f t="shared" si="189"/>
        <v>826.91504040599648</v>
      </c>
      <c r="AN523" s="140">
        <f t="shared" si="189"/>
        <v>819.65687856167085</v>
      </c>
      <c r="AO523" s="140">
        <f t="shared" si="189"/>
        <v>812.63673260573387</v>
      </c>
      <c r="AP523" s="140">
        <f t="shared" si="189"/>
        <v>805.83948648206467</v>
      </c>
      <c r="AQ523" s="140">
        <f t="shared" si="189"/>
        <v>799.25141992516296</v>
      </c>
    </row>
    <row r="524" spans="7:43" ht="14.1" hidden="1" customHeight="1" thickBot="1" x14ac:dyDescent="0.3">
      <c r="H524" s="217"/>
      <c r="J524" s="211"/>
      <c r="K524" s="121" t="s">
        <v>130</v>
      </c>
      <c r="L524" s="141">
        <f t="shared" si="189"/>
        <v>1621.6230169611299</v>
      </c>
      <c r="M524" s="141">
        <f t="shared" si="189"/>
        <v>1556.9082740368492</v>
      </c>
      <c r="N524" s="141">
        <f t="shared" si="189"/>
        <v>1508.0691150200007</v>
      </c>
      <c r="O524" s="141">
        <f t="shared" si="189"/>
        <v>1467.928888764317</v>
      </c>
      <c r="P524" s="141">
        <f t="shared" si="189"/>
        <v>1433.2909234723095</v>
      </c>
      <c r="Q524" s="141">
        <f t="shared" si="189"/>
        <v>1402.4500170567217</v>
      </c>
      <c r="R524" s="141">
        <f t="shared" si="189"/>
        <v>1374.3883158320502</v>
      </c>
      <c r="S524" s="141">
        <f t="shared" si="189"/>
        <v>1348.4492833012105</v>
      </c>
      <c r="T524" s="141">
        <f t="shared" si="189"/>
        <v>1324.1846409529619</v>
      </c>
      <c r="U524" s="141">
        <f t="shared" si="189"/>
        <v>1301.2746499706843</v>
      </c>
      <c r="V524" s="141">
        <f t="shared" si="189"/>
        <v>1279.4832270375437</v>
      </c>
      <c r="W524" s="141">
        <f t="shared" si="189"/>
        <v>1258.6310878801573</v>
      </c>
      <c r="X524" s="141">
        <f t="shared" si="189"/>
        <v>1248.6423206219558</v>
      </c>
      <c r="Y524" s="141">
        <f t="shared" si="189"/>
        <v>1239.3430007818629</v>
      </c>
      <c r="Z524" s="141">
        <f t="shared" si="189"/>
        <v>1230.6440680206952</v>
      </c>
      <c r="AA524" s="141">
        <f t="shared" si="189"/>
        <v>1222.4726767406216</v>
      </c>
      <c r="AB524" s="141">
        <f t="shared" si="189"/>
        <v>1214.7684841132632</v>
      </c>
      <c r="AC524" s="141">
        <f t="shared" si="189"/>
        <v>1207.4809430583518</v>
      </c>
      <c r="AD524" s="141">
        <f t="shared" si="189"/>
        <v>1200.567290388422</v>
      </c>
      <c r="AE524" s="141">
        <f t="shared" si="189"/>
        <v>1193.9910263210827</v>
      </c>
      <c r="AF524" s="141">
        <f t="shared" si="189"/>
        <v>1187.7207480295522</v>
      </c>
      <c r="AG524" s="141">
        <f t="shared" si="189"/>
        <v>1181.7292426943925</v>
      </c>
      <c r="AH524" s="141">
        <f t="shared" si="189"/>
        <v>1175.992773719822</v>
      </c>
      <c r="AI524" s="141">
        <f t="shared" si="189"/>
        <v>1170.4905127561492</v>
      </c>
      <c r="AJ524" s="141">
        <f t="shared" si="189"/>
        <v>1165.2040831858435</v>
      </c>
      <c r="AK524" s="141">
        <f t="shared" si="189"/>
        <v>1160.1171898123901</v>
      </c>
      <c r="AL524" s="141">
        <f t="shared" si="189"/>
        <v>1155.215315927642</v>
      </c>
      <c r="AM524" s="141">
        <f t="shared" si="189"/>
        <v>1150.4854735612794</v>
      </c>
      <c r="AN524" s="141">
        <f t="shared" si="189"/>
        <v>1145.915996087549</v>
      </c>
      <c r="AO524" s="141">
        <f t="shared" si="189"/>
        <v>1141.4963648508838</v>
      </c>
      <c r="AP524" s="141">
        <f t="shared" si="189"/>
        <v>1137.2170633263813</v>
      </c>
      <c r="AQ524" s="141">
        <f t="shared" si="189"/>
        <v>1133.069453728679</v>
      </c>
    </row>
    <row r="525" spans="7:43" ht="14.1" hidden="1" customHeight="1" thickTop="1" x14ac:dyDescent="0.25">
      <c r="H525" s="217"/>
      <c r="J525" s="211"/>
      <c r="K525" s="119" t="s">
        <v>131</v>
      </c>
      <c r="L525" s="142">
        <f t="shared" si="189"/>
        <v>1623.3625568207954</v>
      </c>
      <c r="M525" s="142">
        <f t="shared" si="189"/>
        <v>1499.8033664369914</v>
      </c>
      <c r="N525" s="142">
        <f t="shared" si="189"/>
        <v>1407.7767414336206</v>
      </c>
      <c r="O525" s="142">
        <f t="shared" si="189"/>
        <v>1333.0282000353006</v>
      </c>
      <c r="P525" s="142">
        <f t="shared" si="189"/>
        <v>1269.2084159405722</v>
      </c>
      <c r="Q525" s="142">
        <f t="shared" si="189"/>
        <v>1212.9304651397993</v>
      </c>
      <c r="R525" s="142">
        <f t="shared" si="189"/>
        <v>1162.1726558279502</v>
      </c>
      <c r="S525" s="142">
        <f t="shared" si="189"/>
        <v>1115.6309553382657</v>
      </c>
      <c r="T525" s="142">
        <f t="shared" si="189"/>
        <v>1072.4149793203724</v>
      </c>
      <c r="U525" s="142">
        <f t="shared" si="189"/>
        <v>1031.8896528568037</v>
      </c>
      <c r="V525" s="142">
        <f t="shared" si="189"/>
        <v>993.58606011639267</v>
      </c>
      <c r="W525" s="142">
        <f t="shared" si="189"/>
        <v>957.14810124762141</v>
      </c>
      <c r="X525" s="142">
        <f t="shared" si="189"/>
        <v>937.30810931562633</v>
      </c>
      <c r="Y525" s="142">
        <f t="shared" si="189"/>
        <v>918.83751871807283</v>
      </c>
      <c r="Z525" s="142">
        <f t="shared" si="189"/>
        <v>901.55943511302837</v>
      </c>
      <c r="AA525" s="142">
        <f t="shared" si="189"/>
        <v>885.32917036872561</v>
      </c>
      <c r="AB525" s="142">
        <f t="shared" si="189"/>
        <v>870.02686973259529</v>
      </c>
      <c r="AC525" s="142">
        <f t="shared" si="189"/>
        <v>855.55213506352925</v>
      </c>
      <c r="AD525" s="142">
        <f t="shared" si="189"/>
        <v>841.82002882395307</v>
      </c>
      <c r="AE525" s="142">
        <f t="shared" si="189"/>
        <v>828.75805404107348</v>
      </c>
      <c r="AF525" s="142">
        <f t="shared" si="189"/>
        <v>816.30383746963537</v>
      </c>
      <c r="AG525" s="142">
        <f t="shared" si="189"/>
        <v>804.40332818382035</v>
      </c>
      <c r="AH525" s="142">
        <f t="shared" si="189"/>
        <v>793.00937983847552</v>
      </c>
      <c r="AI525" s="142">
        <f t="shared" si="189"/>
        <v>782.08062253487799</v>
      </c>
      <c r="AJ525" s="142">
        <f t="shared" si="189"/>
        <v>771.58055607894914</v>
      </c>
      <c r="AK525" s="142">
        <f t="shared" si="189"/>
        <v>761.47681445804267</v>
      </c>
      <c r="AL525" s="142">
        <f t="shared" si="189"/>
        <v>751.74056414695417</v>
      </c>
      <c r="AM525" s="142">
        <f t="shared" si="189"/>
        <v>742.34600804583022</v>
      </c>
      <c r="AN525" s="142">
        <f t="shared" si="189"/>
        <v>733.26997354940045</v>
      </c>
      <c r="AO525" s="142">
        <f t="shared" si="189"/>
        <v>724.49156818553126</v>
      </c>
      <c r="AP525" s="142">
        <f t="shared" si="189"/>
        <v>715.9918899443561</v>
      </c>
      <c r="AQ525" s="142">
        <f t="shared" si="189"/>
        <v>707.75378219508275</v>
      </c>
    </row>
    <row r="526" spans="7:43" ht="14.1" hidden="1" customHeight="1" x14ac:dyDescent="0.25">
      <c r="H526" s="217"/>
      <c r="J526" s="211"/>
      <c r="K526" s="7" t="s">
        <v>132</v>
      </c>
      <c r="L526" s="140">
        <f t="shared" si="189"/>
        <v>1682.1050125462414</v>
      </c>
      <c r="M526" s="140">
        <f t="shared" si="189"/>
        <v>1573.4212309745781</v>
      </c>
      <c r="N526" s="140">
        <f t="shared" si="189"/>
        <v>1492.3386907299896</v>
      </c>
      <c r="O526" s="140">
        <f t="shared" si="189"/>
        <v>1426.3800882144899</v>
      </c>
      <c r="P526" s="140">
        <f t="shared" si="189"/>
        <v>1369.9876996781713</v>
      </c>
      <c r="Q526" s="140">
        <f t="shared" si="189"/>
        <v>1320.1968660195985</v>
      </c>
      <c r="R526" s="140">
        <f t="shared" si="189"/>
        <v>1275.2379499534309</v>
      </c>
      <c r="S526" s="140">
        <f t="shared" si="189"/>
        <v>1233.9694991462045</v>
      </c>
      <c r="T526" s="140">
        <f t="shared" si="189"/>
        <v>1195.6121379577794</v>
      </c>
      <c r="U526" s="140">
        <f t="shared" si="189"/>
        <v>1159.6099694655277</v>
      </c>
      <c r="V526" s="140">
        <f t="shared" si="189"/>
        <v>1125.5525399413091</v>
      </c>
      <c r="W526" s="140">
        <f t="shared" si="189"/>
        <v>1093.1281462991269</v>
      </c>
      <c r="X526" s="140">
        <f t="shared" si="189"/>
        <v>1075.7617062827362</v>
      </c>
      <c r="Y526" s="140">
        <f t="shared" si="189"/>
        <v>1059.5939374258128</v>
      </c>
      <c r="Z526" s="140">
        <f t="shared" si="189"/>
        <v>1044.4699996967204</v>
      </c>
      <c r="AA526" s="140">
        <f t="shared" si="189"/>
        <v>1030.2632439632403</v>
      </c>
      <c r="AB526" s="140">
        <f t="shared" si="189"/>
        <v>1016.8687583696459</v>
      </c>
      <c r="AC526" s="140">
        <f t="shared" si="189"/>
        <v>1004.1986619177353</v>
      </c>
      <c r="AD526" s="140">
        <f t="shared" si="189"/>
        <v>992.17860666137619</v>
      </c>
      <c r="AE526" s="140">
        <f t="shared" si="189"/>
        <v>980.74513419122491</v>
      </c>
      <c r="AF526" s="140">
        <f t="shared" si="189"/>
        <v>969.84364764927579</v>
      </c>
      <c r="AG526" s="140">
        <f t="shared" si="189"/>
        <v>959.42683491139758</v>
      </c>
      <c r="AH526" s="140">
        <f t="shared" si="189"/>
        <v>949.45342760520907</v>
      </c>
      <c r="AI526" s="140">
        <f t="shared" si="189"/>
        <v>939.88721362603155</v>
      </c>
      <c r="AJ526" s="140">
        <f t="shared" si="189"/>
        <v>930.69624344317879</v>
      </c>
      <c r="AK526" s="140">
        <f t="shared" si="189"/>
        <v>921.85218627813447</v>
      </c>
      <c r="AL526" s="140">
        <f t="shared" si="189"/>
        <v>913.32980342678809</v>
      </c>
      <c r="AM526" s="140">
        <f t="shared" si="189"/>
        <v>905.1065140439091</v>
      </c>
      <c r="AN526" s="140">
        <f t="shared" si="189"/>
        <v>897.16203456986466</v>
      </c>
      <c r="AO526" s="140">
        <f t="shared" si="189"/>
        <v>889.47807730245552</v>
      </c>
      <c r="AP526" s="140">
        <f t="shared" si="189"/>
        <v>882.03809684077214</v>
      </c>
      <c r="AQ526" s="140">
        <f t="shared" si="189"/>
        <v>874.82707555776472</v>
      </c>
    </row>
    <row r="527" spans="7:43" ht="14.1" hidden="1" customHeight="1" thickBot="1" x14ac:dyDescent="0.3">
      <c r="H527" s="217"/>
      <c r="J527" s="211"/>
      <c r="K527" s="121" t="s">
        <v>133</v>
      </c>
      <c r="L527" s="141">
        <f t="shared" si="189"/>
        <v>1774.9605270868303</v>
      </c>
      <c r="M527" s="141">
        <f t="shared" si="189"/>
        <v>1704.1264842730909</v>
      </c>
      <c r="N527" s="141">
        <f t="shared" si="189"/>
        <v>1650.6691896217899</v>
      </c>
      <c r="O527" s="141">
        <f t="shared" si="189"/>
        <v>1606.7333818495936</v>
      </c>
      <c r="P527" s="141">
        <f t="shared" si="189"/>
        <v>1568.8201181077343</v>
      </c>
      <c r="Q527" s="141">
        <f t="shared" si="189"/>
        <v>1535.0629557249315</v>
      </c>
      <c r="R527" s="141">
        <f t="shared" si="189"/>
        <v>1504.3477947561169</v>
      </c>
      <c r="S527" s="141">
        <f t="shared" si="189"/>
        <v>1475.9560178933657</v>
      </c>
      <c r="T527" s="141">
        <f t="shared" si="189"/>
        <v>1449.3969582836112</v>
      </c>
      <c r="U527" s="141">
        <f t="shared" si="189"/>
        <v>1424.320643231262</v>
      </c>
      <c r="V527" s="141">
        <f t="shared" si="189"/>
        <v>1400.4686658414355</v>
      </c>
      <c r="W527" s="141">
        <f t="shared" si="189"/>
        <v>1377.6447890694831</v>
      </c>
      <c r="X527" s="141">
        <f t="shared" si="189"/>
        <v>1366.7115034586327</v>
      </c>
      <c r="Y527" s="141">
        <f t="shared" si="189"/>
        <v>1356.5328580692424</v>
      </c>
      <c r="Z527" s="141">
        <f t="shared" si="189"/>
        <v>1347.0113711901345</v>
      </c>
      <c r="AA527" s="141">
        <f t="shared" si="189"/>
        <v>1338.067309085804</v>
      </c>
      <c r="AB527" s="141">
        <f t="shared" si="189"/>
        <v>1329.6346230276961</v>
      </c>
      <c r="AC527" s="141">
        <f t="shared" si="189"/>
        <v>1321.6579863022062</v>
      </c>
      <c r="AD527" s="141">
        <f t="shared" si="189"/>
        <v>1314.0905921182543</v>
      </c>
      <c r="AE527" s="141">
        <f t="shared" si="189"/>
        <v>1306.8924893452063</v>
      </c>
      <c r="AF527" s="141">
        <f t="shared" si="189"/>
        <v>1300.0293057662184</v>
      </c>
      <c r="AG527" s="141">
        <f t="shared" si="189"/>
        <v>1293.4712553707154</v>
      </c>
      <c r="AH527" s="141">
        <f t="shared" si="189"/>
        <v>1287.1923570767078</v>
      </c>
      <c r="AI527" s="141">
        <f t="shared" si="189"/>
        <v>1281.1698130463747</v>
      </c>
      <c r="AJ527" s="141">
        <f t="shared" si="189"/>
        <v>1275.3835090050686</v>
      </c>
      <c r="AK527" s="141">
        <f t="shared" si="189"/>
        <v>1269.8156089142697</v>
      </c>
      <c r="AL527" s="141">
        <f t="shared" si="189"/>
        <v>1264.450223394218</v>
      </c>
      <c r="AM527" s="141">
        <f t="shared" si="189"/>
        <v>1259.2731363574487</v>
      </c>
      <c r="AN527" s="141">
        <f t="shared" si="189"/>
        <v>1254.2715780048279</v>
      </c>
      <c r="AO527" s="141">
        <f t="shared" si="189"/>
        <v>1249.4340350572313</v>
      </c>
      <c r="AP527" s="141">
        <f t="shared" si="189"/>
        <v>1244.7500911257198</v>
      </c>
      <c r="AQ527" s="141">
        <f t="shared" si="189"/>
        <v>1240.210291652792</v>
      </c>
    </row>
    <row r="528" spans="7:43" ht="14.1" customHeight="1" thickTop="1" x14ac:dyDescent="0.25">
      <c r="H528" s="217"/>
      <c r="J528" s="211"/>
      <c r="K528" s="119" t="s">
        <v>134</v>
      </c>
      <c r="L528" s="142">
        <f t="shared" si="189"/>
        <v>1301.0915122709559</v>
      </c>
      <c r="M528" s="142">
        <f t="shared" si="189"/>
        <v>1202.061376830186</v>
      </c>
      <c r="N528" s="142">
        <f t="shared" si="189"/>
        <v>1128.3039403341033</v>
      </c>
      <c r="O528" s="142">
        <f t="shared" si="189"/>
        <v>1068.3945304740826</v>
      </c>
      <c r="P528" s="142">
        <f t="shared" si="189"/>
        <v>1017.2442935465824</v>
      </c>
      <c r="Q528" s="142">
        <f t="shared" si="189"/>
        <v>972.13868001174262</v>
      </c>
      <c r="R528" s="142">
        <f t="shared" si="189"/>
        <v>931.45734570374384</v>
      </c>
      <c r="S528" s="142">
        <f t="shared" si="189"/>
        <v>894.15513541229996</v>
      </c>
      <c r="T528" s="142">
        <f t="shared" si="189"/>
        <v>859.51842449696164</v>
      </c>
      <c r="U528" s="142">
        <f t="shared" si="189"/>
        <v>827.03821354703064</v>
      </c>
      <c r="V528" s="142">
        <f t="shared" si="189"/>
        <v>796.33867622270532</v>
      </c>
      <c r="W528" s="142">
        <f t="shared" si="189"/>
        <v>767.13440585842955</v>
      </c>
      <c r="X528" s="142">
        <f t="shared" si="189"/>
        <v>751.23306268787087</v>
      </c>
      <c r="Y528" s="142">
        <f t="shared" si="189"/>
        <v>736.42926636268464</v>
      </c>
      <c r="Z528" s="142">
        <f t="shared" si="189"/>
        <v>722.58123972662804</v>
      </c>
      <c r="AA528" s="142">
        <f t="shared" si="189"/>
        <v>709.5730182347645</v>
      </c>
      <c r="AB528" s="142">
        <f t="shared" si="189"/>
        <v>697.30854078194034</v>
      </c>
      <c r="AC528" s="142">
        <f t="shared" si="189"/>
        <v>685.70734033465487</v>
      </c>
      <c r="AD528" s="142">
        <f t="shared" si="189"/>
        <v>674.70134121335809</v>
      </c>
      <c r="AE528" s="142">
        <f t="shared" si="189"/>
        <v>664.23243859385661</v>
      </c>
      <c r="AF528" s="142">
        <f t="shared" si="189"/>
        <v>654.25064161018304</v>
      </c>
      <c r="AG528" s="142">
        <f t="shared" si="189"/>
        <v>644.71262956326302</v>
      </c>
      <c r="AH528" s="142">
        <f t="shared" si="189"/>
        <v>635.5806156326139</v>
      </c>
      <c r="AI528" s="142">
        <f t="shared" si="189"/>
        <v>626.82144270008837</v>
      </c>
      <c r="AJ528" s="142">
        <f t="shared" si="189"/>
        <v>618.40585661508908</v>
      </c>
      <c r="AK528" s="142">
        <f t="shared" si="189"/>
        <v>610.30791668792631</v>
      </c>
      <c r="AL528" s="142">
        <f t="shared" si="189"/>
        <v>602.50451344453052</v>
      </c>
      <c r="AM528" s="142">
        <f t="shared" si="189"/>
        <v>594.97497104294666</v>
      </c>
      <c r="AN528" s="142">
        <f t="shared" si="189"/>
        <v>587.70071711934406</v>
      </c>
      <c r="AO528" s="142">
        <f t="shared" si="189"/>
        <v>580.66500678943976</v>
      </c>
      <c r="AP528" s="142">
        <f t="shared" si="189"/>
        <v>573.85269048328757</v>
      </c>
      <c r="AQ528" s="142">
        <f t="shared" ref="AQ528" si="190">AQ572</f>
        <v>567.25001751616901</v>
      </c>
    </row>
    <row r="529" spans="7:78" ht="14.1" customHeight="1" x14ac:dyDescent="0.25">
      <c r="H529" s="217"/>
      <c r="J529" s="211"/>
      <c r="K529" s="7" t="s">
        <v>135</v>
      </c>
      <c r="L529" s="140">
        <f t="shared" ref="L529:AQ530" si="191">L573</f>
        <v>1348.1723755280277</v>
      </c>
      <c r="M529" s="140">
        <f t="shared" si="191"/>
        <v>1261.0645725728241</v>
      </c>
      <c r="N529" s="140">
        <f t="shared" si="191"/>
        <v>1196.0785936475702</v>
      </c>
      <c r="O529" s="140">
        <f t="shared" si="191"/>
        <v>1143.2141379943382</v>
      </c>
      <c r="P529" s="140">
        <f t="shared" si="191"/>
        <v>1098.0168049814456</v>
      </c>
      <c r="Q529" s="140">
        <f t="shared" si="191"/>
        <v>1058.1104816589868</v>
      </c>
      <c r="R529" s="140">
        <f t="shared" si="191"/>
        <v>1022.0768403452736</v>
      </c>
      <c r="S529" s="140">
        <f t="shared" si="191"/>
        <v>989.00103060440563</v>
      </c>
      <c r="T529" s="140">
        <f t="shared" si="191"/>
        <v>958.25839898112326</v>
      </c>
      <c r="U529" s="140">
        <f t="shared" si="191"/>
        <v>929.40340558990351</v>
      </c>
      <c r="V529" s="140">
        <f t="shared" si="191"/>
        <v>902.10708025731265</v>
      </c>
      <c r="W529" s="140">
        <f t="shared" si="191"/>
        <v>876.11959940707368</v>
      </c>
      <c r="X529" s="140">
        <f t="shared" si="191"/>
        <v>862.20075693485376</v>
      </c>
      <c r="Y529" s="140">
        <f t="shared" si="191"/>
        <v>849.24262460408329</v>
      </c>
      <c r="Z529" s="140">
        <f t="shared" si="191"/>
        <v>837.12110133205874</v>
      </c>
      <c r="AA529" s="140">
        <f t="shared" si="191"/>
        <v>825.73468045886978</v>
      </c>
      <c r="AB529" s="140">
        <f t="shared" si="191"/>
        <v>814.99927730210891</v>
      </c>
      <c r="AC529" s="140">
        <f t="shared" si="191"/>
        <v>804.84445705941494</v>
      </c>
      <c r="AD529" s="140">
        <f t="shared" si="191"/>
        <v>795.21063138974785</v>
      </c>
      <c r="AE529" s="140">
        <f t="shared" si="191"/>
        <v>786.04693969056837</v>
      </c>
      <c r="AF529" s="140">
        <f t="shared" si="191"/>
        <v>777.30962370944599</v>
      </c>
      <c r="AG529" s="140">
        <f t="shared" si="191"/>
        <v>768.96076375747566</v>
      </c>
      <c r="AH529" s="140">
        <f t="shared" si="191"/>
        <v>760.96728408777324</v>
      </c>
      <c r="AI529" s="140">
        <f t="shared" si="191"/>
        <v>753.30016144743649</v>
      </c>
      <c r="AJ529" s="140">
        <f t="shared" si="191"/>
        <v>745.9337889484525</v>
      </c>
      <c r="AK529" s="140">
        <f t="shared" si="191"/>
        <v>738.84546005782352</v>
      </c>
      <c r="AL529" s="140">
        <f t="shared" si="191"/>
        <v>732.01494647623269</v>
      </c>
      <c r="AM529" s="140">
        <f t="shared" si="191"/>
        <v>725.42415012328161</v>
      </c>
      <c r="AN529" s="140">
        <f t="shared" si="191"/>
        <v>719.05681414546211</v>
      </c>
      <c r="AO529" s="140">
        <f t="shared" si="191"/>
        <v>712.89828132771754</v>
      </c>
      <c r="AP529" s="140">
        <f t="shared" si="191"/>
        <v>706.93529087343757</v>
      </c>
      <c r="AQ529" s="140">
        <f t="shared" si="191"/>
        <v>701.15580646516071</v>
      </c>
    </row>
    <row r="530" spans="7:78" ht="14.1" customHeight="1" thickBot="1" x14ac:dyDescent="0.3">
      <c r="H530" s="217"/>
      <c r="J530" s="211"/>
      <c r="K530" s="121" t="s">
        <v>136</v>
      </c>
      <c r="L530" s="141">
        <f t="shared" si="191"/>
        <v>1422.594149843751</v>
      </c>
      <c r="M530" s="141">
        <f t="shared" si="191"/>
        <v>1365.8221296332542</v>
      </c>
      <c r="N530" s="141">
        <f t="shared" si="191"/>
        <v>1322.9772136608246</v>
      </c>
      <c r="O530" s="141">
        <f t="shared" si="191"/>
        <v>1287.7635724831421</v>
      </c>
      <c r="P530" s="141">
        <f t="shared" si="191"/>
        <v>1257.3768757777377</v>
      </c>
      <c r="Q530" s="141">
        <f t="shared" si="191"/>
        <v>1230.3212083483791</v>
      </c>
      <c r="R530" s="141">
        <f t="shared" si="191"/>
        <v>1205.7036421327177</v>
      </c>
      <c r="S530" s="141">
        <f t="shared" si="191"/>
        <v>1182.9482202220629</v>
      </c>
      <c r="T530" s="141">
        <f t="shared" si="191"/>
        <v>1161.6616832824502</v>
      </c>
      <c r="U530" s="141">
        <f t="shared" si="191"/>
        <v>1141.563535437067</v>
      </c>
      <c r="V530" s="141">
        <f t="shared" si="191"/>
        <v>1122.4466689044555</v>
      </c>
      <c r="W530" s="141">
        <f t="shared" si="191"/>
        <v>1104.1538037522234</v>
      </c>
      <c r="X530" s="141">
        <f t="shared" si="191"/>
        <v>1095.3910014750966</v>
      </c>
      <c r="Y530" s="141">
        <f t="shared" si="191"/>
        <v>1087.2330277267754</v>
      </c>
      <c r="Z530" s="141">
        <f t="shared" si="191"/>
        <v>1079.6017529320259</v>
      </c>
      <c r="AA530" s="141">
        <f t="shared" si="191"/>
        <v>1072.4332721510236</v>
      </c>
      <c r="AB530" s="141">
        <f t="shared" si="191"/>
        <v>1065.6746486939587</v>
      </c>
      <c r="AC530" s="141">
        <f t="shared" si="191"/>
        <v>1059.281539344234</v>
      </c>
      <c r="AD530" s="141">
        <f t="shared" si="191"/>
        <v>1053.2164294269335</v>
      </c>
      <c r="AE530" s="141">
        <f t="shared" si="191"/>
        <v>1047.4472989371875</v>
      </c>
      <c r="AF530" s="141">
        <f t="shared" si="191"/>
        <v>1041.9465992541382</v>
      </c>
      <c r="AG530" s="141">
        <f t="shared" si="191"/>
        <v>1036.6904575063918</v>
      </c>
      <c r="AH530" s="141">
        <f t="shared" si="191"/>
        <v>1031.6580503941168</v>
      </c>
      <c r="AI530" s="141">
        <f t="shared" si="191"/>
        <v>1026.8311059218415</v>
      </c>
      <c r="AJ530" s="141">
        <f t="shared" si="191"/>
        <v>1022.1935029144726</v>
      </c>
      <c r="AK530" s="141">
        <f t="shared" si="191"/>
        <v>1017.7309461560496</v>
      </c>
      <c r="AL530" s="141">
        <f t="shared" si="191"/>
        <v>1013.4307006373456</v>
      </c>
      <c r="AM530" s="141">
        <f t="shared" si="191"/>
        <v>1009.2813724582971</v>
      </c>
      <c r="AN530" s="141">
        <f t="shared" si="191"/>
        <v>1005.2727268890244</v>
      </c>
      <c r="AO530" s="141">
        <f t="shared" si="191"/>
        <v>1001.3955362744457</v>
      </c>
      <c r="AP530" s="141">
        <f t="shared" si="191"/>
        <v>997.64145209427477</v>
      </c>
      <c r="AQ530" s="141">
        <f t="shared" si="191"/>
        <v>994.00289671622897</v>
      </c>
    </row>
    <row r="531" spans="7:78" ht="14.1" customHeight="1" thickTop="1" x14ac:dyDescent="0.25">
      <c r="H531" s="217"/>
      <c r="J531" s="129"/>
      <c r="K531" s="7"/>
      <c r="L531" s="153"/>
      <c r="M531" s="153"/>
      <c r="N531" s="153"/>
      <c r="O531" s="153"/>
      <c r="P531" s="153"/>
      <c r="Q531" s="153"/>
      <c r="R531" s="153"/>
      <c r="S531" s="153"/>
      <c r="T531" s="153"/>
      <c r="U531" s="153"/>
      <c r="V531" s="153"/>
      <c r="W531" s="153"/>
      <c r="X531" s="153"/>
      <c r="Y531" s="153"/>
      <c r="Z531" s="153"/>
      <c r="AA531" s="153"/>
      <c r="AB531" s="153"/>
      <c r="AC531" s="153"/>
      <c r="AD531" s="153"/>
      <c r="AE531" s="153"/>
      <c r="AF531" s="153"/>
      <c r="AG531" s="153"/>
      <c r="AH531" s="153"/>
      <c r="AI531" s="153"/>
      <c r="AJ531" s="153"/>
      <c r="AK531" s="153"/>
      <c r="AL531" s="153"/>
      <c r="AM531" s="153"/>
      <c r="AN531" s="153"/>
      <c r="AO531" s="153"/>
      <c r="AP531" s="153"/>
      <c r="AQ531" s="153"/>
    </row>
    <row r="532" spans="7:78" ht="14.1" customHeight="1" thickBot="1" x14ac:dyDescent="0.3">
      <c r="H532" s="217"/>
      <c r="J532" s="129"/>
      <c r="K532" s="7"/>
      <c r="L532" s="107">
        <v>2019</v>
      </c>
      <c r="M532" s="107">
        <v>2020</v>
      </c>
      <c r="N532" s="107">
        <v>2021</v>
      </c>
      <c r="O532" s="107">
        <v>2022</v>
      </c>
      <c r="P532" s="107">
        <v>2023</v>
      </c>
      <c r="Q532" s="107">
        <v>2024</v>
      </c>
      <c r="R532" s="107">
        <v>2025</v>
      </c>
      <c r="S532" s="107">
        <v>2026</v>
      </c>
      <c r="T532" s="107">
        <v>2027</v>
      </c>
      <c r="U532" s="107">
        <v>2028</v>
      </c>
      <c r="V532" s="107">
        <v>2029</v>
      </c>
      <c r="W532" s="107">
        <v>2030</v>
      </c>
      <c r="X532" s="107">
        <v>2031</v>
      </c>
      <c r="Y532" s="107">
        <v>2032</v>
      </c>
      <c r="Z532" s="107">
        <v>2033</v>
      </c>
      <c r="AA532" s="107">
        <v>2034</v>
      </c>
      <c r="AB532" s="107">
        <v>2035</v>
      </c>
      <c r="AC532" s="107">
        <v>2036</v>
      </c>
      <c r="AD532" s="107">
        <v>2037</v>
      </c>
      <c r="AE532" s="107">
        <v>2038</v>
      </c>
      <c r="AF532" s="107">
        <v>2039</v>
      </c>
      <c r="AG532" s="107">
        <v>2040</v>
      </c>
      <c r="AH532" s="107">
        <v>2041</v>
      </c>
      <c r="AI532" s="107">
        <v>2042</v>
      </c>
      <c r="AJ532" s="107">
        <v>2043</v>
      </c>
      <c r="AK532" s="107">
        <v>2044</v>
      </c>
      <c r="AL532" s="107">
        <v>2045</v>
      </c>
      <c r="AM532" s="107">
        <v>2046</v>
      </c>
      <c r="AN532" s="107">
        <v>2047</v>
      </c>
      <c r="AO532" s="107">
        <v>2048</v>
      </c>
      <c r="AP532" s="107">
        <v>2049</v>
      </c>
      <c r="AQ532" s="107">
        <v>2050</v>
      </c>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c r="BS532" s="107"/>
      <c r="BT532" s="107"/>
      <c r="BU532" s="107"/>
      <c r="BV532" s="107"/>
      <c r="BW532" s="107"/>
      <c r="BX532" s="107"/>
      <c r="BY532" s="107"/>
      <c r="BZ532" s="107"/>
    </row>
    <row r="533" spans="7:78" ht="14.1" hidden="1" customHeight="1" thickTop="1" x14ac:dyDescent="0.25">
      <c r="G533" s="106"/>
      <c r="H533" s="217"/>
      <c r="J533" s="209" t="s">
        <v>145</v>
      </c>
      <c r="K533" s="7" t="s">
        <v>95</v>
      </c>
      <c r="L533" s="152">
        <v>878.2390056045549</v>
      </c>
      <c r="M533" s="152">
        <v>808.21600244456397</v>
      </c>
      <c r="N533" s="152">
        <v>756.1103192879707</v>
      </c>
      <c r="O533" s="152">
        <v>713.82232616902763</v>
      </c>
      <c r="P533" s="152">
        <v>677.74423191132792</v>
      </c>
      <c r="Q533" s="152">
        <v>645.95153083080163</v>
      </c>
      <c r="R533" s="152">
        <v>617.2954645380828</v>
      </c>
      <c r="S533" s="152">
        <v>591.03506031803363</v>
      </c>
      <c r="T533" s="152">
        <v>566.66438720248811</v>
      </c>
      <c r="U533" s="152">
        <v>543.82258522381971</v>
      </c>
      <c r="V533" s="152">
        <v>522.24320872813666</v>
      </c>
      <c r="W533" s="152">
        <v>501.72391594857186</v>
      </c>
      <c r="X533" s="152">
        <v>490.45050764761044</v>
      </c>
      <c r="Y533" s="152">
        <v>479.95521560919377</v>
      </c>
      <c r="Z533" s="152">
        <v>470.13752557154339</v>
      </c>
      <c r="AA533" s="152">
        <v>460.91522336888193</v>
      </c>
      <c r="AB533" s="152">
        <v>452.22020556814579</v>
      </c>
      <c r="AC533" s="152">
        <v>443.9954243015107</v>
      </c>
      <c r="AD533" s="152">
        <v>436.19261666925206</v>
      </c>
      <c r="AE533" s="152">
        <v>428.77058870427123</v>
      </c>
      <c r="AF533" s="152">
        <v>421.69389890723539</v>
      </c>
      <c r="AG533" s="152">
        <v>414.93183465699622</v>
      </c>
      <c r="AH533" s="152">
        <v>408.45760662820408</v>
      </c>
      <c r="AI533" s="152">
        <v>402.24770776696084</v>
      </c>
      <c r="AJ533" s="152">
        <v>396.28139806529094</v>
      </c>
      <c r="AK533" s="152">
        <v>390.54028662480664</v>
      </c>
      <c r="AL533" s="152">
        <v>385.00798976432952</v>
      </c>
      <c r="AM533" s="152">
        <v>379.66984914928912</v>
      </c>
      <c r="AN533" s="152">
        <v>374.51269772591286</v>
      </c>
      <c r="AO533" s="152">
        <v>369.52466404941453</v>
      </c>
      <c r="AP533" s="152">
        <v>364.69500768826242</v>
      </c>
      <c r="AQ533" s="152">
        <v>360.01397996389619</v>
      </c>
      <c r="AR533" s="149"/>
      <c r="AS533" s="149"/>
      <c r="AT533" s="149"/>
      <c r="AU533" s="149"/>
      <c r="AV533" s="149"/>
      <c r="AW533" s="149"/>
      <c r="AX533" s="149"/>
      <c r="AY533" s="149"/>
      <c r="AZ533" s="149"/>
      <c r="BA533" s="149"/>
      <c r="BB533" s="149"/>
      <c r="BC533" s="149"/>
      <c r="BD533" s="149"/>
      <c r="BE533" s="149"/>
      <c r="BF533" s="149"/>
      <c r="BG533" s="149"/>
      <c r="BH533" s="149"/>
      <c r="BI533" s="149"/>
      <c r="BJ533" s="149"/>
      <c r="BK533" s="149"/>
      <c r="BL533" s="149"/>
      <c r="BM533" s="149"/>
      <c r="BN533" s="149"/>
      <c r="BO533" s="149"/>
      <c r="BP533" s="149"/>
      <c r="BQ533" s="149"/>
      <c r="BR533" s="149"/>
      <c r="BS533" s="149"/>
      <c r="BT533" s="149"/>
      <c r="BU533" s="149"/>
      <c r="BV533" s="149"/>
      <c r="BW533" s="149"/>
      <c r="BX533" s="149"/>
      <c r="BY533" s="149"/>
      <c r="BZ533" s="149"/>
    </row>
    <row r="534" spans="7:78" ht="14.1" hidden="1" customHeight="1" x14ac:dyDescent="0.25">
      <c r="G534" s="106"/>
      <c r="H534" s="217"/>
      <c r="J534" s="210"/>
      <c r="K534" s="7" t="s">
        <v>96</v>
      </c>
      <c r="L534" s="150">
        <v>911.43808852095674</v>
      </c>
      <c r="M534" s="150">
        <v>848.44455237320494</v>
      </c>
      <c r="N534" s="150">
        <v>801.36876002505335</v>
      </c>
      <c r="O534" s="150">
        <v>763.01500170284078</v>
      </c>
      <c r="P534" s="150">
        <v>730.17811638819228</v>
      </c>
      <c r="Q534" s="150">
        <v>701.14837358491627</v>
      </c>
      <c r="R534" s="150">
        <v>674.90521655092766</v>
      </c>
      <c r="S534" s="150">
        <v>650.79036526221807</v>
      </c>
      <c r="T534" s="150">
        <v>628.35435073960195</v>
      </c>
      <c r="U534" s="150">
        <v>607.27658505413297</v>
      </c>
      <c r="V534" s="150">
        <v>587.32035793584419</v>
      </c>
      <c r="W534" s="150">
        <v>568.30590899621291</v>
      </c>
      <c r="X534" s="150">
        <v>558.29061513256818</v>
      </c>
      <c r="Y534" s="150">
        <v>548.96659961362786</v>
      </c>
      <c r="Z534" s="150">
        <v>540.24456558769248</v>
      </c>
      <c r="AA534" s="150">
        <v>532.05147400498834</v>
      </c>
      <c r="AB534" s="150">
        <v>524.32682178809239</v>
      </c>
      <c r="AC534" s="150">
        <v>517.01992762170914</v>
      </c>
      <c r="AD534" s="150">
        <v>510.08791475458924</v>
      </c>
      <c r="AE534" s="150">
        <v>503.4941864739294</v>
      </c>
      <c r="AF534" s="150">
        <v>497.20725655823333</v>
      </c>
      <c r="AG534" s="150">
        <v>491.19983992051465</v>
      </c>
      <c r="AH534" s="150">
        <v>485.44813692905382</v>
      </c>
      <c r="AI534" s="150">
        <v>479.93126392148588</v>
      </c>
      <c r="AJ534" s="150">
        <v>474.63079547853579</v>
      </c>
      <c r="AK534" s="150">
        <v>469.53039312945373</v>
      </c>
      <c r="AL534" s="150">
        <v>464.61550161489083</v>
      </c>
      <c r="AM534" s="150">
        <v>459.8730984731074</v>
      </c>
      <c r="AN534" s="150">
        <v>455.29148609595052</v>
      </c>
      <c r="AO534" s="150">
        <v>450.86011789405313</v>
      </c>
      <c r="AP534" s="150">
        <v>446.56945207001519</v>
      </c>
      <c r="AQ534" s="150">
        <v>442.41082789959472</v>
      </c>
      <c r="AR534" s="149"/>
      <c r="AS534" s="149"/>
      <c r="AT534" s="149"/>
      <c r="AU534" s="149"/>
      <c r="AV534" s="149"/>
      <c r="AW534" s="149"/>
      <c r="AX534" s="149"/>
      <c r="AY534" s="149"/>
      <c r="AZ534" s="149"/>
      <c r="BA534" s="149"/>
      <c r="BB534" s="149"/>
      <c r="BC534" s="149"/>
      <c r="BD534" s="149"/>
      <c r="BE534" s="149"/>
      <c r="BF534" s="149"/>
      <c r="BG534" s="149"/>
      <c r="BH534" s="149"/>
      <c r="BI534" s="149"/>
      <c r="BJ534" s="149"/>
      <c r="BK534" s="149"/>
      <c r="BL534" s="149"/>
      <c r="BM534" s="149"/>
      <c r="BN534" s="149"/>
      <c r="BO534" s="149"/>
      <c r="BP534" s="149"/>
      <c r="BQ534" s="149"/>
      <c r="BR534" s="149"/>
      <c r="BS534" s="149"/>
      <c r="BT534" s="149"/>
      <c r="BU534" s="149"/>
      <c r="BV534" s="149"/>
      <c r="BW534" s="149"/>
      <c r="BX534" s="149"/>
      <c r="BY534" s="149"/>
      <c r="BZ534" s="149"/>
    </row>
    <row r="535" spans="7:78" ht="14.1" hidden="1" customHeight="1" thickBot="1" x14ac:dyDescent="0.3">
      <c r="G535" s="106"/>
      <c r="H535" s="217"/>
      <c r="J535" s="210"/>
      <c r="K535" s="121" t="s">
        <v>97</v>
      </c>
      <c r="L535" s="151">
        <v>965.42675469022663</v>
      </c>
      <c r="M535" s="151">
        <v>922.3092026984167</v>
      </c>
      <c r="N535" s="151">
        <v>889.83188372840652</v>
      </c>
      <c r="O535" s="151">
        <v>863.18481781614014</v>
      </c>
      <c r="P535" s="151">
        <v>840.2255116197739</v>
      </c>
      <c r="Q535" s="151">
        <v>819.81109394392695</v>
      </c>
      <c r="R535" s="151">
        <v>801.25937253293728</v>
      </c>
      <c r="S535" s="151">
        <v>784.13031939431482</v>
      </c>
      <c r="T535" s="151">
        <v>768.12348650384615</v>
      </c>
      <c r="U535" s="151">
        <v>753.02457651443376</v>
      </c>
      <c r="V535" s="151">
        <v>738.67536019065358</v>
      </c>
      <c r="W535" s="151">
        <v>724.95567650679789</v>
      </c>
      <c r="X535" s="151">
        <v>718.26094251480845</v>
      </c>
      <c r="Y535" s="151">
        <v>712.02829427838719</v>
      </c>
      <c r="Z535" s="151">
        <v>706.1980412206434</v>
      </c>
      <c r="AA535" s="151">
        <v>700.72136030992965</v>
      </c>
      <c r="AB535" s="151">
        <v>695.55780819884558</v>
      </c>
      <c r="AC535" s="151">
        <v>690.67350690748515</v>
      </c>
      <c r="AD535" s="151">
        <v>686.03979542520153</v>
      </c>
      <c r="AE535" s="151">
        <v>681.63221063982508</v>
      </c>
      <c r="AF535" s="151">
        <v>677.42970555261547</v>
      </c>
      <c r="AG535" s="151">
        <v>673.41404141772989</v>
      </c>
      <c r="AH535" s="151">
        <v>669.56930934565992</v>
      </c>
      <c r="AI535" s="151">
        <v>665.88154962975966</v>
      </c>
      <c r="AJ535" s="151">
        <v>662.33844577862885</v>
      </c>
      <c r="AK535" s="151">
        <v>658.9290763238622</v>
      </c>
      <c r="AL535" s="151">
        <v>655.64371178663941</v>
      </c>
      <c r="AM535" s="151">
        <v>652.47364728835612</v>
      </c>
      <c r="AN535" s="151">
        <v>649.41106355021805</v>
      </c>
      <c r="AO535" s="151">
        <v>646.44891069318078</v>
      </c>
      <c r="AP535" s="151">
        <v>643.58081049247426</v>
      </c>
      <c r="AQ535" s="151">
        <v>640.8009736776321</v>
      </c>
      <c r="AR535" s="149"/>
      <c r="AS535" s="149"/>
      <c r="AT535" s="149"/>
      <c r="AU535" s="149"/>
      <c r="AV535" s="149"/>
      <c r="AW535" s="149"/>
      <c r="AX535" s="149"/>
      <c r="AY535" s="149"/>
      <c r="AZ535" s="149"/>
      <c r="BA535" s="149"/>
      <c r="BB535" s="149"/>
      <c r="BC535" s="149"/>
      <c r="BD535" s="149"/>
      <c r="BE535" s="149"/>
      <c r="BF535" s="149"/>
      <c r="BG535" s="149"/>
      <c r="BH535" s="149"/>
      <c r="BI535" s="149"/>
      <c r="BJ535" s="149"/>
      <c r="BK535" s="149"/>
      <c r="BL535" s="149"/>
      <c r="BM535" s="149"/>
      <c r="BN535" s="149"/>
      <c r="BO535" s="149"/>
      <c r="BP535" s="149"/>
      <c r="BQ535" s="149"/>
      <c r="BR535" s="149"/>
      <c r="BS535" s="149"/>
      <c r="BT535" s="149"/>
      <c r="BU535" s="149"/>
      <c r="BV535" s="149"/>
      <c r="BW535" s="149"/>
      <c r="BX535" s="149"/>
      <c r="BY535" s="149"/>
      <c r="BZ535" s="149"/>
    </row>
    <row r="536" spans="7:78" ht="14.1" hidden="1" customHeight="1" thickTop="1" x14ac:dyDescent="0.25">
      <c r="G536" s="106"/>
      <c r="H536" s="217"/>
      <c r="J536" s="210"/>
      <c r="K536" s="119" t="s">
        <v>98</v>
      </c>
      <c r="L536" s="152">
        <v>909.81443540265604</v>
      </c>
      <c r="M536" s="152">
        <v>837.27388701133202</v>
      </c>
      <c r="N536" s="152">
        <v>783.29484212735724</v>
      </c>
      <c r="O536" s="152">
        <v>739.48646384047163</v>
      </c>
      <c r="P536" s="152">
        <v>702.11124963568068</v>
      </c>
      <c r="Q536" s="152">
        <v>669.17550185072218</v>
      </c>
      <c r="R536" s="152">
        <v>639.48916065135336</v>
      </c>
      <c r="S536" s="152">
        <v>612.28461304365192</v>
      </c>
      <c r="T536" s="152">
        <v>587.03773826411555</v>
      </c>
      <c r="U536" s="152">
        <v>563.37470230445012</v>
      </c>
      <c r="V536" s="152">
        <v>541.01947995897217</v>
      </c>
      <c r="W536" s="152">
        <v>519.76245464357919</v>
      </c>
      <c r="X536" s="152">
        <v>508.08373217401368</v>
      </c>
      <c r="Y536" s="152">
        <v>497.21110167208673</v>
      </c>
      <c r="Z536" s="152">
        <v>487.04043507499745</v>
      </c>
      <c r="AA536" s="152">
        <v>477.48656236144006</v>
      </c>
      <c r="AB536" s="152">
        <v>468.47893156764815</v>
      </c>
      <c r="AC536" s="152">
        <v>459.95844377712598</v>
      </c>
      <c r="AD536" s="152">
        <v>451.8751008884642</v>
      </c>
      <c r="AE536" s="152">
        <v>444.18622788304197</v>
      </c>
      <c r="AF536" s="152">
        <v>436.85510902915115</v>
      </c>
      <c r="AG536" s="152">
        <v>429.84992749117919</v>
      </c>
      <c r="AH536" s="152">
        <v>423.14293078402562</v>
      </c>
      <c r="AI536" s="152">
        <v>416.70976670193113</v>
      </c>
      <c r="AJ536" s="152">
        <v>410.52894956898507</v>
      </c>
      <c r="AK536" s="152">
        <v>404.58142727667649</v>
      </c>
      <c r="AL536" s="152">
        <v>398.85022709941944</v>
      </c>
      <c r="AM536" s="152">
        <v>393.32016368982437</v>
      </c>
      <c r="AN536" s="152">
        <v>387.97759659749255</v>
      </c>
      <c r="AO536" s="152">
        <v>382.81022756219357</v>
      </c>
      <c r="AP536" s="152">
        <v>377.80693000040321</v>
      </c>
      <c r="AQ536" s="152">
        <v>372.9576047381795</v>
      </c>
      <c r="AR536" s="149"/>
      <c r="AS536" s="149"/>
      <c r="AT536" s="149"/>
      <c r="AU536" s="149"/>
      <c r="AV536" s="149"/>
      <c r="AW536" s="149"/>
      <c r="AX536" s="149"/>
      <c r="AY536" s="149"/>
      <c r="AZ536" s="149"/>
      <c r="BA536" s="149"/>
      <c r="BB536" s="149"/>
      <c r="BC536" s="149"/>
      <c r="BD536" s="149"/>
      <c r="BE536" s="149"/>
      <c r="BF536" s="149"/>
      <c r="BG536" s="149"/>
      <c r="BH536" s="149"/>
      <c r="BI536" s="149"/>
      <c r="BJ536" s="149"/>
      <c r="BK536" s="149"/>
      <c r="BL536" s="149"/>
      <c r="BM536" s="149"/>
      <c r="BN536" s="149"/>
      <c r="BO536" s="149"/>
      <c r="BP536" s="149"/>
      <c r="BQ536" s="149"/>
      <c r="BR536" s="149"/>
      <c r="BS536" s="149"/>
      <c r="BT536" s="149"/>
      <c r="BU536" s="149"/>
      <c r="BV536" s="149"/>
      <c r="BW536" s="149"/>
      <c r="BX536" s="149"/>
      <c r="BY536" s="149"/>
      <c r="BZ536" s="149"/>
    </row>
    <row r="537" spans="7:78" ht="14.1" hidden="1" customHeight="1" x14ac:dyDescent="0.25">
      <c r="G537" s="106"/>
      <c r="H537" s="217"/>
      <c r="J537" s="210"/>
      <c r="K537" s="7" t="s">
        <v>99</v>
      </c>
      <c r="L537" s="150">
        <v>944.20712883430315</v>
      </c>
      <c r="M537" s="150">
        <v>878.94877870576238</v>
      </c>
      <c r="N537" s="150">
        <v>830.18046488339564</v>
      </c>
      <c r="O537" s="150">
        <v>790.44776939753172</v>
      </c>
      <c r="P537" s="150">
        <v>756.43029570042211</v>
      </c>
      <c r="Q537" s="150">
        <v>726.35684315515982</v>
      </c>
      <c r="R537" s="150">
        <v>699.17016282361863</v>
      </c>
      <c r="S537" s="150">
        <v>674.1883074630116</v>
      </c>
      <c r="T537" s="150">
        <v>650.94564828331795</v>
      </c>
      <c r="U537" s="150">
        <v>629.11007122024546</v>
      </c>
      <c r="V537" s="150">
        <v>608.43635553177546</v>
      </c>
      <c r="W537" s="150">
        <v>588.73827788308961</v>
      </c>
      <c r="X537" s="150">
        <v>578.36290298651329</v>
      </c>
      <c r="Y537" s="150">
        <v>568.70366004590767</v>
      </c>
      <c r="Z537" s="150">
        <v>559.66804170940873</v>
      </c>
      <c r="AA537" s="150">
        <v>551.18038294573432</v>
      </c>
      <c r="AB537" s="150">
        <v>543.17800540323469</v>
      </c>
      <c r="AC537" s="150">
        <v>535.60840561535144</v>
      </c>
      <c r="AD537" s="150">
        <v>528.42716527797756</v>
      </c>
      <c r="AE537" s="150">
        <v>521.59637191240904</v>
      </c>
      <c r="AF537" s="150">
        <v>515.08340726934171</v>
      </c>
      <c r="AG537" s="150">
        <v>508.860005277862</v>
      </c>
      <c r="AH537" s="150">
        <v>502.90151063530459</v>
      </c>
      <c r="AI537" s="150">
        <v>497.18628884654629</v>
      </c>
      <c r="AJ537" s="150">
        <v>491.69525204105548</v>
      </c>
      <c r="AK537" s="150">
        <v>486.41147432913056</v>
      </c>
      <c r="AL537" s="150">
        <v>481.31987714447899</v>
      </c>
      <c r="AM537" s="150">
        <v>476.40696982726945</v>
      </c>
      <c r="AN537" s="150">
        <v>471.66063420387337</v>
      </c>
      <c r="AO537" s="150">
        <v>467.06994450216143</v>
      </c>
      <c r="AP537" s="150">
        <v>462.62501586737449</v>
      </c>
      <c r="AQ537" s="150">
        <v>458.31687619523768</v>
      </c>
      <c r="AR537" s="149"/>
      <c r="AS537" s="149"/>
      <c r="AT537" s="149"/>
      <c r="AU537" s="149"/>
      <c r="AV537" s="149"/>
      <c r="AW537" s="149"/>
      <c r="AX537" s="149"/>
      <c r="AY537" s="149"/>
      <c r="AZ537" s="149"/>
      <c r="BA537" s="149"/>
      <c r="BB537" s="149"/>
      <c r="BC537" s="149"/>
      <c r="BD537" s="149"/>
      <c r="BE537" s="149"/>
      <c r="BF537" s="149"/>
      <c r="BG537" s="149"/>
      <c r="BH537" s="149"/>
      <c r="BI537" s="149"/>
      <c r="BJ537" s="149"/>
      <c r="BK537" s="149"/>
      <c r="BL537" s="149"/>
      <c r="BM537" s="149"/>
      <c r="BN537" s="149"/>
      <c r="BO537" s="149"/>
      <c r="BP537" s="149"/>
      <c r="BQ537" s="149"/>
      <c r="BR537" s="149"/>
      <c r="BS537" s="149"/>
      <c r="BT537" s="149"/>
      <c r="BU537" s="149"/>
      <c r="BV537" s="149"/>
      <c r="BW537" s="149"/>
      <c r="BX537" s="149"/>
      <c r="BY537" s="149"/>
      <c r="BZ537" s="149"/>
    </row>
    <row r="538" spans="7:78" ht="14.1" hidden="1" customHeight="1" thickBot="1" x14ac:dyDescent="0.3">
      <c r="G538" s="106"/>
      <c r="H538" s="217"/>
      <c r="J538" s="210"/>
      <c r="K538" s="121" t="s">
        <v>100</v>
      </c>
      <c r="L538" s="151">
        <v>1000.1368558396805</v>
      </c>
      <c r="M538" s="151">
        <v>955.46909345264203</v>
      </c>
      <c r="N538" s="151">
        <v>921.82411363105973</v>
      </c>
      <c r="O538" s="151">
        <v>894.21900263804787</v>
      </c>
      <c r="P538" s="151">
        <v>870.43423781778756</v>
      </c>
      <c r="Q538" s="151">
        <v>849.28585819299587</v>
      </c>
      <c r="R538" s="151">
        <v>830.06714456996781</v>
      </c>
      <c r="S538" s="151">
        <v>812.32224857827805</v>
      </c>
      <c r="T538" s="151">
        <v>795.73992015072031</v>
      </c>
      <c r="U538" s="151">
        <v>780.09815728258582</v>
      </c>
      <c r="V538" s="151">
        <v>765.23304190422255</v>
      </c>
      <c r="W538" s="151">
        <v>751.02009282649669</v>
      </c>
      <c r="X538" s="151">
        <v>744.08466227943279</v>
      </c>
      <c r="Y538" s="151">
        <v>737.6279309112108</v>
      </c>
      <c r="Z538" s="151">
        <v>731.58806208264025</v>
      </c>
      <c r="AA538" s="151">
        <v>725.9144774219003</v>
      </c>
      <c r="AB538" s="151">
        <v>720.56527951718613</v>
      </c>
      <c r="AC538" s="151">
        <v>715.5053723696135</v>
      </c>
      <c r="AD538" s="151">
        <v>710.70506451586402</v>
      </c>
      <c r="AE538" s="151">
        <v>706.13901331863178</v>
      </c>
      <c r="AF538" s="151">
        <v>701.78541507396676</v>
      </c>
      <c r="AG538" s="151">
        <v>697.62537529626115</v>
      </c>
      <c r="AH538" s="151">
        <v>693.64241312183924</v>
      </c>
      <c r="AI538" s="151">
        <v>689.82206694908768</v>
      </c>
      <c r="AJ538" s="151">
        <v>686.15157747034891</v>
      </c>
      <c r="AK538" s="151">
        <v>682.61963055638512</v>
      </c>
      <c r="AL538" s="151">
        <v>679.21614692328501</v>
      </c>
      <c r="AM538" s="151">
        <v>675.93210872492432</v>
      </c>
      <c r="AN538" s="151">
        <v>672.75941555506301</v>
      </c>
      <c r="AO538" s="151">
        <v>669.69076406952968</v>
      </c>
      <c r="AP538" s="151">
        <v>666.71954672649247</v>
      </c>
      <c r="AQ538" s="151">
        <v>663.83976611316598</v>
      </c>
      <c r="AR538" s="149"/>
      <c r="AS538" s="149"/>
      <c r="AT538" s="149"/>
      <c r="AU538" s="149"/>
      <c r="AV538" s="149"/>
      <c r="AW538" s="149"/>
      <c r="AX538" s="149"/>
      <c r="AY538" s="149"/>
      <c r="AZ538" s="149"/>
      <c r="BA538" s="149"/>
      <c r="BB538" s="149"/>
      <c r="BC538" s="149"/>
      <c r="BD538" s="149"/>
      <c r="BE538" s="149"/>
      <c r="BF538" s="149"/>
      <c r="BG538" s="149"/>
      <c r="BH538" s="149"/>
      <c r="BI538" s="149"/>
      <c r="BJ538" s="149"/>
      <c r="BK538" s="149"/>
      <c r="BL538" s="149"/>
      <c r="BM538" s="149"/>
      <c r="BN538" s="149"/>
      <c r="BO538" s="149"/>
      <c r="BP538" s="149"/>
      <c r="BQ538" s="149"/>
      <c r="BR538" s="149"/>
      <c r="BS538" s="149"/>
      <c r="BT538" s="149"/>
      <c r="BU538" s="149"/>
      <c r="BV538" s="149"/>
      <c r="BW538" s="149"/>
      <c r="BX538" s="149"/>
      <c r="BY538" s="149"/>
      <c r="BZ538" s="149"/>
    </row>
    <row r="539" spans="7:78" ht="14.1" hidden="1" customHeight="1" thickTop="1" x14ac:dyDescent="0.25">
      <c r="G539" s="106"/>
      <c r="H539" s="217"/>
      <c r="J539" s="210"/>
      <c r="K539" s="119" t="s">
        <v>101</v>
      </c>
      <c r="L539" s="152">
        <v>916.73910886145973</v>
      </c>
      <c r="M539" s="152">
        <v>843.64644831342969</v>
      </c>
      <c r="N539" s="152">
        <v>789.2565644221861</v>
      </c>
      <c r="O539" s="152">
        <v>745.11475691875683</v>
      </c>
      <c r="P539" s="152">
        <v>707.45507684515769</v>
      </c>
      <c r="Q539" s="152">
        <v>674.26865234013655</v>
      </c>
      <c r="R539" s="152">
        <v>644.35636592491585</v>
      </c>
      <c r="S539" s="152">
        <v>616.94476223913136</v>
      </c>
      <c r="T539" s="152">
        <v>591.50573139248866</v>
      </c>
      <c r="U539" s="152">
        <v>567.66259409491454</v>
      </c>
      <c r="V539" s="152">
        <v>545.13722428989138</v>
      </c>
      <c r="W539" s="152">
        <v>523.71840998403297</v>
      </c>
      <c r="X539" s="152">
        <v>511.95079978487018</v>
      </c>
      <c r="Y539" s="152">
        <v>500.99541678646221</v>
      </c>
      <c r="Z539" s="152">
        <v>490.74734039864779</v>
      </c>
      <c r="AA539" s="152">
        <v>481.12075236399409</v>
      </c>
      <c r="AB539" s="152">
        <v>472.04456374186123</v>
      </c>
      <c r="AC539" s="152">
        <v>463.45922580897678</v>
      </c>
      <c r="AD539" s="152">
        <v>455.31435992421666</v>
      </c>
      <c r="AE539" s="152">
        <v>447.56696626583823</v>
      </c>
      <c r="AF539" s="152">
        <v>440.18004965564069</v>
      </c>
      <c r="AG539" s="152">
        <v>433.12155109742537</v>
      </c>
      <c r="AH539" s="152">
        <v>426.36350687961567</v>
      </c>
      <c r="AI539" s="152">
        <v>419.8813794497857</v>
      </c>
      <c r="AJ539" s="152">
        <v>413.65351960275547</v>
      </c>
      <c r="AK539" s="152">
        <v>407.66073022282927</v>
      </c>
      <c r="AL539" s="152">
        <v>401.88590940359268</v>
      </c>
      <c r="AM539" s="152">
        <v>396.31375622071215</v>
      </c>
      <c r="AN539" s="152">
        <v>390.93052640518471</v>
      </c>
      <c r="AO539" s="152">
        <v>385.72382809369685</v>
      </c>
      <c r="AP539" s="152">
        <v>380.68245001737029</v>
      </c>
      <c r="AQ539" s="152">
        <v>375.79621613660873</v>
      </c>
      <c r="AR539" s="149"/>
      <c r="AS539" s="149"/>
      <c r="AT539" s="149"/>
      <c r="AU539" s="149"/>
      <c r="AV539" s="149"/>
      <c r="AW539" s="149"/>
      <c r="AX539" s="149"/>
      <c r="AY539" s="149"/>
      <c r="AZ539" s="149"/>
      <c r="BA539" s="149"/>
      <c r="BB539" s="149"/>
      <c r="BC539" s="149"/>
      <c r="BD539" s="149"/>
      <c r="BE539" s="149"/>
      <c r="BF539" s="149"/>
      <c r="BG539" s="149"/>
      <c r="BH539" s="149"/>
      <c r="BI539" s="149"/>
      <c r="BJ539" s="149"/>
      <c r="BK539" s="149"/>
      <c r="BL539" s="149"/>
      <c r="BM539" s="149"/>
      <c r="BN539" s="149"/>
      <c r="BO539" s="149"/>
      <c r="BP539" s="149"/>
      <c r="BQ539" s="149"/>
      <c r="BR539" s="149"/>
      <c r="BS539" s="149"/>
      <c r="BT539" s="149"/>
      <c r="BU539" s="149"/>
      <c r="BV539" s="149"/>
      <c r="BW539" s="149"/>
      <c r="BX539" s="149"/>
      <c r="BY539" s="149"/>
      <c r="BZ539" s="149"/>
    </row>
    <row r="540" spans="7:78" ht="14.1" hidden="1" customHeight="1" x14ac:dyDescent="0.25">
      <c r="G540" s="106"/>
      <c r="H540" s="217"/>
      <c r="J540" s="210"/>
      <c r="K540" s="7" t="s">
        <v>102</v>
      </c>
      <c r="L540" s="150">
        <v>951.39356794785544</v>
      </c>
      <c r="M540" s="150">
        <v>885.63853108022113</v>
      </c>
      <c r="N540" s="150">
        <v>836.49903755876892</v>
      </c>
      <c r="O540" s="150">
        <v>796.46393321767948</v>
      </c>
      <c r="P540" s="150">
        <v>762.18754969447809</v>
      </c>
      <c r="Q540" s="150">
        <v>731.88520559666244</v>
      </c>
      <c r="R540" s="150">
        <v>704.49160517636551</v>
      </c>
      <c r="S540" s="150">
        <v>679.31961083352667</v>
      </c>
      <c r="T540" s="150">
        <v>655.9000498386157</v>
      </c>
      <c r="U540" s="150">
        <v>633.89828037953077</v>
      </c>
      <c r="V540" s="150">
        <v>613.0672153187578</v>
      </c>
      <c r="W540" s="150">
        <v>593.21921396016398</v>
      </c>
      <c r="X540" s="150">
        <v>582.76487122094215</v>
      </c>
      <c r="Y540" s="150">
        <v>573.03211097766439</v>
      </c>
      <c r="Z540" s="150">
        <v>563.92772179730559</v>
      </c>
      <c r="AA540" s="150">
        <v>555.37546275572697</v>
      </c>
      <c r="AB540" s="150">
        <v>547.31217845112337</v>
      </c>
      <c r="AC540" s="150">
        <v>539.6849658086785</v>
      </c>
      <c r="AD540" s="150">
        <v>532.44906845287255</v>
      </c>
      <c r="AE540" s="150">
        <v>525.5662853499681</v>
      </c>
      <c r="AF540" s="150">
        <v>519.00374999044789</v>
      </c>
      <c r="AG540" s="150">
        <v>512.73298116797844</v>
      </c>
      <c r="AH540" s="150">
        <v>506.72913592633148</v>
      </c>
      <c r="AI540" s="150">
        <v>500.97041510843957</v>
      </c>
      <c r="AJ540" s="150">
        <v>495.4375855643982</v>
      </c>
      <c r="AK540" s="150">
        <v>490.11359258014932</v>
      </c>
      <c r="AL540" s="150">
        <v>484.98324282517621</v>
      </c>
      <c r="AM540" s="150">
        <v>480.03294296111181</v>
      </c>
      <c r="AN540" s="150">
        <v>475.2504825818985</v>
      </c>
      <c r="AO540" s="150">
        <v>470.62485275844517</v>
      </c>
      <c r="AP540" s="150">
        <v>466.14609340153964</v>
      </c>
      <c r="AQ540" s="150">
        <v>461.805164119474</v>
      </c>
      <c r="AR540" s="149"/>
      <c r="AS540" s="149"/>
      <c r="AT540" s="149"/>
      <c r="AU540" s="149"/>
      <c r="AV540" s="149"/>
      <c r="AW540" s="149"/>
      <c r="AX540" s="149"/>
      <c r="AY540" s="149"/>
      <c r="AZ540" s="149"/>
      <c r="BA540" s="149"/>
      <c r="BB540" s="149"/>
      <c r="BC540" s="149"/>
      <c r="BD540" s="149"/>
      <c r="BE540" s="149"/>
      <c r="BF540" s="149"/>
      <c r="BG540" s="149"/>
      <c r="BH540" s="149"/>
      <c r="BI540" s="149"/>
      <c r="BJ540" s="149"/>
      <c r="BK540" s="149"/>
      <c r="BL540" s="149"/>
      <c r="BM540" s="149"/>
      <c r="BN540" s="149"/>
      <c r="BO540" s="149"/>
      <c r="BP540" s="149"/>
      <c r="BQ540" s="149"/>
      <c r="BR540" s="149"/>
      <c r="BS540" s="149"/>
      <c r="BT540" s="149"/>
      <c r="BU540" s="149"/>
      <c r="BV540" s="149"/>
      <c r="BW540" s="149"/>
      <c r="BX540" s="149"/>
      <c r="BY540" s="149"/>
      <c r="BZ540" s="149"/>
    </row>
    <row r="541" spans="7:78" ht="14.1" hidden="1" customHeight="1" thickBot="1" x14ac:dyDescent="0.3">
      <c r="G541" s="106"/>
      <c r="H541" s="217"/>
      <c r="J541" s="210"/>
      <c r="K541" s="121" t="s">
        <v>103</v>
      </c>
      <c r="L541" s="151">
        <v>1007.7489807646267</v>
      </c>
      <c r="M541" s="151">
        <v>962.74124831706843</v>
      </c>
      <c r="N541" s="151">
        <v>928.84019375131106</v>
      </c>
      <c r="O541" s="151">
        <v>901.02497795892214</v>
      </c>
      <c r="P541" s="151">
        <v>877.05918531225473</v>
      </c>
      <c r="Q541" s="151">
        <v>855.74984360839937</v>
      </c>
      <c r="R541" s="151">
        <v>836.38485475499556</v>
      </c>
      <c r="S541" s="151">
        <v>818.5049008816967</v>
      </c>
      <c r="T541" s="151">
        <v>801.79636297110665</v>
      </c>
      <c r="U541" s="151">
        <v>786.03554934276519</v>
      </c>
      <c r="V541" s="151">
        <v>771.05729433293743</v>
      </c>
      <c r="W541" s="151">
        <v>756.73616931578908</v>
      </c>
      <c r="X541" s="151">
        <v>749.74795262908401</v>
      </c>
      <c r="Y541" s="151">
        <v>743.24207854054862</v>
      </c>
      <c r="Z541" s="151">
        <v>737.15623976718007</v>
      </c>
      <c r="AA541" s="151">
        <v>731.43947298095634</v>
      </c>
      <c r="AB541" s="151">
        <v>726.04956188538119</v>
      </c>
      <c r="AC541" s="151">
        <v>720.95114336299912</v>
      </c>
      <c r="AD541" s="151">
        <v>716.11429996629113</v>
      </c>
      <c r="AE541" s="151">
        <v>711.51349617302765</v>
      </c>
      <c r="AF541" s="151">
        <v>707.12676232945137</v>
      </c>
      <c r="AG541" s="151">
        <v>702.93506014245065</v>
      </c>
      <c r="AH541" s="151">
        <v>698.92178331112359</v>
      </c>
      <c r="AI541" s="151">
        <v>695.07236016540207</v>
      </c>
      <c r="AJ541" s="151">
        <v>691.373934285475</v>
      </c>
      <c r="AK541" s="151">
        <v>687.81510542932472</v>
      </c>
      <c r="AL541" s="151">
        <v>684.38571759877016</v>
      </c>
      <c r="AM541" s="151">
        <v>681.07668431210902</v>
      </c>
      <c r="AN541" s="151">
        <v>677.87984351023465</v>
      </c>
      <c r="AO541" s="151">
        <v>674.78783626261475</v>
      </c>
      <c r="AP541" s="151">
        <v>671.7940047368661</v>
      </c>
      <c r="AQ541" s="151">
        <v>668.892305873395</v>
      </c>
      <c r="AR541" s="149"/>
      <c r="AS541" s="149"/>
      <c r="AT541" s="149"/>
      <c r="AU541" s="149"/>
      <c r="AV541" s="149"/>
      <c r="AW541" s="149"/>
      <c r="AX541" s="149"/>
      <c r="AY541" s="149"/>
      <c r="AZ541" s="149"/>
      <c r="BA541" s="149"/>
      <c r="BB541" s="149"/>
      <c r="BC541" s="149"/>
      <c r="BD541" s="149"/>
      <c r="BE541" s="149"/>
      <c r="BF541" s="149"/>
      <c r="BG541" s="149"/>
      <c r="BH541" s="149"/>
      <c r="BI541" s="149"/>
      <c r="BJ541" s="149"/>
      <c r="BK541" s="149"/>
      <c r="BL541" s="149"/>
      <c r="BM541" s="149"/>
      <c r="BN541" s="149"/>
      <c r="BO541" s="149"/>
      <c r="BP541" s="149"/>
      <c r="BQ541" s="149"/>
      <c r="BR541" s="149"/>
      <c r="BS541" s="149"/>
      <c r="BT541" s="149"/>
      <c r="BU541" s="149"/>
      <c r="BV541" s="149"/>
      <c r="BW541" s="149"/>
      <c r="BX541" s="149"/>
      <c r="BY541" s="149"/>
      <c r="BZ541" s="149"/>
    </row>
    <row r="542" spans="7:78" ht="14.1" hidden="1" customHeight="1" thickTop="1" x14ac:dyDescent="0.25">
      <c r="G542" s="106"/>
      <c r="H542" s="217"/>
      <c r="J542" s="210"/>
      <c r="K542" s="119" t="s">
        <v>104</v>
      </c>
      <c r="L542" s="152">
        <v>937.22358841025323</v>
      </c>
      <c r="M542" s="152">
        <v>862.49767681436219</v>
      </c>
      <c r="N542" s="152">
        <v>806.89245428046479</v>
      </c>
      <c r="O542" s="152">
        <v>761.7643007770555</v>
      </c>
      <c r="P542" s="152">
        <v>723.26311744606846</v>
      </c>
      <c r="Q542" s="152">
        <v>689.33514430687273</v>
      </c>
      <c r="R542" s="152">
        <v>658.75446967366577</v>
      </c>
      <c r="S542" s="152">
        <v>630.73035537316719</v>
      </c>
      <c r="T542" s="152">
        <v>604.72289093175141</v>
      </c>
      <c r="U542" s="152">
        <v>580.34698018355209</v>
      </c>
      <c r="V542" s="152">
        <v>557.31828236225931</v>
      </c>
      <c r="W542" s="152">
        <v>535.42086595535977</v>
      </c>
      <c r="X542" s="152">
        <v>523.39030922306347</v>
      </c>
      <c r="Y542" s="152">
        <v>512.19012885885013</v>
      </c>
      <c r="Z542" s="152">
        <v>501.71305982836185</v>
      </c>
      <c r="AA542" s="152">
        <v>491.87136627043071</v>
      </c>
      <c r="AB542" s="152">
        <v>482.59237076636833</v>
      </c>
      <c r="AC542" s="152">
        <v>473.81519398030775</v>
      </c>
      <c r="AD542" s="152">
        <v>465.48833156345768</v>
      </c>
      <c r="AE542" s="152">
        <v>457.56782286567767</v>
      </c>
      <c r="AF542" s="152">
        <v>450.01584605376348</v>
      </c>
      <c r="AG542" s="152">
        <v>442.79962577519905</v>
      </c>
      <c r="AH542" s="152">
        <v>435.89057347097588</v>
      </c>
      <c r="AI542" s="152">
        <v>429.26360329855368</v>
      </c>
      <c r="AJ542" s="152">
        <v>422.89658230258146</v>
      </c>
      <c r="AK542" s="152">
        <v>416.76988440898248</v>
      </c>
      <c r="AL542" s="152">
        <v>410.86602557028522</v>
      </c>
      <c r="AM542" s="152">
        <v>405.16936296393391</v>
      </c>
      <c r="AN542" s="152">
        <v>399.66584520607188</v>
      </c>
      <c r="AO542" s="152">
        <v>394.34280353795458</v>
      </c>
      <c r="AP542" s="152">
        <v>389.1887761755836</v>
      </c>
      <c r="AQ542" s="152">
        <v>384.19335969637768</v>
      </c>
      <c r="AR542" s="149"/>
      <c r="AS542" s="149"/>
      <c r="AT542" s="149"/>
      <c r="AU542" s="149"/>
      <c r="AV542" s="149"/>
      <c r="AW542" s="149"/>
      <c r="AX542" s="149"/>
      <c r="AY542" s="149"/>
      <c r="AZ542" s="149"/>
      <c r="BA542" s="149"/>
      <c r="BB542" s="149"/>
      <c r="BC542" s="149"/>
      <c r="BD542" s="149"/>
      <c r="BE542" s="149"/>
      <c r="BF542" s="149"/>
      <c r="BG542" s="149"/>
      <c r="BH542" s="149"/>
      <c r="BI542" s="149"/>
      <c r="BJ542" s="149"/>
      <c r="BK542" s="149"/>
      <c r="BL542" s="149"/>
      <c r="BM542" s="149"/>
      <c r="BN542" s="149"/>
      <c r="BO542" s="149"/>
      <c r="BP542" s="149"/>
      <c r="BQ542" s="149"/>
      <c r="BR542" s="149"/>
      <c r="BS542" s="149"/>
      <c r="BT542" s="149"/>
      <c r="BU542" s="149"/>
      <c r="BV542" s="149"/>
      <c r="BW542" s="149"/>
      <c r="BX542" s="149"/>
      <c r="BY542" s="149"/>
      <c r="BZ542" s="149"/>
    </row>
    <row r="543" spans="7:78" ht="14.1" hidden="1" customHeight="1" x14ac:dyDescent="0.25">
      <c r="G543" s="106"/>
      <c r="H543" s="217"/>
      <c r="J543" s="210"/>
      <c r="K543" s="7" t="s">
        <v>105</v>
      </c>
      <c r="L543" s="150">
        <v>972.6523992741262</v>
      </c>
      <c r="M543" s="150">
        <v>905.42807011283355</v>
      </c>
      <c r="N543" s="150">
        <v>855.19055760173842</v>
      </c>
      <c r="O543" s="150">
        <v>814.26087129269149</v>
      </c>
      <c r="P543" s="150">
        <v>779.21858406744389</v>
      </c>
      <c r="Q543" s="150">
        <v>748.23913593648285</v>
      </c>
      <c r="R543" s="150">
        <v>720.23342718334266</v>
      </c>
      <c r="S543" s="150">
        <v>694.49896616014303</v>
      </c>
      <c r="T543" s="150">
        <v>670.55609650128963</v>
      </c>
      <c r="U543" s="150">
        <v>648.06269884377252</v>
      </c>
      <c r="V543" s="150">
        <v>626.76616490303979</v>
      </c>
      <c r="W543" s="150">
        <v>606.47466116303303</v>
      </c>
      <c r="X543" s="150">
        <v>595.78671677207888</v>
      </c>
      <c r="Y543" s="150">
        <v>585.836478593989</v>
      </c>
      <c r="Z543" s="150">
        <v>576.52865239194466</v>
      </c>
      <c r="AA543" s="150">
        <v>567.78529364300141</v>
      </c>
      <c r="AB543" s="150">
        <v>559.54183574174726</v>
      </c>
      <c r="AC543" s="150">
        <v>551.74419349738173</v>
      </c>
      <c r="AD543" s="150">
        <v>544.34661045589985</v>
      </c>
      <c r="AE543" s="150">
        <v>537.31003198379233</v>
      </c>
      <c r="AF543" s="150">
        <v>530.60085717138861</v>
      </c>
      <c r="AG543" s="150">
        <v>524.18996840153443</v>
      </c>
      <c r="AH543" s="150">
        <v>518.05196760365811</v>
      </c>
      <c r="AI543" s="150">
        <v>512.16456851985492</v>
      </c>
      <c r="AJ543" s="150">
        <v>506.50810823665739</v>
      </c>
      <c r="AK543" s="150">
        <v>501.06515095346072</v>
      </c>
      <c r="AL543" s="150">
        <v>495.82016384570312</v>
      </c>
      <c r="AM543" s="150">
        <v>490.75924983269965</v>
      </c>
      <c r="AN543" s="150">
        <v>485.86992566761324</v>
      </c>
      <c r="AO543" s="150">
        <v>481.14093642750265</v>
      </c>
      <c r="AP543" s="150">
        <v>476.56209946556891</v>
      </c>
      <c r="AQ543" s="150">
        <v>472.12417238310218</v>
      </c>
      <c r="AR543" s="149"/>
      <c r="AS543" s="149"/>
      <c r="AT543" s="149"/>
      <c r="AU543" s="149"/>
      <c r="AV543" s="149"/>
      <c r="AW543" s="149"/>
      <c r="AX543" s="149"/>
      <c r="AY543" s="149"/>
      <c r="AZ543" s="149"/>
      <c r="BA543" s="149"/>
      <c r="BB543" s="149"/>
      <c r="BC543" s="149"/>
      <c r="BD543" s="149"/>
      <c r="BE543" s="149"/>
      <c r="BF543" s="149"/>
      <c r="BG543" s="149"/>
      <c r="BH543" s="149"/>
      <c r="BI543" s="149"/>
      <c r="BJ543" s="149"/>
      <c r="BK543" s="149"/>
      <c r="BL543" s="149"/>
      <c r="BM543" s="149"/>
      <c r="BN543" s="149"/>
      <c r="BO543" s="149"/>
      <c r="BP543" s="149"/>
      <c r="BQ543" s="149"/>
      <c r="BR543" s="149"/>
      <c r="BS543" s="149"/>
      <c r="BT543" s="149"/>
      <c r="BU543" s="149"/>
      <c r="BV543" s="149"/>
      <c r="BW543" s="149"/>
      <c r="BX543" s="149"/>
      <c r="BY543" s="149"/>
      <c r="BZ543" s="149"/>
    </row>
    <row r="544" spans="7:78" ht="14.1" hidden="1" customHeight="1" thickBot="1" x14ac:dyDescent="0.3">
      <c r="G544" s="106"/>
      <c r="H544" s="217"/>
      <c r="J544" s="210"/>
      <c r="K544" s="121" t="s">
        <v>106</v>
      </c>
      <c r="L544" s="151">
        <v>1030.2670703576714</v>
      </c>
      <c r="M544" s="151">
        <v>984.25364287000025</v>
      </c>
      <c r="N544" s="151">
        <v>949.5950713048893</v>
      </c>
      <c r="O544" s="151">
        <v>921.15832620984838</v>
      </c>
      <c r="P544" s="151">
        <v>896.65701938625125</v>
      </c>
      <c r="Q544" s="151">
        <v>874.87152173997845</v>
      </c>
      <c r="R544" s="151">
        <v>855.07382339016954</v>
      </c>
      <c r="S544" s="151">
        <v>836.79434303664254</v>
      </c>
      <c r="T544" s="151">
        <v>819.7124538641599</v>
      </c>
      <c r="U544" s="151">
        <v>803.59946581528675</v>
      </c>
      <c r="V544" s="151">
        <v>788.28652260959211</v>
      </c>
      <c r="W544" s="151">
        <v>773.64539292623738</v>
      </c>
      <c r="X544" s="151">
        <v>766.50102496332124</v>
      </c>
      <c r="Y544" s="151">
        <v>759.84977751455131</v>
      </c>
      <c r="Z544" s="151">
        <v>753.62795104448116</v>
      </c>
      <c r="AA544" s="151">
        <v>747.78344345262838</v>
      </c>
      <c r="AB544" s="151">
        <v>742.27309512192289</v>
      </c>
      <c r="AC544" s="151">
        <v>737.06075274820364</v>
      </c>
      <c r="AD544" s="151">
        <v>732.11583038040908</v>
      </c>
      <c r="AE544" s="151">
        <v>727.41222190662074</v>
      </c>
      <c r="AF544" s="151">
        <v>722.92746676250636</v>
      </c>
      <c r="AG544" s="151">
        <v>718.64210124545434</v>
      </c>
      <c r="AH544" s="151">
        <v>714.53914798778044</v>
      </c>
      <c r="AI544" s="151">
        <v>710.60370971633688</v>
      </c>
      <c r="AJ544" s="151">
        <v>706.82264273539442</v>
      </c>
      <c r="AK544" s="151">
        <v>703.18429206522228</v>
      </c>
      <c r="AL544" s="151">
        <v>699.67827477247852</v>
      </c>
      <c r="AM544" s="151">
        <v>696.29530133858066</v>
      </c>
      <c r="AN544" s="151">
        <v>693.02702732370835</v>
      </c>
      <c r="AO544" s="151">
        <v>689.86592936247507</v>
      </c>
      <c r="AP544" s="151">
        <v>686.80520085363821</v>
      </c>
      <c r="AQ544" s="151">
        <v>683.83866370580597</v>
      </c>
      <c r="AR544" s="149"/>
      <c r="AS544" s="149"/>
      <c r="AT544" s="149"/>
      <c r="AU544" s="149"/>
      <c r="AV544" s="149"/>
      <c r="AW544" s="149"/>
      <c r="AX544" s="149"/>
      <c r="AY544" s="149"/>
      <c r="AZ544" s="149"/>
      <c r="BA544" s="149"/>
      <c r="BB544" s="149"/>
      <c r="BC544" s="149"/>
      <c r="BD544" s="149"/>
      <c r="BE544" s="149"/>
      <c r="BF544" s="149"/>
      <c r="BG544" s="149"/>
      <c r="BH544" s="149"/>
      <c r="BI544" s="149"/>
      <c r="BJ544" s="149"/>
      <c r="BK544" s="149"/>
      <c r="BL544" s="149"/>
      <c r="BM544" s="149"/>
      <c r="BN544" s="149"/>
      <c r="BO544" s="149"/>
      <c r="BP544" s="149"/>
      <c r="BQ544" s="149"/>
      <c r="BR544" s="149"/>
      <c r="BS544" s="149"/>
      <c r="BT544" s="149"/>
      <c r="BU544" s="149"/>
      <c r="BV544" s="149"/>
      <c r="BW544" s="149"/>
      <c r="BX544" s="149"/>
      <c r="BY544" s="149"/>
      <c r="BZ544" s="149"/>
    </row>
    <row r="545" spans="7:78" ht="14.1" hidden="1" customHeight="1" thickTop="1" x14ac:dyDescent="0.25">
      <c r="G545" s="106"/>
      <c r="H545" s="217"/>
      <c r="J545" s="210"/>
      <c r="K545" s="119" t="s">
        <v>107</v>
      </c>
      <c r="L545" s="152">
        <v>1067.5663341918623</v>
      </c>
      <c r="M545" s="152">
        <v>982.44804598607027</v>
      </c>
      <c r="N545" s="152">
        <v>919.10962352582499</v>
      </c>
      <c r="O545" s="152">
        <v>867.70535030837209</v>
      </c>
      <c r="P545" s="152">
        <v>823.84968165151508</v>
      </c>
      <c r="Q545" s="152">
        <v>785.20323446572741</v>
      </c>
      <c r="R545" s="152">
        <v>750.36960552275184</v>
      </c>
      <c r="S545" s="152">
        <v>718.44808610868756</v>
      </c>
      <c r="T545" s="152">
        <v>688.82367863678132</v>
      </c>
      <c r="U545" s="152">
        <v>661.05773035950415</v>
      </c>
      <c r="V545" s="152">
        <v>634.82635631140647</v>
      </c>
      <c r="W545" s="152">
        <v>609.88359467921248</v>
      </c>
      <c r="X545" s="152">
        <v>596.17990912561891</v>
      </c>
      <c r="Y545" s="152">
        <v>583.42208309395369</v>
      </c>
      <c r="Z545" s="152">
        <v>571.48793385116119</v>
      </c>
      <c r="AA545" s="152">
        <v>560.27752382328106</v>
      </c>
      <c r="AB545" s="152">
        <v>549.70806810561453</v>
      </c>
      <c r="AC545" s="152">
        <v>539.71022067419995</v>
      </c>
      <c r="AD545" s="152">
        <v>530.22531430222614</v>
      </c>
      <c r="AE545" s="152">
        <v>521.2032745883447</v>
      </c>
      <c r="AF545" s="152">
        <v>512.6010196934667</v>
      </c>
      <c r="AG545" s="152">
        <v>504.38121608974456</v>
      </c>
      <c r="AH545" s="152">
        <v>496.51129931388687</v>
      </c>
      <c r="AI545" s="152">
        <v>488.96269475329109</v>
      </c>
      <c r="AJ545" s="152">
        <v>481.71019135021061</v>
      </c>
      <c r="AK545" s="152">
        <v>474.73143356834032</v>
      </c>
      <c r="AL545" s="152">
        <v>468.00650579661703</v>
      </c>
      <c r="AM545" s="152">
        <v>461.51758971405656</v>
      </c>
      <c r="AN545" s="152">
        <v>455.24867976495187</v>
      </c>
      <c r="AO545" s="152">
        <v>449.18534530489876</v>
      </c>
      <c r="AP545" s="152">
        <v>443.31453052215943</v>
      </c>
      <c r="AQ545" s="152">
        <v>437.62438515619249</v>
      </c>
      <c r="AR545" s="149"/>
      <c r="AS545" s="149"/>
      <c r="AT545" s="149"/>
      <c r="AU545" s="149"/>
      <c r="AV545" s="149"/>
      <c r="AW545" s="149"/>
      <c r="AX545" s="149"/>
      <c r="AY545" s="149"/>
      <c r="AZ545" s="149"/>
      <c r="BA545" s="149"/>
      <c r="BB545" s="149"/>
      <c r="BC545" s="149"/>
      <c r="BD545" s="149"/>
      <c r="BE545" s="149"/>
      <c r="BF545" s="149"/>
      <c r="BG545" s="149"/>
      <c r="BH545" s="149"/>
      <c r="BI545" s="149"/>
      <c r="BJ545" s="149"/>
      <c r="BK545" s="149"/>
      <c r="BL545" s="149"/>
      <c r="BM545" s="149"/>
      <c r="BN545" s="149"/>
      <c r="BO545" s="149"/>
      <c r="BP545" s="149"/>
      <c r="BQ545" s="149"/>
      <c r="BR545" s="149"/>
      <c r="BS545" s="149"/>
      <c r="BT545" s="149"/>
      <c r="BU545" s="149"/>
      <c r="BV545" s="149"/>
      <c r="BW545" s="149"/>
      <c r="BX545" s="149"/>
      <c r="BY545" s="149"/>
      <c r="BZ545" s="149"/>
    </row>
    <row r="546" spans="7:78" ht="14.1" hidden="1" customHeight="1" x14ac:dyDescent="0.25">
      <c r="G546" s="106"/>
      <c r="H546" s="217"/>
      <c r="J546" s="210"/>
      <c r="K546" s="7" t="s">
        <v>108</v>
      </c>
      <c r="L546" s="150">
        <v>1107.9223455070251</v>
      </c>
      <c r="M546" s="150">
        <v>1031.3489093081341</v>
      </c>
      <c r="N546" s="150">
        <v>974.12470183661742</v>
      </c>
      <c r="O546" s="150">
        <v>927.50279036009442</v>
      </c>
      <c r="P546" s="150">
        <v>887.5870577885189</v>
      </c>
      <c r="Q546" s="150">
        <v>852.29919661490533</v>
      </c>
      <c r="R546" s="150">
        <v>820.39864246779018</v>
      </c>
      <c r="S546" s="150">
        <v>791.08520589120815</v>
      </c>
      <c r="T546" s="150">
        <v>763.81252314205517</v>
      </c>
      <c r="U546" s="150">
        <v>738.19089520001057</v>
      </c>
      <c r="V546" s="150">
        <v>713.93258272127207</v>
      </c>
      <c r="W546" s="150">
        <v>690.81907327609883</v>
      </c>
      <c r="X546" s="150">
        <v>678.64472154765849</v>
      </c>
      <c r="Y546" s="150">
        <v>667.31067124474453</v>
      </c>
      <c r="Z546" s="150">
        <v>656.70837524975536</v>
      </c>
      <c r="AA546" s="150">
        <v>646.74904904034304</v>
      </c>
      <c r="AB546" s="150">
        <v>637.35914652238102</v>
      </c>
      <c r="AC546" s="150">
        <v>628.47706070092056</v>
      </c>
      <c r="AD546" s="150">
        <v>620.05067162243984</v>
      </c>
      <c r="AE546" s="150">
        <v>612.03549319797946</v>
      </c>
      <c r="AF546" s="150">
        <v>604.39325152960726</v>
      </c>
      <c r="AG546" s="150">
        <v>597.0907795180417</v>
      </c>
      <c r="AH546" s="150">
        <v>590.09914690007633</v>
      </c>
      <c r="AI546" s="150">
        <v>583.39296799512431</v>
      </c>
      <c r="AJ546" s="150">
        <v>576.94984530411523</v>
      </c>
      <c r="AK546" s="150">
        <v>570.749918172702</v>
      </c>
      <c r="AL546" s="150">
        <v>564.77549357567477</v>
      </c>
      <c r="AM546" s="150">
        <v>559.01074171994435</v>
      </c>
      <c r="AN546" s="150">
        <v>553.44144327276081</v>
      </c>
      <c r="AO546" s="150">
        <v>548.05477805228657</v>
      </c>
      <c r="AP546" s="150">
        <v>542.83914727777164</v>
      </c>
      <c r="AQ546" s="150">
        <v>537.78402317992845</v>
      </c>
      <c r="AR546" s="149"/>
      <c r="AS546" s="149"/>
      <c r="AT546" s="149"/>
      <c r="AU546" s="149"/>
      <c r="AV546" s="149"/>
      <c r="AW546" s="149"/>
      <c r="AX546" s="149"/>
      <c r="AY546" s="149"/>
      <c r="AZ546" s="149"/>
      <c r="BA546" s="149"/>
      <c r="BB546" s="149"/>
      <c r="BC546" s="149"/>
      <c r="BD546" s="149"/>
      <c r="BE546" s="149"/>
      <c r="BF546" s="149"/>
      <c r="BG546" s="149"/>
      <c r="BH546" s="149"/>
      <c r="BI546" s="149"/>
      <c r="BJ546" s="149"/>
      <c r="BK546" s="149"/>
      <c r="BL546" s="149"/>
      <c r="BM546" s="149"/>
      <c r="BN546" s="149"/>
      <c r="BO546" s="149"/>
      <c r="BP546" s="149"/>
      <c r="BQ546" s="149"/>
      <c r="BR546" s="149"/>
      <c r="BS546" s="149"/>
      <c r="BT546" s="149"/>
      <c r="BU546" s="149"/>
      <c r="BV546" s="149"/>
      <c r="BW546" s="149"/>
      <c r="BX546" s="149"/>
      <c r="BY546" s="149"/>
      <c r="BZ546" s="149"/>
    </row>
    <row r="547" spans="7:78" ht="14.1" hidden="1" customHeight="1" thickBot="1" x14ac:dyDescent="0.3">
      <c r="G547" s="106"/>
      <c r="H547" s="217"/>
      <c r="J547" s="210"/>
      <c r="K547" s="121" t="s">
        <v>109</v>
      </c>
      <c r="L547" s="151">
        <v>1173.5496770903683</v>
      </c>
      <c r="M547" s="151">
        <v>1121.1370119440085</v>
      </c>
      <c r="N547" s="151">
        <v>1081.6583596227915</v>
      </c>
      <c r="O547" s="151">
        <v>1049.2668235017732</v>
      </c>
      <c r="P547" s="151">
        <v>1021.3580399072996</v>
      </c>
      <c r="Q547" s="151">
        <v>996.54276194334329</v>
      </c>
      <c r="R547" s="151">
        <v>973.99173301694577</v>
      </c>
      <c r="S547" s="151">
        <v>953.1700656226709</v>
      </c>
      <c r="T547" s="151">
        <v>933.71254232679291</v>
      </c>
      <c r="U547" s="151">
        <v>915.35866839859739</v>
      </c>
      <c r="V547" s="151">
        <v>897.91610416318281</v>
      </c>
      <c r="W547" s="151">
        <v>881.23878475106744</v>
      </c>
      <c r="X547" s="151">
        <v>873.10082619922878</v>
      </c>
      <c r="Y547" s="151">
        <v>865.52456804216445</v>
      </c>
      <c r="Z547" s="151">
        <v>858.43745184196575</v>
      </c>
      <c r="AA547" s="151">
        <v>851.78012948885009</v>
      </c>
      <c r="AB547" s="151">
        <v>845.50343901682527</v>
      </c>
      <c r="AC547" s="151">
        <v>839.56619916362968</v>
      </c>
      <c r="AD547" s="151">
        <v>833.93357029008178</v>
      </c>
      <c r="AE547" s="151">
        <v>828.57581562200573</v>
      </c>
      <c r="AF547" s="151">
        <v>823.46735093102268</v>
      </c>
      <c r="AG547" s="151">
        <v>818.58600563382254</v>
      </c>
      <c r="AH547" s="151">
        <v>813.91244126474248</v>
      </c>
      <c r="AI547" s="151">
        <v>809.42968873819768</v>
      </c>
      <c r="AJ547" s="151">
        <v>805.12277642176161</v>
      </c>
      <c r="AK547" s="151">
        <v>800.97842843960223</v>
      </c>
      <c r="AL547" s="151">
        <v>796.98481786992306</v>
      </c>
      <c r="AM547" s="151">
        <v>793.13136327044936</v>
      </c>
      <c r="AN547" s="151">
        <v>789.40855971285862</v>
      </c>
      <c r="AO547" s="151">
        <v>785.80783753276546</v>
      </c>
      <c r="AP547" s="151">
        <v>782.32144351265993</v>
      </c>
      <c r="AQ547" s="151">
        <v>778.94234035379975</v>
      </c>
      <c r="AR547" s="149"/>
      <c r="AS547" s="149"/>
      <c r="AT547" s="149"/>
      <c r="AU547" s="149"/>
      <c r="AV547" s="149"/>
      <c r="AW547" s="149"/>
      <c r="AX547" s="149"/>
      <c r="AY547" s="149"/>
      <c r="AZ547" s="149"/>
      <c r="BA547" s="149"/>
      <c r="BB547" s="149"/>
      <c r="BC547" s="149"/>
      <c r="BD547" s="149"/>
      <c r="BE547" s="149"/>
      <c r="BF547" s="149"/>
      <c r="BG547" s="149"/>
      <c r="BH547" s="149"/>
      <c r="BI547" s="149"/>
      <c r="BJ547" s="149"/>
      <c r="BK547" s="149"/>
      <c r="BL547" s="149"/>
      <c r="BM547" s="149"/>
      <c r="BN547" s="149"/>
      <c r="BO547" s="149"/>
      <c r="BP547" s="149"/>
      <c r="BQ547" s="149"/>
      <c r="BR547" s="149"/>
      <c r="BS547" s="149"/>
      <c r="BT547" s="149"/>
      <c r="BU547" s="149"/>
      <c r="BV547" s="149"/>
      <c r="BW547" s="149"/>
      <c r="BX547" s="149"/>
      <c r="BY547" s="149"/>
      <c r="BZ547" s="149"/>
    </row>
    <row r="548" spans="7:78" ht="14.1" hidden="1" customHeight="1" thickTop="1" x14ac:dyDescent="0.25">
      <c r="G548" s="106"/>
      <c r="H548" s="217"/>
      <c r="J548" s="210"/>
      <c r="K548" s="119" t="s">
        <v>110</v>
      </c>
      <c r="L548" s="152">
        <v>1015.8517892028588</v>
      </c>
      <c r="M548" s="152">
        <v>934.85676097991131</v>
      </c>
      <c r="N548" s="152">
        <v>874.58654851556514</v>
      </c>
      <c r="O548" s="152">
        <v>825.67237686350427</v>
      </c>
      <c r="P548" s="152">
        <v>783.94114382918372</v>
      </c>
      <c r="Q548" s="152">
        <v>747.16678961564912</v>
      </c>
      <c r="R548" s="152">
        <v>714.02055490140356</v>
      </c>
      <c r="S548" s="152">
        <v>683.64536267936853</v>
      </c>
      <c r="T548" s="152">
        <v>655.45600678590893</v>
      </c>
      <c r="U548" s="152">
        <v>629.0350834830607</v>
      </c>
      <c r="V548" s="152">
        <v>604.0743972881545</v>
      </c>
      <c r="W548" s="152">
        <v>580.33990115409881</v>
      </c>
      <c r="X548" s="152">
        <v>567.30004307462002</v>
      </c>
      <c r="Y548" s="152">
        <v>555.16022563609374</v>
      </c>
      <c r="Z548" s="152">
        <v>543.80418482380844</v>
      </c>
      <c r="AA548" s="152">
        <v>533.13682419263932</v>
      </c>
      <c r="AB548" s="152">
        <v>523.07936906520717</v>
      </c>
      <c r="AC548" s="152">
        <v>513.56583264494532</v>
      </c>
      <c r="AD548" s="152">
        <v>504.54038963518138</v>
      </c>
      <c r="AE548" s="152">
        <v>495.95539131510645</v>
      </c>
      <c r="AF548" s="152">
        <v>487.76984279576703</v>
      </c>
      <c r="AG548" s="152">
        <v>479.94821904246817</v>
      </c>
      <c r="AH548" s="152">
        <v>472.45953306429476</v>
      </c>
      <c r="AI548" s="152">
        <v>465.2765944465545</v>
      </c>
      <c r="AJ548" s="152">
        <v>458.37541339367294</v>
      </c>
      <c r="AK548" s="152">
        <v>451.73471730569361</v>
      </c>
      <c r="AL548" s="152">
        <v>445.33555531419404</v>
      </c>
      <c r="AM548" s="152">
        <v>439.16097224489357</v>
      </c>
      <c r="AN548" s="152">
        <v>433.19573787566787</v>
      </c>
      <c r="AO548" s="152">
        <v>427.4261206045847</v>
      </c>
      <c r="AP548" s="152">
        <v>421.83969706338246</v>
      </c>
      <c r="AQ548" s="152">
        <v>416.42519103625352</v>
      </c>
      <c r="AR548" s="149"/>
      <c r="AS548" s="149"/>
      <c r="AT548" s="149"/>
      <c r="AU548" s="149"/>
      <c r="AV548" s="149"/>
      <c r="AW548" s="149"/>
      <c r="AX548" s="149"/>
      <c r="AY548" s="149"/>
      <c r="AZ548" s="149"/>
      <c r="BA548" s="149"/>
      <c r="BB548" s="149"/>
      <c r="BC548" s="149"/>
      <c r="BD548" s="149"/>
      <c r="BE548" s="149"/>
      <c r="BF548" s="149"/>
      <c r="BG548" s="149"/>
      <c r="BH548" s="149"/>
      <c r="BI548" s="149"/>
      <c r="BJ548" s="149"/>
      <c r="BK548" s="149"/>
      <c r="BL548" s="149"/>
      <c r="BM548" s="149"/>
      <c r="BN548" s="149"/>
      <c r="BO548" s="149"/>
      <c r="BP548" s="149"/>
      <c r="BQ548" s="149"/>
      <c r="BR548" s="149"/>
      <c r="BS548" s="149"/>
      <c r="BT548" s="149"/>
      <c r="BU548" s="149"/>
      <c r="BV548" s="149"/>
      <c r="BW548" s="149"/>
      <c r="BX548" s="149"/>
      <c r="BY548" s="149"/>
      <c r="BZ548" s="149"/>
    </row>
    <row r="549" spans="7:78" ht="14.1" hidden="1" customHeight="1" x14ac:dyDescent="0.25">
      <c r="G549" s="106"/>
      <c r="H549" s="217"/>
      <c r="J549" s="210"/>
      <c r="K549" s="7" t="s">
        <v>111</v>
      </c>
      <c r="L549" s="150">
        <v>1054.2528936462959</v>
      </c>
      <c r="M549" s="150">
        <v>981.38879173834391</v>
      </c>
      <c r="N549" s="150">
        <v>926.93661234317722</v>
      </c>
      <c r="O549" s="150">
        <v>882.57313751954018</v>
      </c>
      <c r="P549" s="150">
        <v>844.59098404439089</v>
      </c>
      <c r="Q549" s="150">
        <v>811.01252080304732</v>
      </c>
      <c r="R549" s="150">
        <v>780.65727825838542</v>
      </c>
      <c r="S549" s="150">
        <v>752.76382935476556</v>
      </c>
      <c r="T549" s="150">
        <v>726.81227704390938</v>
      </c>
      <c r="U549" s="150">
        <v>702.43179992169041</v>
      </c>
      <c r="V549" s="150">
        <v>679.34859717792551</v>
      </c>
      <c r="W549" s="150">
        <v>657.3547414589641</v>
      </c>
      <c r="X549" s="150">
        <v>645.77013393658194</v>
      </c>
      <c r="Y549" s="150">
        <v>634.98512235428416</v>
      </c>
      <c r="Z549" s="150">
        <v>624.89641778275882</v>
      </c>
      <c r="AA549" s="150">
        <v>615.4195365576262</v>
      </c>
      <c r="AB549" s="150">
        <v>606.48449526997376</v>
      </c>
      <c r="AC549" s="150">
        <v>598.03267126185335</v>
      </c>
      <c r="AD549" s="150">
        <v>590.01446934995624</v>
      </c>
      <c r="AE549" s="150">
        <v>582.38755841946886</v>
      </c>
      <c r="AF549" s="150">
        <v>575.11551861857606</v>
      </c>
      <c r="AG549" s="150">
        <v>568.1667895129807</v>
      </c>
      <c r="AH549" s="150">
        <v>561.51384226564585</v>
      </c>
      <c r="AI549" s="150">
        <v>555.13252091715367</v>
      </c>
      <c r="AJ549" s="150">
        <v>549.00151293752333</v>
      </c>
      <c r="AK549" s="150">
        <v>543.10191975286079</v>
      </c>
      <c r="AL549" s="150">
        <v>537.41690541514095</v>
      </c>
      <c r="AM549" s="150">
        <v>531.93140695064767</v>
      </c>
      <c r="AN549" s="150">
        <v>526.63189383284328</v>
      </c>
      <c r="AO549" s="150">
        <v>521.50616690909396</v>
      </c>
      <c r="AP549" s="150">
        <v>516.54318926131793</v>
      </c>
      <c r="AQ549" s="150">
        <v>511.73294310146321</v>
      </c>
      <c r="AR549" s="149"/>
      <c r="AS549" s="149"/>
      <c r="AT549" s="149"/>
      <c r="AU549" s="149"/>
      <c r="AV549" s="149"/>
      <c r="AW549" s="149"/>
      <c r="AX549" s="149"/>
      <c r="AY549" s="149"/>
      <c r="AZ549" s="149"/>
      <c r="BA549" s="149"/>
      <c r="BB549" s="149"/>
      <c r="BC549" s="149"/>
      <c r="BD549" s="149"/>
      <c r="BE549" s="149"/>
      <c r="BF549" s="149"/>
      <c r="BG549" s="149"/>
      <c r="BH549" s="149"/>
      <c r="BI549" s="149"/>
      <c r="BJ549" s="149"/>
      <c r="BK549" s="149"/>
      <c r="BL549" s="149"/>
      <c r="BM549" s="149"/>
      <c r="BN549" s="149"/>
      <c r="BO549" s="149"/>
      <c r="BP549" s="149"/>
      <c r="BQ549" s="149"/>
      <c r="BR549" s="149"/>
      <c r="BS549" s="149"/>
      <c r="BT549" s="149"/>
      <c r="BU549" s="149"/>
      <c r="BV549" s="149"/>
      <c r="BW549" s="149"/>
      <c r="BX549" s="149"/>
      <c r="BY549" s="149"/>
      <c r="BZ549" s="149"/>
    </row>
    <row r="550" spans="7:78" ht="14.1" hidden="1" customHeight="1" thickBot="1" x14ac:dyDescent="0.3">
      <c r="G550" s="106"/>
      <c r="H550" s="217"/>
      <c r="J550" s="210"/>
      <c r="K550" s="121" t="s">
        <v>112</v>
      </c>
      <c r="L550" s="151">
        <v>1116.7011369772501</v>
      </c>
      <c r="M550" s="151">
        <v>1066.8274214426322</v>
      </c>
      <c r="N550" s="151">
        <v>1029.2611753824428</v>
      </c>
      <c r="O550" s="151">
        <v>998.43873478115279</v>
      </c>
      <c r="P550" s="151">
        <v>971.88189532219496</v>
      </c>
      <c r="Q550" s="151">
        <v>948.26870735263071</v>
      </c>
      <c r="R550" s="151">
        <v>926.81008473637155</v>
      </c>
      <c r="S550" s="151">
        <v>906.99705073631333</v>
      </c>
      <c r="T550" s="151">
        <v>888.48207960944956</v>
      </c>
      <c r="U550" s="151">
        <v>871.01729538798475</v>
      </c>
      <c r="V550" s="151">
        <v>854.41967562485797</v>
      </c>
      <c r="W550" s="151">
        <v>838.55023105612338</v>
      </c>
      <c r="X550" s="151">
        <v>830.80648765529565</v>
      </c>
      <c r="Y550" s="151">
        <v>823.59723502356792</v>
      </c>
      <c r="Z550" s="151">
        <v>816.85342956466843</v>
      </c>
      <c r="AA550" s="151">
        <v>810.51859808196525</v>
      </c>
      <c r="AB550" s="151">
        <v>804.54596009024203</v>
      </c>
      <c r="AC550" s="151">
        <v>798.89632921052635</v>
      </c>
      <c r="AD550" s="151">
        <v>793.53655348901043</v>
      </c>
      <c r="AE550" s="151">
        <v>788.43833664631177</v>
      </c>
      <c r="AF550" s="151">
        <v>783.57733379317926</v>
      </c>
      <c r="AG550" s="151">
        <v>778.93244832324592</v>
      </c>
      <c r="AH550" s="151">
        <v>774.48527855568443</v>
      </c>
      <c r="AI550" s="151">
        <v>770.2196774133522</v>
      </c>
      <c r="AJ550" s="151">
        <v>766.12139851258166</v>
      </c>
      <c r="AK550" s="151">
        <v>762.17780908125815</v>
      </c>
      <c r="AL550" s="151">
        <v>758.37765511175417</v>
      </c>
      <c r="AM550" s="151">
        <v>754.7108677430324</v>
      </c>
      <c r="AN550" s="151">
        <v>751.16840248002632</v>
      </c>
      <c r="AO550" s="151">
        <v>747.74210478599218</v>
      </c>
      <c r="AP550" s="151">
        <v>744.42459702112683</v>
      </c>
      <c r="AQ550" s="151">
        <v>741.20918278419549</v>
      </c>
      <c r="AR550" s="149"/>
      <c r="AS550" s="149"/>
      <c r="AT550" s="149"/>
      <c r="AU550" s="149"/>
      <c r="AV550" s="149"/>
      <c r="AW550" s="149"/>
      <c r="AX550" s="149"/>
      <c r="AY550" s="149"/>
      <c r="AZ550" s="149"/>
      <c r="BA550" s="149"/>
      <c r="BB550" s="149"/>
      <c r="BC550" s="149"/>
      <c r="BD550" s="149"/>
      <c r="BE550" s="149"/>
      <c r="BF550" s="149"/>
      <c r="BG550" s="149"/>
      <c r="BH550" s="149"/>
      <c r="BI550" s="149"/>
      <c r="BJ550" s="149"/>
      <c r="BK550" s="149"/>
      <c r="BL550" s="149"/>
      <c r="BM550" s="149"/>
      <c r="BN550" s="149"/>
      <c r="BO550" s="149"/>
      <c r="BP550" s="149"/>
      <c r="BQ550" s="149"/>
      <c r="BR550" s="149"/>
      <c r="BS550" s="149"/>
      <c r="BT550" s="149"/>
      <c r="BU550" s="149"/>
      <c r="BV550" s="149"/>
      <c r="BW550" s="149"/>
      <c r="BX550" s="149"/>
      <c r="BY550" s="149"/>
      <c r="BZ550" s="149"/>
    </row>
    <row r="551" spans="7:78" ht="14.1" hidden="1" customHeight="1" thickTop="1" x14ac:dyDescent="0.25">
      <c r="G551" s="106"/>
      <c r="H551" s="217"/>
      <c r="J551" s="210"/>
      <c r="K551" s="119" t="s">
        <v>113</v>
      </c>
      <c r="L551" s="152">
        <v>800.44645172160642</v>
      </c>
      <c r="M551" s="152">
        <v>736.62593810217027</v>
      </c>
      <c r="N551" s="152">
        <v>689.13566617042557</v>
      </c>
      <c r="O551" s="152">
        <v>650.59345405450517</v>
      </c>
      <c r="P551" s="152">
        <v>617.71108109092438</v>
      </c>
      <c r="Q551" s="152">
        <v>588.73451023930863</v>
      </c>
      <c r="R551" s="152">
        <v>562.61673769911454</v>
      </c>
      <c r="S551" s="152">
        <v>538.68242455135828</v>
      </c>
      <c r="T551" s="152">
        <v>516.47045412312946</v>
      </c>
      <c r="U551" s="152">
        <v>495.65193065961427</v>
      </c>
      <c r="V551" s="152">
        <v>475.98400969948364</v>
      </c>
      <c r="W551" s="152">
        <v>457.28227248168241</v>
      </c>
      <c r="X551" s="152">
        <v>447.00743884786789</v>
      </c>
      <c r="Y551" s="152">
        <v>437.44179758356341</v>
      </c>
      <c r="Z551" s="152">
        <v>428.49373776773888</v>
      </c>
      <c r="AA551" s="152">
        <v>420.08832759156115</v>
      </c>
      <c r="AB551" s="152">
        <v>412.16349608004748</v>
      </c>
      <c r="AC551" s="152">
        <v>404.66724854486478</v>
      </c>
      <c r="AD551" s="152">
        <v>397.55559711188351</v>
      </c>
      <c r="AE551" s="152">
        <v>390.79099668849665</v>
      </c>
      <c r="AF551" s="152">
        <v>384.3411451084333</v>
      </c>
      <c r="AG551" s="152">
        <v>378.17805020957763</v>
      </c>
      <c r="AH551" s="152">
        <v>372.27729560836758</v>
      </c>
      <c r="AI551" s="152">
        <v>366.61745645602826</v>
      </c>
      <c r="AJ551" s="152">
        <v>361.17962985063127</v>
      </c>
      <c r="AK551" s="152">
        <v>355.94705392067624</v>
      </c>
      <c r="AL551" s="152">
        <v>350.90479621681675</v>
      </c>
      <c r="AM551" s="152">
        <v>346.03949680876013</v>
      </c>
      <c r="AN551" s="152">
        <v>341.33915495251227</v>
      </c>
      <c r="AO551" s="152">
        <v>336.79295075076141</v>
      </c>
      <c r="AP551" s="152">
        <v>332.39109513668774</v>
      </c>
      <c r="AQ551" s="152">
        <v>328.12470294906205</v>
      </c>
      <c r="AR551" s="149"/>
      <c r="AS551" s="149"/>
      <c r="AT551" s="149"/>
      <c r="AU551" s="149"/>
      <c r="AV551" s="149"/>
      <c r="AW551" s="149"/>
      <c r="AX551" s="149"/>
      <c r="AY551" s="149"/>
      <c r="AZ551" s="149"/>
      <c r="BA551" s="149"/>
      <c r="BB551" s="149"/>
      <c r="BC551" s="149"/>
      <c r="BD551" s="149"/>
      <c r="BE551" s="149"/>
      <c r="BF551" s="149"/>
      <c r="BG551" s="149"/>
      <c r="BH551" s="149"/>
      <c r="BI551" s="149"/>
      <c r="BJ551" s="149"/>
      <c r="BK551" s="149"/>
      <c r="BL551" s="149"/>
      <c r="BM551" s="149"/>
      <c r="BN551" s="149"/>
      <c r="BO551" s="149"/>
      <c r="BP551" s="149"/>
      <c r="BQ551" s="149"/>
      <c r="BR551" s="149"/>
      <c r="BS551" s="149"/>
      <c r="BT551" s="149"/>
      <c r="BU551" s="149"/>
      <c r="BV551" s="149"/>
      <c r="BW551" s="149"/>
      <c r="BX551" s="149"/>
      <c r="BY551" s="149"/>
      <c r="BZ551" s="149"/>
    </row>
    <row r="552" spans="7:78" ht="14.1" hidden="1" customHeight="1" x14ac:dyDescent="0.25">
      <c r="G552" s="106"/>
      <c r="H552" s="217"/>
      <c r="J552" s="210"/>
      <c r="K552" s="7" t="s">
        <v>114</v>
      </c>
      <c r="L552" s="150">
        <v>830.70483008018584</v>
      </c>
      <c r="M552" s="150">
        <v>773.29112815043061</v>
      </c>
      <c r="N552" s="150">
        <v>730.38520993614884</v>
      </c>
      <c r="O552" s="150">
        <v>695.42874641848721</v>
      </c>
      <c r="P552" s="150">
        <v>665.50048296404589</v>
      </c>
      <c r="Q552" s="150">
        <v>639.04213338837701</v>
      </c>
      <c r="R552" s="150">
        <v>615.1235397074131</v>
      </c>
      <c r="S552" s="150">
        <v>593.14473094959169</v>
      </c>
      <c r="T552" s="150">
        <v>572.69605114740034</v>
      </c>
      <c r="U552" s="150">
        <v>553.48530937268367</v>
      </c>
      <c r="V552" s="150">
        <v>535.2967626506113</v>
      </c>
      <c r="W552" s="150">
        <v>517.96657338773241</v>
      </c>
      <c r="X552" s="150">
        <v>508.83841307494237</v>
      </c>
      <c r="Y552" s="150">
        <v>500.34029913294614</v>
      </c>
      <c r="Z552" s="150">
        <v>492.39084443632953</v>
      </c>
      <c r="AA552" s="150">
        <v>484.92347957989017</v>
      </c>
      <c r="AB552" s="150">
        <v>477.88306072085595</v>
      </c>
      <c r="AC552" s="150">
        <v>471.22339578766309</v>
      </c>
      <c r="AD552" s="150">
        <v>464.9054059610155</v>
      </c>
      <c r="AE552" s="150">
        <v>458.89573618753815</v>
      </c>
      <c r="AF552" s="150">
        <v>453.16568922864991</v>
      </c>
      <c r="AG552" s="150">
        <v>447.69039685266955</v>
      </c>
      <c r="AH552" s="150">
        <v>442.44816754892531</v>
      </c>
      <c r="AI552" s="150">
        <v>437.41996748570148</v>
      </c>
      <c r="AJ552" s="150">
        <v>432.58900332839761</v>
      </c>
      <c r="AK552" s="150">
        <v>427.94038383345168</v>
      </c>
      <c r="AL552" s="150">
        <v>423.46084301560751</v>
      </c>
      <c r="AM552" s="150">
        <v>419.13851191524736</v>
      </c>
      <c r="AN552" s="150">
        <v>414.96272907361129</v>
      </c>
      <c r="AO552" s="150">
        <v>410.92388209591525</v>
      </c>
      <c r="AP552" s="150">
        <v>407.01327437699467</v>
      </c>
      <c r="AQ552" s="150">
        <v>403.22301234124581</v>
      </c>
      <c r="AR552" s="149"/>
      <c r="AS552" s="149"/>
      <c r="AT552" s="149"/>
      <c r="AU552" s="149"/>
      <c r="AV552" s="149"/>
      <c r="AW552" s="149"/>
      <c r="AX552" s="149"/>
      <c r="AY552" s="149"/>
      <c r="AZ552" s="149"/>
      <c r="BA552" s="149"/>
      <c r="BB552" s="149"/>
      <c r="BC552" s="149"/>
      <c r="BD552" s="149"/>
      <c r="BE552" s="149"/>
      <c r="BF552" s="149"/>
      <c r="BG552" s="149"/>
      <c r="BH552" s="149"/>
      <c r="BI552" s="149"/>
      <c r="BJ552" s="149"/>
      <c r="BK552" s="149"/>
      <c r="BL552" s="149"/>
      <c r="BM552" s="149"/>
      <c r="BN552" s="149"/>
      <c r="BO552" s="149"/>
      <c r="BP552" s="149"/>
      <c r="BQ552" s="149"/>
      <c r="BR552" s="149"/>
      <c r="BS552" s="149"/>
      <c r="BT552" s="149"/>
      <c r="BU552" s="149"/>
      <c r="BV552" s="149"/>
      <c r="BW552" s="149"/>
      <c r="BX552" s="149"/>
      <c r="BY552" s="149"/>
      <c r="BZ552" s="149"/>
    </row>
    <row r="553" spans="7:78" ht="14.1" hidden="1" customHeight="1" thickBot="1" x14ac:dyDescent="0.3">
      <c r="G553" s="106"/>
      <c r="H553" s="217"/>
      <c r="J553" s="210"/>
      <c r="K553" s="121" t="s">
        <v>115</v>
      </c>
      <c r="L553" s="151">
        <v>879.91129437133452</v>
      </c>
      <c r="M553" s="151">
        <v>840.61300395321757</v>
      </c>
      <c r="N553" s="151">
        <v>811.01245721699013</v>
      </c>
      <c r="O553" s="151">
        <v>786.72573205203037</v>
      </c>
      <c r="P553" s="151">
        <v>765.8001126459319</v>
      </c>
      <c r="Q553" s="151">
        <v>747.19396091694318</v>
      </c>
      <c r="R553" s="151">
        <v>730.28551175676</v>
      </c>
      <c r="S553" s="151">
        <v>714.67371392192922</v>
      </c>
      <c r="T553" s="151">
        <v>700.08473243885726</v>
      </c>
      <c r="U553" s="151">
        <v>686.32325196627289</v>
      </c>
      <c r="V553" s="151">
        <v>673.24505887981445</v>
      </c>
      <c r="W553" s="151">
        <v>660.74063576332412</v>
      </c>
      <c r="X553" s="151">
        <v>654.63890715082732</v>
      </c>
      <c r="Y553" s="151">
        <v>648.95833371485458</v>
      </c>
      <c r="Z553" s="151">
        <v>643.64451214358701</v>
      </c>
      <c r="AA553" s="151">
        <v>638.65294404627332</v>
      </c>
      <c r="AB553" s="151">
        <v>633.94676846169909</v>
      </c>
      <c r="AC553" s="151">
        <v>629.49510824977597</v>
      </c>
      <c r="AD553" s="151">
        <v>625.27184113157011</v>
      </c>
      <c r="AE553" s="151">
        <v>621.25467088565483</v>
      </c>
      <c r="AF553" s="151">
        <v>617.42441481193009</v>
      </c>
      <c r="AG553" s="151">
        <v>613.76444971408944</v>
      </c>
      <c r="AH553" s="151">
        <v>610.26027587841452</v>
      </c>
      <c r="AI553" s="151">
        <v>606.89917011955299</v>
      </c>
      <c r="AJ553" s="151">
        <v>603.66990691486706</v>
      </c>
      <c r="AK553" s="151">
        <v>600.5625321965266</v>
      </c>
      <c r="AL553" s="151">
        <v>597.56817830237037</v>
      </c>
      <c r="AM553" s="151">
        <v>594.67891141353209</v>
      </c>
      <c r="AN553" s="151">
        <v>591.88760486639751</v>
      </c>
      <c r="AO553" s="151">
        <v>589.18783324529954</v>
      </c>
      <c r="AP553" s="151">
        <v>586.57378329512994</v>
      </c>
      <c r="AQ553" s="151">
        <v>584.04017854675772</v>
      </c>
      <c r="AR553" s="149"/>
      <c r="AS553" s="149"/>
      <c r="AT553" s="149"/>
      <c r="AU553" s="149"/>
      <c r="AV553" s="149"/>
      <c r="AW553" s="149"/>
      <c r="AX553" s="149"/>
      <c r="AY553" s="149"/>
      <c r="AZ553" s="149"/>
      <c r="BA553" s="149"/>
      <c r="BB553" s="149"/>
      <c r="BC553" s="149"/>
      <c r="BD553" s="149"/>
      <c r="BE553" s="149"/>
      <c r="BF553" s="149"/>
      <c r="BG553" s="149"/>
      <c r="BH553" s="149"/>
      <c r="BI553" s="149"/>
      <c r="BJ553" s="149"/>
      <c r="BK553" s="149"/>
      <c r="BL553" s="149"/>
      <c r="BM553" s="149"/>
      <c r="BN553" s="149"/>
      <c r="BO553" s="149"/>
      <c r="BP553" s="149"/>
      <c r="BQ553" s="149"/>
      <c r="BR553" s="149"/>
      <c r="BS553" s="149"/>
      <c r="BT553" s="149"/>
      <c r="BU553" s="149"/>
      <c r="BV553" s="149"/>
      <c r="BW553" s="149"/>
      <c r="BX553" s="149"/>
      <c r="BY553" s="149"/>
      <c r="BZ553" s="149"/>
    </row>
    <row r="554" spans="7:78" ht="14.1" customHeight="1" thickTop="1" x14ac:dyDescent="0.25">
      <c r="G554" s="106"/>
      <c r="H554" s="217"/>
      <c r="J554" s="210"/>
      <c r="K554" s="119" t="s">
        <v>116</v>
      </c>
      <c r="L554" s="152">
        <v>1023.0804760028153</v>
      </c>
      <c r="M554" s="152">
        <v>945.21062814828019</v>
      </c>
      <c r="N554" s="152">
        <v>887.21332932073631</v>
      </c>
      <c r="O554" s="152">
        <v>840.10507676618931</v>
      </c>
      <c r="P554" s="152">
        <v>799.88437879844662</v>
      </c>
      <c r="Q554" s="152">
        <v>764.41671789189184</v>
      </c>
      <c r="R554" s="152">
        <v>732.42797730314408</v>
      </c>
      <c r="S554" s="152">
        <v>703.09632560839384</v>
      </c>
      <c r="T554" s="152">
        <v>675.86062208083399</v>
      </c>
      <c r="U554" s="152">
        <v>650.32062787909865</v>
      </c>
      <c r="V554" s="152">
        <v>626.18082144533253</v>
      </c>
      <c r="W554" s="152">
        <v>603.21678045066972</v>
      </c>
      <c r="X554" s="152">
        <v>590.71316053878184</v>
      </c>
      <c r="Y554" s="152">
        <v>579.07256889078553</v>
      </c>
      <c r="Z554" s="152">
        <v>568.18352261779285</v>
      </c>
      <c r="AA554" s="152">
        <v>557.95483592640335</v>
      </c>
      <c r="AB554" s="152">
        <v>548.3109735908015</v>
      </c>
      <c r="AC554" s="152">
        <v>539.18866238988016</v>
      </c>
      <c r="AD554" s="152">
        <v>530.53437273100042</v>
      </c>
      <c r="AE554" s="152">
        <v>522.30241535200537</v>
      </c>
      <c r="AF554" s="152">
        <v>514.45348119702373</v>
      </c>
      <c r="AG554" s="152">
        <v>506.95350612759034</v>
      </c>
      <c r="AH554" s="152">
        <v>499.77277743101638</v>
      </c>
      <c r="AI554" s="152">
        <v>492.8852228442081</v>
      </c>
      <c r="AJ554" s="152">
        <v>486.26783910410825</v>
      </c>
      <c r="AK554" s="152">
        <v>479.90022840402514</v>
      </c>
      <c r="AL554" s="152">
        <v>473.76421919222054</v>
      </c>
      <c r="AM554" s="152">
        <v>467.84355354215404</v>
      </c>
      <c r="AN554" s="152">
        <v>462.12362754422406</v>
      </c>
      <c r="AO554" s="152">
        <v>456.59127428125277</v>
      </c>
      <c r="AP554" s="152">
        <v>451.23458127123143</v>
      </c>
      <c r="AQ554" s="152">
        <v>446.04273601024738</v>
      </c>
      <c r="AR554" s="149"/>
      <c r="AS554" s="149"/>
      <c r="AT554" s="149"/>
      <c r="AU554" s="149"/>
      <c r="AV554" s="149"/>
      <c r="AW554" s="149"/>
      <c r="AX554" s="149"/>
      <c r="AY554" s="149"/>
      <c r="AZ554" s="149"/>
      <c r="BA554" s="149"/>
      <c r="BB554" s="149"/>
      <c r="BC554" s="149"/>
      <c r="BD554" s="149"/>
      <c r="BE554" s="149"/>
      <c r="BF554" s="149"/>
      <c r="BG554" s="149"/>
      <c r="BH554" s="149"/>
      <c r="BI554" s="149"/>
      <c r="BJ554" s="149"/>
      <c r="BK554" s="149"/>
      <c r="BL554" s="149"/>
      <c r="BM554" s="149"/>
      <c r="BN554" s="149"/>
      <c r="BO554" s="149"/>
      <c r="BP554" s="149"/>
      <c r="BQ554" s="149"/>
      <c r="BR554" s="149"/>
      <c r="BS554" s="149"/>
      <c r="BT554" s="149"/>
      <c r="BU554" s="149"/>
      <c r="BV554" s="149"/>
      <c r="BW554" s="149"/>
      <c r="BX554" s="149"/>
      <c r="BY554" s="149"/>
      <c r="BZ554" s="149"/>
    </row>
    <row r="555" spans="7:78" ht="14.1" customHeight="1" x14ac:dyDescent="0.25">
      <c r="G555" s="106"/>
      <c r="H555" s="217"/>
      <c r="J555" s="210"/>
      <c r="K555" s="7" t="s">
        <v>117</v>
      </c>
      <c r="L555" s="150">
        <v>1060.1013246805503</v>
      </c>
      <c r="M555" s="150">
        <v>991.60630210107013</v>
      </c>
      <c r="N555" s="150">
        <v>940.50621757564602</v>
      </c>
      <c r="O555" s="150">
        <v>898.93758697337751</v>
      </c>
      <c r="P555" s="150">
        <v>863.39780476991155</v>
      </c>
      <c r="Q555" s="150">
        <v>832.01847451127185</v>
      </c>
      <c r="R555" s="150">
        <v>803.68433001823541</v>
      </c>
      <c r="S555" s="150">
        <v>777.67600173792709</v>
      </c>
      <c r="T555" s="150">
        <v>753.50230918971465</v>
      </c>
      <c r="U555" s="150">
        <v>730.81291332837316</v>
      </c>
      <c r="V555" s="150">
        <v>709.34913675999667</v>
      </c>
      <c r="W555" s="150">
        <v>688.91453701999035</v>
      </c>
      <c r="X555" s="150">
        <v>677.96980650135697</v>
      </c>
      <c r="Y555" s="150">
        <v>667.78050615773031</v>
      </c>
      <c r="Z555" s="150">
        <v>658.24905223457267</v>
      </c>
      <c r="AA555" s="150">
        <v>649.29562753151106</v>
      </c>
      <c r="AB555" s="150">
        <v>640.85411418051649</v>
      </c>
      <c r="AC555" s="150">
        <v>632.86912755226251</v>
      </c>
      <c r="AD555" s="150">
        <v>625.29381185855846</v>
      </c>
      <c r="AE555" s="150">
        <v>618.08817414812881</v>
      </c>
      <c r="AF555" s="150">
        <v>611.21780622346887</v>
      </c>
      <c r="AG555" s="150">
        <v>604.65289089415887</v>
      </c>
      <c r="AH555" s="150">
        <v>598.36741988134452</v>
      </c>
      <c r="AI555" s="150">
        <v>592.33857148254401</v>
      </c>
      <c r="AJ555" s="150">
        <v>586.54621036759033</v>
      </c>
      <c r="AK555" s="150">
        <v>580.97248182728833</v>
      </c>
      <c r="AL555" s="150">
        <v>575.60147984895684</v>
      </c>
      <c r="AM555" s="150">
        <v>570.41897346380222</v>
      </c>
      <c r="AN555" s="150">
        <v>565.41217950533019</v>
      </c>
      <c r="AO555" s="150">
        <v>560.56957264237428</v>
      </c>
      <c r="AP555" s="150">
        <v>555.88072558217254</v>
      </c>
      <c r="AQ555" s="150">
        <v>551.33617387024094</v>
      </c>
      <c r="AR555" s="149"/>
      <c r="AS555" s="149"/>
      <c r="AT555" s="149"/>
      <c r="AU555" s="149"/>
      <c r="AV555" s="149"/>
      <c r="AW555" s="149"/>
      <c r="AX555" s="149"/>
      <c r="AY555" s="149"/>
      <c r="AZ555" s="149"/>
      <c r="BA555" s="149"/>
      <c r="BB555" s="149"/>
      <c r="BC555" s="149"/>
      <c r="BD555" s="149"/>
      <c r="BE555" s="149"/>
      <c r="BF555" s="149"/>
      <c r="BG555" s="149"/>
      <c r="BH555" s="149"/>
      <c r="BI555" s="149"/>
      <c r="BJ555" s="149"/>
      <c r="BK555" s="149"/>
      <c r="BL555" s="149"/>
      <c r="BM555" s="149"/>
      <c r="BN555" s="149"/>
      <c r="BO555" s="149"/>
      <c r="BP555" s="149"/>
      <c r="BQ555" s="149"/>
      <c r="BR555" s="149"/>
      <c r="BS555" s="149"/>
      <c r="BT555" s="149"/>
      <c r="BU555" s="149"/>
      <c r="BV555" s="149"/>
      <c r="BW555" s="149"/>
      <c r="BX555" s="149"/>
      <c r="BY555" s="149"/>
      <c r="BZ555" s="149"/>
    </row>
    <row r="556" spans="7:78" ht="14.1" customHeight="1" thickBot="1" x14ac:dyDescent="0.3">
      <c r="G556" s="106"/>
      <c r="H556" s="217"/>
      <c r="J556" s="210"/>
      <c r="K556" s="121" t="s">
        <v>118</v>
      </c>
      <c r="L556" s="151">
        <v>1118.621008787173</v>
      </c>
      <c r="M556" s="151">
        <v>1073.9797634075776</v>
      </c>
      <c r="N556" s="151">
        <v>1040.2897449776938</v>
      </c>
      <c r="O556" s="151">
        <v>1012.6003868978962</v>
      </c>
      <c r="P556" s="151">
        <v>988.70657478989438</v>
      </c>
      <c r="Q556" s="151">
        <v>967.43203349042142</v>
      </c>
      <c r="R556" s="151">
        <v>948.07463155180631</v>
      </c>
      <c r="S556" s="151">
        <v>930.18147979389255</v>
      </c>
      <c r="T556" s="151">
        <v>913.44334866380859</v>
      </c>
      <c r="U556" s="151">
        <v>897.63967730748698</v>
      </c>
      <c r="V556" s="151">
        <v>882.60761174760228</v>
      </c>
      <c r="W556" s="151">
        <v>868.22347887847377</v>
      </c>
      <c r="X556" s="151">
        <v>861.33307044812932</v>
      </c>
      <c r="Y556" s="151">
        <v>854.91825366780688</v>
      </c>
      <c r="Z556" s="151">
        <v>848.91759331771857</v>
      </c>
      <c r="AA556" s="151">
        <v>843.28083936115479</v>
      </c>
      <c r="AB556" s="151">
        <v>837.96636636800713</v>
      </c>
      <c r="AC556" s="151">
        <v>832.9393061689608</v>
      </c>
      <c r="AD556" s="151">
        <v>828.17016004612526</v>
      </c>
      <c r="AE556" s="151">
        <v>823.63374987673615</v>
      </c>
      <c r="AF556" s="151">
        <v>819.30841349800596</v>
      </c>
      <c r="AG556" s="151">
        <v>815.17537907997587</v>
      </c>
      <c r="AH556" s="151">
        <v>811.2182727463254</v>
      </c>
      <c r="AI556" s="151">
        <v>807.42272677453207</v>
      </c>
      <c r="AJ556" s="151">
        <v>803.77606468539921</v>
      </c>
      <c r="AK556" s="151">
        <v>800.26704579661396</v>
      </c>
      <c r="AL556" s="151">
        <v>796.88565625505464</v>
      </c>
      <c r="AM556" s="151">
        <v>793.62293675494561</v>
      </c>
      <c r="AN556" s="151">
        <v>790.47083947473209</v>
      </c>
      <c r="AO556" s="151">
        <v>787.42210848071204</v>
      </c>
      <c r="AP556" s="151">
        <v>784.47017912464389</v>
      </c>
      <c r="AQ556" s="151">
        <v>781.60909292661279</v>
      </c>
      <c r="AR556" s="149"/>
      <c r="AS556" s="149"/>
      <c r="AT556" s="149"/>
      <c r="AU556" s="149"/>
      <c r="AV556" s="149"/>
      <c r="AW556" s="149"/>
      <c r="AX556" s="149"/>
      <c r="AY556" s="149"/>
      <c r="AZ556" s="149"/>
      <c r="BA556" s="149"/>
      <c r="BB556" s="149"/>
      <c r="BC556" s="149"/>
      <c r="BD556" s="149"/>
      <c r="BE556" s="149"/>
      <c r="BF556" s="149"/>
      <c r="BG556" s="149"/>
      <c r="BH556" s="149"/>
      <c r="BI556" s="149"/>
      <c r="BJ556" s="149"/>
      <c r="BK556" s="149"/>
      <c r="BL556" s="149"/>
      <c r="BM556" s="149"/>
      <c r="BN556" s="149"/>
      <c r="BO556" s="149"/>
      <c r="BP556" s="149"/>
      <c r="BQ556" s="149"/>
      <c r="BR556" s="149"/>
      <c r="BS556" s="149"/>
      <c r="BT556" s="149"/>
      <c r="BU556" s="149"/>
      <c r="BV556" s="149"/>
      <c r="BW556" s="149"/>
      <c r="BX556" s="149"/>
      <c r="BY556" s="149"/>
      <c r="BZ556" s="149"/>
    </row>
    <row r="557" spans="7:78" ht="14.1" hidden="1" customHeight="1" thickTop="1" x14ac:dyDescent="0.25">
      <c r="G557" s="106"/>
      <c r="H557" s="217"/>
      <c r="J557" s="210"/>
      <c r="K557" s="119" t="s">
        <v>119</v>
      </c>
      <c r="L557" s="152">
        <v>1093.8289877834263</v>
      </c>
      <c r="M557" s="152">
        <v>1010.5742499055615</v>
      </c>
      <c r="N557" s="152">
        <v>948.56629631958117</v>
      </c>
      <c r="O557" s="152">
        <v>898.200393131488</v>
      </c>
      <c r="P557" s="152">
        <v>855.19833573920334</v>
      </c>
      <c r="Q557" s="152">
        <v>817.27799952084717</v>
      </c>
      <c r="R557" s="152">
        <v>783.07715945070572</v>
      </c>
      <c r="S557" s="152">
        <v>751.71715245630332</v>
      </c>
      <c r="T557" s="152">
        <v>722.59803356009024</v>
      </c>
      <c r="U557" s="152">
        <v>695.29188642802262</v>
      </c>
      <c r="V557" s="152">
        <v>669.48275346528817</v>
      </c>
      <c r="W557" s="152">
        <v>644.93069299126932</v>
      </c>
      <c r="X557" s="152">
        <v>631.56241724693643</v>
      </c>
      <c r="Y557" s="152">
        <v>619.11685027719489</v>
      </c>
      <c r="Z557" s="152">
        <v>607.4747998793124</v>
      </c>
      <c r="AA557" s="152">
        <v>596.53877453973234</v>
      </c>
      <c r="AB557" s="152">
        <v>586.22801558742776</v>
      </c>
      <c r="AC557" s="152">
        <v>576.47487430363128</v>
      </c>
      <c r="AD557" s="152">
        <v>567.2221193937321</v>
      </c>
      <c r="AE557" s="152">
        <v>558.42090207158901</v>
      </c>
      <c r="AF557" s="152">
        <v>550.02919496418178</v>
      </c>
      <c r="AG557" s="152">
        <v>542.01057831473588</v>
      </c>
      <c r="AH557" s="152">
        <v>534.33328470396486</v>
      </c>
      <c r="AI557" s="152">
        <v>526.96943890815203</v>
      </c>
      <c r="AJ557" s="152">
        <v>519.89444693245912</v>
      </c>
      <c r="AK557" s="152">
        <v>513.08650041208034</v>
      </c>
      <c r="AL557" s="152">
        <v>506.52617118812645</v>
      </c>
      <c r="AM557" s="152">
        <v>500.19607705875853</v>
      </c>
      <c r="AN557" s="152">
        <v>494.08060421838479</v>
      </c>
      <c r="AO557" s="152">
        <v>488.16567522537019</v>
      </c>
      <c r="AP557" s="152">
        <v>482.43855382050225</v>
      </c>
      <c r="AQ557" s="152">
        <v>476.88767978883448</v>
      </c>
      <c r="AR557" s="149"/>
      <c r="AS557" s="149"/>
      <c r="AT557" s="149"/>
      <c r="AU557" s="149"/>
      <c r="AV557" s="149"/>
      <c r="AW557" s="149"/>
      <c r="AX557" s="149"/>
      <c r="AY557" s="149"/>
      <c r="AZ557" s="149"/>
      <c r="BA557" s="149"/>
      <c r="BB557" s="149"/>
      <c r="BC557" s="149"/>
      <c r="BD557" s="149"/>
      <c r="BE557" s="149"/>
      <c r="BF557" s="149"/>
      <c r="BG557" s="149"/>
      <c r="BH557" s="149"/>
      <c r="BI557" s="149"/>
      <c r="BJ557" s="149"/>
      <c r="BK557" s="149"/>
      <c r="BL557" s="149"/>
      <c r="BM557" s="149"/>
      <c r="BN557" s="149"/>
      <c r="BO557" s="149"/>
      <c r="BP557" s="149"/>
      <c r="BQ557" s="149"/>
      <c r="BR557" s="149"/>
      <c r="BS557" s="149"/>
      <c r="BT557" s="149"/>
      <c r="BU557" s="149"/>
      <c r="BV557" s="149"/>
      <c r="BW557" s="149"/>
      <c r="BX557" s="149"/>
      <c r="BY557" s="149"/>
      <c r="BZ557" s="149"/>
    </row>
    <row r="558" spans="7:78" ht="14.1" hidden="1" customHeight="1" x14ac:dyDescent="0.25">
      <c r="G558" s="106"/>
      <c r="H558" s="217"/>
      <c r="J558" s="210"/>
      <c r="K558" s="7" t="s">
        <v>120</v>
      </c>
      <c r="L558" s="150">
        <v>1133.4099184979509</v>
      </c>
      <c r="M558" s="150">
        <v>1060.1782979425122</v>
      </c>
      <c r="N558" s="150">
        <v>1005.5445178605451</v>
      </c>
      <c r="O558" s="150">
        <v>961.10131500237867</v>
      </c>
      <c r="P558" s="150">
        <v>923.10387012341528</v>
      </c>
      <c r="Q558" s="150">
        <v>889.55458259499676</v>
      </c>
      <c r="R558" s="150">
        <v>859.26106285975936</v>
      </c>
      <c r="S558" s="150">
        <v>831.45419520459905</v>
      </c>
      <c r="T558" s="150">
        <v>805.60883281990402</v>
      </c>
      <c r="U558" s="150">
        <v>781.35040986045715</v>
      </c>
      <c r="V558" s="150">
        <v>758.40236075925202</v>
      </c>
      <c r="W558" s="150">
        <v>736.55465857584238</v>
      </c>
      <c r="X558" s="150">
        <v>724.8530732308335</v>
      </c>
      <c r="Y558" s="150">
        <v>713.95915790108791</v>
      </c>
      <c r="Z558" s="150">
        <v>703.76858067728483</v>
      </c>
      <c r="AA558" s="150">
        <v>694.19600480484871</v>
      </c>
      <c r="AB558" s="150">
        <v>685.17074020381335</v>
      </c>
      <c r="AC558" s="150">
        <v>676.63357226256608</v>
      </c>
      <c r="AD558" s="150">
        <v>668.53440500080967</v>
      </c>
      <c r="AE558" s="150">
        <v>660.83047985708356</v>
      </c>
      <c r="AF558" s="150">
        <v>653.48500922305118</v>
      </c>
      <c r="AG558" s="150">
        <v>646.46611397680545</v>
      </c>
      <c r="AH558" s="150">
        <v>639.74598730353489</v>
      </c>
      <c r="AI558" s="150">
        <v>633.30022932433417</v>
      </c>
      <c r="AJ558" s="150">
        <v>627.10731230181398</v>
      </c>
      <c r="AK558" s="150">
        <v>621.14814683006341</v>
      </c>
      <c r="AL558" s="150">
        <v>615.4057269568051</v>
      </c>
      <c r="AM558" s="150">
        <v>609.8648376070222</v>
      </c>
      <c r="AN558" s="150">
        <v>604.51181162705961</v>
      </c>
      <c r="AO558" s="150">
        <v>599.33432668097237</v>
      </c>
      <c r="AP558" s="150">
        <v>594.32123440325643</v>
      </c>
      <c r="AQ558" s="150">
        <v>589.46241584930135</v>
      </c>
      <c r="AR558" s="149"/>
      <c r="AS558" s="149"/>
      <c r="AT558" s="149"/>
      <c r="AU558" s="149"/>
      <c r="AV558" s="149"/>
      <c r="AW558" s="149"/>
      <c r="AX558" s="149"/>
      <c r="AY558" s="149"/>
      <c r="AZ558" s="149"/>
      <c r="BA558" s="149"/>
      <c r="BB558" s="149"/>
      <c r="BC558" s="149"/>
      <c r="BD558" s="149"/>
      <c r="BE558" s="149"/>
      <c r="BF558" s="149"/>
      <c r="BG558" s="149"/>
      <c r="BH558" s="149"/>
      <c r="BI558" s="149"/>
      <c r="BJ558" s="149"/>
      <c r="BK558" s="149"/>
      <c r="BL558" s="149"/>
      <c r="BM558" s="149"/>
      <c r="BN558" s="149"/>
      <c r="BO558" s="149"/>
      <c r="BP558" s="149"/>
      <c r="BQ558" s="149"/>
      <c r="BR558" s="149"/>
      <c r="BS558" s="149"/>
      <c r="BT558" s="149"/>
      <c r="BU558" s="149"/>
      <c r="BV558" s="149"/>
      <c r="BW558" s="149"/>
      <c r="BX558" s="149"/>
      <c r="BY558" s="149"/>
      <c r="BZ558" s="149"/>
    </row>
    <row r="559" spans="7:78" ht="14.1" hidden="1" customHeight="1" thickBot="1" x14ac:dyDescent="0.3">
      <c r="G559" s="106"/>
      <c r="H559" s="217"/>
      <c r="J559" s="210"/>
      <c r="K559" s="121" t="s">
        <v>121</v>
      </c>
      <c r="L559" s="151">
        <v>1195.9763815799586</v>
      </c>
      <c r="M559" s="151">
        <v>1148.2480851337853</v>
      </c>
      <c r="N559" s="151">
        <v>1112.2283197077629</v>
      </c>
      <c r="O559" s="151">
        <v>1082.6241749398646</v>
      </c>
      <c r="P559" s="151">
        <v>1057.078047410879</v>
      </c>
      <c r="Q559" s="151">
        <v>1034.3323196592576</v>
      </c>
      <c r="R559" s="151">
        <v>1013.6363061341457</v>
      </c>
      <c r="S559" s="151">
        <v>994.50579926328624</v>
      </c>
      <c r="T559" s="151">
        <v>976.61018551554071</v>
      </c>
      <c r="U559" s="151">
        <v>959.71365171549621</v>
      </c>
      <c r="V559" s="151">
        <v>943.64208213584413</v>
      </c>
      <c r="W559" s="151">
        <v>928.2632513738173</v>
      </c>
      <c r="X559" s="151">
        <v>920.89635438422283</v>
      </c>
      <c r="Y559" s="151">
        <v>914.03793736794796</v>
      </c>
      <c r="Z559" s="151">
        <v>907.6223167098218</v>
      </c>
      <c r="AA559" s="151">
        <v>901.59576746045911</v>
      </c>
      <c r="AB559" s="151">
        <v>895.91378568967116</v>
      </c>
      <c r="AC559" s="151">
        <v>890.5390920091379</v>
      </c>
      <c r="AD559" s="151">
        <v>885.44014779263421</v>
      </c>
      <c r="AE559" s="151">
        <v>880.59003378875832</v>
      </c>
      <c r="AF559" s="151">
        <v>875.96558984329852</v>
      </c>
      <c r="AG559" s="151">
        <v>871.54674600844123</v>
      </c>
      <c r="AH559" s="151">
        <v>867.31599611435729</v>
      </c>
      <c r="AI559" s="151">
        <v>863.25797887544684</v>
      </c>
      <c r="AJ559" s="151">
        <v>859.35914120303926</v>
      </c>
      <c r="AK559" s="151">
        <v>855.60746509420665</v>
      </c>
      <c r="AL559" s="151">
        <v>851.99224421344468</v>
      </c>
      <c r="AM559" s="151">
        <v>848.50389969711773</v>
      </c>
      <c r="AN559" s="151">
        <v>845.13382719716981</v>
      </c>
      <c r="AO559" s="151">
        <v>841.8742690143747</v>
      </c>
      <c r="AP559" s="151">
        <v>838.71820653904365</v>
      </c>
      <c r="AQ559" s="151">
        <v>835.65926924783412</v>
      </c>
      <c r="AR559" s="149"/>
      <c r="AS559" s="149"/>
      <c r="AT559" s="149"/>
      <c r="AU559" s="149"/>
      <c r="AV559" s="149"/>
      <c r="AW559" s="149"/>
      <c r="AX559" s="149"/>
      <c r="AY559" s="149"/>
      <c r="AZ559" s="149"/>
      <c r="BA559" s="149"/>
      <c r="BB559" s="149"/>
      <c r="BC559" s="149"/>
      <c r="BD559" s="149"/>
      <c r="BE559" s="149"/>
      <c r="BF559" s="149"/>
      <c r="BG559" s="149"/>
      <c r="BH559" s="149"/>
      <c r="BI559" s="149"/>
      <c r="BJ559" s="149"/>
      <c r="BK559" s="149"/>
      <c r="BL559" s="149"/>
      <c r="BM559" s="149"/>
      <c r="BN559" s="149"/>
      <c r="BO559" s="149"/>
      <c r="BP559" s="149"/>
      <c r="BQ559" s="149"/>
      <c r="BR559" s="149"/>
      <c r="BS559" s="149"/>
      <c r="BT559" s="149"/>
      <c r="BU559" s="149"/>
      <c r="BV559" s="149"/>
      <c r="BW559" s="149"/>
      <c r="BX559" s="149"/>
      <c r="BY559" s="149"/>
      <c r="BZ559" s="149"/>
    </row>
    <row r="560" spans="7:78" ht="14.1" hidden="1" customHeight="1" thickTop="1" x14ac:dyDescent="0.25">
      <c r="G560" s="106"/>
      <c r="H560" s="217"/>
      <c r="J560" s="210"/>
      <c r="K560" s="119" t="s">
        <v>122</v>
      </c>
      <c r="L560" s="152">
        <v>1097.9638599668615</v>
      </c>
      <c r="M560" s="152">
        <v>1014.3944040630207</v>
      </c>
      <c r="N560" s="152">
        <v>952.15204915352649</v>
      </c>
      <c r="O560" s="152">
        <v>901.59575370630319</v>
      </c>
      <c r="P560" s="152">
        <v>858.43114072907088</v>
      </c>
      <c r="Q560" s="152">
        <v>820.36745875450686</v>
      </c>
      <c r="R560" s="152">
        <v>786.03733329895738</v>
      </c>
      <c r="S560" s="152">
        <v>754.55877978399133</v>
      </c>
      <c r="T560" s="152">
        <v>725.32958533111002</v>
      </c>
      <c r="U560" s="152">
        <v>697.92021600482894</v>
      </c>
      <c r="V560" s="152">
        <v>672.01351983325833</v>
      </c>
      <c r="W560" s="152">
        <v>647.36864811266082</v>
      </c>
      <c r="X560" s="152">
        <v>633.94983785869886</v>
      </c>
      <c r="Y560" s="152">
        <v>621.45722438603502</v>
      </c>
      <c r="Z560" s="152">
        <v>609.77116492376854</v>
      </c>
      <c r="AA560" s="152">
        <v>598.79379942271999</v>
      </c>
      <c r="AB560" s="152">
        <v>588.4440639294221</v>
      </c>
      <c r="AC560" s="152">
        <v>578.65405400066754</v>
      </c>
      <c r="AD560" s="152">
        <v>569.36632199716018</v>
      </c>
      <c r="AE560" s="152">
        <v>560.53183447547747</v>
      </c>
      <c r="AF560" s="152">
        <v>552.10840519149838</v>
      </c>
      <c r="AG560" s="152">
        <v>544.05947671515469</v>
      </c>
      <c r="AH560" s="152">
        <v>536.35316154054715</v>
      </c>
      <c r="AI560" s="152">
        <v>528.96147907055183</v>
      </c>
      <c r="AJ560" s="152">
        <v>521.85974234056459</v>
      </c>
      <c r="AK560" s="152">
        <v>515.02606054620071</v>
      </c>
      <c r="AL560" s="152">
        <v>508.4409320866028</v>
      </c>
      <c r="AM560" s="152">
        <v>502.08690905205282</v>
      </c>
      <c r="AN560" s="152">
        <v>495.94831861393885</v>
      </c>
      <c r="AO560" s="152">
        <v>490.0110301153403</v>
      </c>
      <c r="AP560" s="152">
        <v>484.26225915167237</v>
      </c>
      <c r="AQ560" s="152">
        <v>478.69040180827704</v>
      </c>
      <c r="AR560" s="149"/>
      <c r="AS560" s="149"/>
      <c r="AT560" s="149"/>
      <c r="AU560" s="149"/>
      <c r="AV560" s="149"/>
      <c r="AW560" s="149"/>
      <c r="AX560" s="149"/>
      <c r="AY560" s="149"/>
      <c r="AZ560" s="149"/>
      <c r="BA560" s="149"/>
      <c r="BB560" s="149"/>
      <c r="BC560" s="149"/>
      <c r="BD560" s="149"/>
      <c r="BE560" s="149"/>
      <c r="BF560" s="149"/>
      <c r="BG560" s="149"/>
      <c r="BH560" s="149"/>
      <c r="BI560" s="149"/>
      <c r="BJ560" s="149"/>
      <c r="BK560" s="149"/>
      <c r="BL560" s="149"/>
      <c r="BM560" s="149"/>
      <c r="BN560" s="149"/>
      <c r="BO560" s="149"/>
      <c r="BP560" s="149"/>
      <c r="BQ560" s="149"/>
      <c r="BR560" s="149"/>
      <c r="BS560" s="149"/>
      <c r="BT560" s="149"/>
      <c r="BU560" s="149"/>
      <c r="BV560" s="149"/>
      <c r="BW560" s="149"/>
      <c r="BX560" s="149"/>
      <c r="BY560" s="149"/>
      <c r="BZ560" s="149"/>
    </row>
    <row r="561" spans="7:78" ht="14.1" hidden="1" customHeight="1" x14ac:dyDescent="0.25">
      <c r="G561" s="106"/>
      <c r="H561" s="217"/>
      <c r="J561" s="210"/>
      <c r="K561" s="7" t="s">
        <v>123</v>
      </c>
      <c r="L561" s="150">
        <v>1137.6944137863081</v>
      </c>
      <c r="M561" s="150">
        <v>1064.1859644082981</v>
      </c>
      <c r="N561" s="150">
        <v>1009.3456587176115</v>
      </c>
      <c r="O561" s="150">
        <v>964.73445248296355</v>
      </c>
      <c r="P561" s="150">
        <v>926.59337036305453</v>
      </c>
      <c r="Q561" s="150">
        <v>892.91726043613983</v>
      </c>
      <c r="R561" s="150">
        <v>862.50922569582337</v>
      </c>
      <c r="S561" s="150">
        <v>834.59724303195526</v>
      </c>
      <c r="T561" s="150">
        <v>808.65418048463073</v>
      </c>
      <c r="U561" s="150">
        <v>784.30405628172684</v>
      </c>
      <c r="V561" s="150">
        <v>761.26925938817726</v>
      </c>
      <c r="W561" s="150">
        <v>739.33896892356529</v>
      </c>
      <c r="X561" s="150">
        <v>727.59314946126256</v>
      </c>
      <c r="Y561" s="150">
        <v>716.65805315353157</v>
      </c>
      <c r="Z561" s="150">
        <v>706.42895369749067</v>
      </c>
      <c r="AA561" s="150">
        <v>696.82019175013716</v>
      </c>
      <c r="AB561" s="150">
        <v>687.76081001016712</v>
      </c>
      <c r="AC561" s="150">
        <v>679.19137002398429</v>
      </c>
      <c r="AD561" s="150">
        <v>671.06158643938977</v>
      </c>
      <c r="AE561" s="150">
        <v>663.32853905979698</v>
      </c>
      <c r="AF561" s="150">
        <v>655.95530121303022</v>
      </c>
      <c r="AG561" s="150">
        <v>648.90987326831305</v>
      </c>
      <c r="AH561" s="150">
        <v>642.16434329602521</v>
      </c>
      <c r="AI561" s="150">
        <v>635.69421918128864</v>
      </c>
      <c r="AJ561" s="150">
        <v>629.4778918079578</v>
      </c>
      <c r="AK561" s="150">
        <v>623.49619960870166</v>
      </c>
      <c r="AL561" s="150">
        <v>617.73207234565507</v>
      </c>
      <c r="AM561" s="150">
        <v>612.17023742805497</v>
      </c>
      <c r="AN561" s="150">
        <v>606.79697603792408</v>
      </c>
      <c r="AO561" s="150">
        <v>601.59991925865017</v>
      </c>
      <c r="AP561" s="150">
        <v>596.56787658188318</v>
      </c>
      <c r="AQ561" s="150">
        <v>591.69069081156476</v>
      </c>
      <c r="AR561" s="149"/>
      <c r="AS561" s="149"/>
      <c r="AT561" s="149"/>
      <c r="AU561" s="149"/>
      <c r="AV561" s="149"/>
      <c r="AW561" s="149"/>
      <c r="AX561" s="149"/>
      <c r="AY561" s="149"/>
      <c r="AZ561" s="149"/>
      <c r="BA561" s="149"/>
      <c r="BB561" s="149"/>
      <c r="BC561" s="149"/>
      <c r="BD561" s="149"/>
      <c r="BE561" s="149"/>
      <c r="BF561" s="149"/>
      <c r="BG561" s="149"/>
      <c r="BH561" s="149"/>
      <c r="BI561" s="149"/>
      <c r="BJ561" s="149"/>
      <c r="BK561" s="149"/>
      <c r="BL561" s="149"/>
      <c r="BM561" s="149"/>
      <c r="BN561" s="149"/>
      <c r="BO561" s="149"/>
      <c r="BP561" s="149"/>
      <c r="BQ561" s="149"/>
      <c r="BR561" s="149"/>
      <c r="BS561" s="149"/>
      <c r="BT561" s="149"/>
      <c r="BU561" s="149"/>
      <c r="BV561" s="149"/>
      <c r="BW561" s="149"/>
      <c r="BX561" s="149"/>
      <c r="BY561" s="149"/>
      <c r="BZ561" s="149"/>
    </row>
    <row r="562" spans="7:78" ht="14.1" hidden="1" customHeight="1" thickBot="1" x14ac:dyDescent="0.3">
      <c r="G562" s="106"/>
      <c r="H562" s="217"/>
      <c r="J562" s="210"/>
      <c r="K562" s="121" t="s">
        <v>124</v>
      </c>
      <c r="L562" s="151">
        <v>1200.4973894591349</v>
      </c>
      <c r="M562" s="151">
        <v>1152.5886713862337</v>
      </c>
      <c r="N562" s="151">
        <v>1116.4327447066905</v>
      </c>
      <c r="O562" s="151">
        <v>1086.7166908962615</v>
      </c>
      <c r="P562" s="151">
        <v>1061.073994366734</v>
      </c>
      <c r="Q562" s="151">
        <v>1038.2422836342055</v>
      </c>
      <c r="R562" s="151">
        <v>1017.4680354201352</v>
      </c>
      <c r="S562" s="151">
        <v>998.26521175972368</v>
      </c>
      <c r="T562" s="151">
        <v>980.30194934265478</v>
      </c>
      <c r="U562" s="151">
        <v>963.34154357689476</v>
      </c>
      <c r="V562" s="151">
        <v>947.20922054607138</v>
      </c>
      <c r="W562" s="151">
        <v>931.77225501138639</v>
      </c>
      <c r="X562" s="151">
        <v>924.37750981354304</v>
      </c>
      <c r="Y562" s="151">
        <v>917.49316673564454</v>
      </c>
      <c r="Z562" s="151">
        <v>911.05329386652829</v>
      </c>
      <c r="AA562" s="151">
        <v>905.00396316674551</v>
      </c>
      <c r="AB562" s="151">
        <v>899.30050247317047</v>
      </c>
      <c r="AC562" s="151">
        <v>893.90549147462661</v>
      </c>
      <c r="AD562" s="151">
        <v>888.78727232315487</v>
      </c>
      <c r="AE562" s="151">
        <v>883.91882400769543</v>
      </c>
      <c r="AF562" s="151">
        <v>879.27689882444849</v>
      </c>
      <c r="AG562" s="151">
        <v>874.84135095755346</v>
      </c>
      <c r="AH562" s="151">
        <v>870.59460806068068</v>
      </c>
      <c r="AI562" s="151">
        <v>866.52125077978155</v>
      </c>
      <c r="AJ562" s="151">
        <v>862.60767479304934</v>
      </c>
      <c r="AK562" s="151">
        <v>858.84181666732286</v>
      </c>
      <c r="AL562" s="151">
        <v>855.21292959520576</v>
      </c>
      <c r="AM562" s="151">
        <v>851.71139850321856</v>
      </c>
      <c r="AN562" s="151">
        <v>848.32858651730726</v>
      </c>
      <c r="AO562" s="151">
        <v>845.05670661273393</v>
      </c>
      <c r="AP562" s="151">
        <v>841.88871364819101</v>
      </c>
      <c r="AQ562" s="151">
        <v>838.81821301860089</v>
      </c>
      <c r="AR562" s="149"/>
      <c r="AS562" s="149"/>
      <c r="AT562" s="149"/>
      <c r="AU562" s="149"/>
      <c r="AV562" s="149"/>
      <c r="AW562" s="149"/>
      <c r="AX562" s="149"/>
      <c r="AY562" s="149"/>
      <c r="AZ562" s="149"/>
      <c r="BA562" s="149"/>
      <c r="BB562" s="149"/>
      <c r="BC562" s="149"/>
      <c r="BD562" s="149"/>
      <c r="BE562" s="149"/>
      <c r="BF562" s="149"/>
      <c r="BG562" s="149"/>
      <c r="BH562" s="149"/>
      <c r="BI562" s="149"/>
      <c r="BJ562" s="149"/>
      <c r="BK562" s="149"/>
      <c r="BL562" s="149"/>
      <c r="BM562" s="149"/>
      <c r="BN562" s="149"/>
      <c r="BO562" s="149"/>
      <c r="BP562" s="149"/>
      <c r="BQ562" s="149"/>
      <c r="BR562" s="149"/>
      <c r="BS562" s="149"/>
      <c r="BT562" s="149"/>
      <c r="BU562" s="149"/>
      <c r="BV562" s="149"/>
      <c r="BW562" s="149"/>
      <c r="BX562" s="149"/>
      <c r="BY562" s="149"/>
      <c r="BZ562" s="149"/>
    </row>
    <row r="563" spans="7:78" ht="14.1" hidden="1" customHeight="1" thickTop="1" x14ac:dyDescent="0.25">
      <c r="G563" s="106"/>
      <c r="H563" s="162"/>
      <c r="J563" s="211"/>
      <c r="K563" s="119" t="s">
        <v>125</v>
      </c>
      <c r="L563" s="152">
        <v>1303.2175490389984</v>
      </c>
      <c r="M563" s="152">
        <v>1204.0255943048844</v>
      </c>
      <c r="N563" s="152">
        <v>1130.1476351396213</v>
      </c>
      <c r="O563" s="152">
        <v>1070.1403308525653</v>
      </c>
      <c r="P563" s="152">
        <v>1018.9065123450023</v>
      </c>
      <c r="Q563" s="152">
        <v>973.72719439205218</v>
      </c>
      <c r="R563" s="152">
        <v>932.97938511922882</v>
      </c>
      <c r="S563" s="152">
        <v>895.61622148986748</v>
      </c>
      <c r="T563" s="152">
        <v>860.92291277165714</v>
      </c>
      <c r="U563" s="152">
        <v>828.38962782803537</v>
      </c>
      <c r="V563" s="152">
        <v>797.63992620358374</v>
      </c>
      <c r="W563" s="152">
        <v>768.38793486657653</v>
      </c>
      <c r="X563" s="152">
        <v>752.46060825063898</v>
      </c>
      <c r="Y563" s="152">
        <v>737.63262191652791</v>
      </c>
      <c r="Z563" s="152">
        <v>723.76196703832579</v>
      </c>
      <c r="AA563" s="152">
        <v>710.73248958028489</v>
      </c>
      <c r="AB563" s="152">
        <v>698.44797146947496</v>
      </c>
      <c r="AC563" s="152">
        <v>686.82781418597028</v>
      </c>
      <c r="AD563" s="152">
        <v>675.80383081177501</v>
      </c>
      <c r="AE563" s="152">
        <v>665.31782157703526</v>
      </c>
      <c r="AF563" s="152">
        <v>655.31971392866342</v>
      </c>
      <c r="AG563" s="152">
        <v>645.76611637979022</v>
      </c>
      <c r="AH563" s="152">
        <v>636.61918036472207</v>
      </c>
      <c r="AI563" s="152">
        <v>627.84569458522424</v>
      </c>
      <c r="AJ563" s="152">
        <v>619.41635708822002</v>
      </c>
      <c r="AK563" s="152">
        <v>611.30518479587147</v>
      </c>
      <c r="AL563" s="152">
        <v>603.48903047228271</v>
      </c>
      <c r="AM563" s="152">
        <v>595.947184490327</v>
      </c>
      <c r="AN563" s="152">
        <v>588.66104413817141</v>
      </c>
      <c r="AO563" s="152">
        <v>581.61383716970658</v>
      </c>
      <c r="AP563" s="152">
        <v>574.79038925996929</v>
      </c>
      <c r="AQ563" s="152">
        <v>568.17692725505981</v>
      </c>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c r="BS563" s="149"/>
      <c r="BT563" s="149"/>
      <c r="BU563" s="149"/>
      <c r="BV563" s="149"/>
      <c r="BW563" s="149"/>
      <c r="BX563" s="149"/>
      <c r="BY563" s="149"/>
      <c r="BZ563" s="149"/>
    </row>
    <row r="564" spans="7:78" ht="14.1" hidden="1" customHeight="1" x14ac:dyDescent="0.25">
      <c r="G564" s="106"/>
      <c r="H564" s="162"/>
      <c r="J564" s="211"/>
      <c r="K564" s="7" t="s">
        <v>126</v>
      </c>
      <c r="L564" s="150">
        <v>1350.3753443530484</v>
      </c>
      <c r="M564" s="150">
        <v>1263.1252036836104</v>
      </c>
      <c r="N564" s="150">
        <v>1198.0330350097499</v>
      </c>
      <c r="O564" s="150">
        <v>1145.0821966729163</v>
      </c>
      <c r="P564" s="150">
        <v>1099.8110093685332</v>
      </c>
      <c r="Q564" s="150">
        <v>1059.8394774809115</v>
      </c>
      <c r="R564" s="150">
        <v>1023.7469557228967</v>
      </c>
      <c r="S564" s="150">
        <v>990.61709875554334</v>
      </c>
      <c r="T564" s="150">
        <v>959.82423241428694</v>
      </c>
      <c r="U564" s="150">
        <v>930.92208878320105</v>
      </c>
      <c r="V564" s="150">
        <v>903.5811601381281</v>
      </c>
      <c r="W564" s="150">
        <v>877.55121468084553</v>
      </c>
      <c r="X564" s="150">
        <v>863.60962825050638</v>
      </c>
      <c r="Y564" s="150">
        <v>850.63032180129721</v>
      </c>
      <c r="Z564" s="150">
        <v>838.48899146426754</v>
      </c>
      <c r="AA564" s="150">
        <v>827.08396471347157</v>
      </c>
      <c r="AB564" s="150">
        <v>816.33101946869022</v>
      </c>
      <c r="AC564" s="150">
        <v>806.15960583421315</v>
      </c>
      <c r="AD564" s="150">
        <v>796.51003809921281</v>
      </c>
      <c r="AE564" s="150">
        <v>787.33137255284453</v>
      </c>
      <c r="AF564" s="150">
        <v>778.57977943990261</v>
      </c>
      <c r="AG564" s="150">
        <v>770.217277109159</v>
      </c>
      <c r="AH564" s="150">
        <v>762.21073576660569</v>
      </c>
      <c r="AI564" s="150">
        <v>754.53108473415773</v>
      </c>
      <c r="AJ564" s="150">
        <v>747.15267528109916</v>
      </c>
      <c r="AK564" s="150">
        <v>740.05276377102837</v>
      </c>
      <c r="AL564" s="150">
        <v>733.21108885075989</v>
      </c>
      <c r="AM564" s="150">
        <v>726.60952286689144</v>
      </c>
      <c r="AN564" s="150">
        <v>720.23178240155073</v>
      </c>
      <c r="AO564" s="150">
        <v>714.06318628919212</v>
      </c>
      <c r="AP564" s="150">
        <v>708.09045206452117</v>
      </c>
      <c r="AQ564" s="150">
        <v>702.30152374224099</v>
      </c>
      <c r="AR564" s="149"/>
      <c r="AS564" s="149"/>
      <c r="AT564" s="149"/>
      <c r="AU564" s="149"/>
      <c r="AV564" s="149"/>
      <c r="AW564" s="149"/>
      <c r="AX564" s="149"/>
      <c r="AY564" s="149"/>
      <c r="AZ564" s="149"/>
      <c r="BA564" s="149"/>
      <c r="BB564" s="149"/>
      <c r="BC564" s="149"/>
      <c r="BD564" s="149"/>
      <c r="BE564" s="149"/>
      <c r="BF564" s="149"/>
      <c r="BG564" s="149"/>
      <c r="BH564" s="149"/>
      <c r="BI564" s="149"/>
      <c r="BJ564" s="149"/>
      <c r="BK564" s="149"/>
      <c r="BL564" s="149"/>
      <c r="BM564" s="149"/>
      <c r="BN564" s="149"/>
      <c r="BO564" s="149"/>
      <c r="BP564" s="149"/>
      <c r="BQ564" s="149"/>
      <c r="BR564" s="149"/>
      <c r="BS564" s="149"/>
      <c r="BT564" s="149"/>
      <c r="BU564" s="149"/>
      <c r="BV564" s="149"/>
      <c r="BW564" s="149"/>
      <c r="BX564" s="149"/>
      <c r="BY564" s="149"/>
      <c r="BZ564" s="149"/>
    </row>
    <row r="565" spans="7:78" ht="14.1" hidden="1" customHeight="1" thickBot="1" x14ac:dyDescent="0.3">
      <c r="G565" s="106"/>
      <c r="H565" s="162"/>
      <c r="J565" s="211"/>
      <c r="K565" s="121" t="s">
        <v>127</v>
      </c>
      <c r="L565" s="151">
        <v>1424.9187268931323</v>
      </c>
      <c r="M565" s="151">
        <v>1368.0539388786608</v>
      </c>
      <c r="N565" s="151">
        <v>1325.1390125604391</v>
      </c>
      <c r="O565" s="151">
        <v>1289.8678308522296</v>
      </c>
      <c r="P565" s="151">
        <v>1259.4314810410708</v>
      </c>
      <c r="Q565" s="151">
        <v>1232.3316035440907</v>
      </c>
      <c r="R565" s="151">
        <v>1207.6738112179521</v>
      </c>
      <c r="S565" s="151">
        <v>1184.8812060168075</v>
      </c>
      <c r="T565" s="151">
        <v>1163.5598860048506</v>
      </c>
      <c r="U565" s="151">
        <v>1143.4288969635284</v>
      </c>
      <c r="V565" s="151">
        <v>1124.2807926887942</v>
      </c>
      <c r="W565" s="151">
        <v>1105.9580362464112</v>
      </c>
      <c r="X565" s="151">
        <v>1097.1809151918144</v>
      </c>
      <c r="Y565" s="151">
        <v>1089.0096109805872</v>
      </c>
      <c r="Z565" s="151">
        <v>1081.3658663705728</v>
      </c>
      <c r="AA565" s="151">
        <v>1074.1856719986604</v>
      </c>
      <c r="AB565" s="151">
        <v>1067.4160046743229</v>
      </c>
      <c r="AC565" s="151">
        <v>1061.0124487223327</v>
      </c>
      <c r="AD565" s="151">
        <v>1054.9374281672601</v>
      </c>
      <c r="AE565" s="151">
        <v>1049.1588706822374</v>
      </c>
      <c r="AF565" s="151">
        <v>1043.6491826308327</v>
      </c>
      <c r="AG565" s="151">
        <v>1038.384452132404</v>
      </c>
      <c r="AH565" s="151">
        <v>1033.3438218609958</v>
      </c>
      <c r="AI565" s="151">
        <v>1028.5089899639479</v>
      </c>
      <c r="AJ565" s="151">
        <v>1023.8638089235072</v>
      </c>
      <c r="AK565" s="151">
        <v>1019.3939601647459</v>
      </c>
      <c r="AL565" s="151">
        <v>1015.0866878689104</v>
      </c>
      <c r="AM565" s="151">
        <v>1010.9305795178385</v>
      </c>
      <c r="AN565" s="151">
        <v>1006.9153836576832</v>
      </c>
      <c r="AO565" s="151">
        <v>1003.0318575549966</v>
      </c>
      <c r="AP565" s="151">
        <v>999.27163904766871</v>
      </c>
      <c r="AQ565" s="151">
        <v>995.62713812125571</v>
      </c>
      <c r="AR565" s="149"/>
      <c r="AS565" s="149"/>
      <c r="AT565" s="149"/>
      <c r="AU565" s="149"/>
      <c r="AV565" s="149"/>
      <c r="AW565" s="149"/>
      <c r="AX565" s="149"/>
      <c r="AY565" s="149"/>
      <c r="AZ565" s="149"/>
      <c r="BA565" s="149"/>
      <c r="BB565" s="149"/>
      <c r="BC565" s="149"/>
      <c r="BD565" s="149"/>
      <c r="BE565" s="149"/>
      <c r="BF565" s="149"/>
      <c r="BG565" s="149"/>
      <c r="BH565" s="149"/>
      <c r="BI565" s="149"/>
      <c r="BJ565" s="149"/>
      <c r="BK565" s="149"/>
      <c r="BL565" s="149"/>
      <c r="BM565" s="149"/>
      <c r="BN565" s="149"/>
      <c r="BO565" s="149"/>
      <c r="BP565" s="149"/>
      <c r="BQ565" s="149"/>
      <c r="BR565" s="149"/>
      <c r="BS565" s="149"/>
      <c r="BT565" s="149"/>
      <c r="BU565" s="149"/>
      <c r="BV565" s="149"/>
      <c r="BW565" s="149"/>
      <c r="BX565" s="149"/>
      <c r="BY565" s="149"/>
      <c r="BZ565" s="149"/>
    </row>
    <row r="566" spans="7:78" ht="14.1" hidden="1" customHeight="1" thickTop="1" x14ac:dyDescent="0.25">
      <c r="G566" s="106"/>
      <c r="H566" s="162"/>
      <c r="J566" s="211"/>
      <c r="K566" s="119" t="s">
        <v>128</v>
      </c>
      <c r="L566" s="152">
        <v>1483.1214817684179</v>
      </c>
      <c r="M566" s="152">
        <v>1370.2364772707056</v>
      </c>
      <c r="N566" s="152">
        <v>1286.1599634545669</v>
      </c>
      <c r="O566" s="152">
        <v>1217.8688925456656</v>
      </c>
      <c r="P566" s="152">
        <v>1159.5624517847782</v>
      </c>
      <c r="Q566" s="152">
        <v>1108.146310989961</v>
      </c>
      <c r="R566" s="152">
        <v>1061.7734307965575</v>
      </c>
      <c r="S566" s="152">
        <v>1019.2524329429012</v>
      </c>
      <c r="T566" s="152">
        <v>979.76985271556759</v>
      </c>
      <c r="U566" s="152">
        <v>942.7454788434087</v>
      </c>
      <c r="V566" s="152">
        <v>907.75090478259801</v>
      </c>
      <c r="W566" s="152">
        <v>874.46079388099838</v>
      </c>
      <c r="X566" s="152">
        <v>856.3347639877868</v>
      </c>
      <c r="Y566" s="152">
        <v>839.45983387369688</v>
      </c>
      <c r="Z566" s="152">
        <v>823.67439096646524</v>
      </c>
      <c r="AA566" s="152">
        <v>808.84624663362706</v>
      </c>
      <c r="AB566" s="152">
        <v>794.86590028489161</v>
      </c>
      <c r="AC566" s="152">
        <v>781.64162709934237</v>
      </c>
      <c r="AD566" s="152">
        <v>769.09582722964035</v>
      </c>
      <c r="AE566" s="152">
        <v>757.16226666215675</v>
      </c>
      <c r="AF566" s="152">
        <v>745.78396052956361</v>
      </c>
      <c r="AG566" s="152">
        <v>734.91152732502883</v>
      </c>
      <c r="AH566" s="152">
        <v>724.50189364083519</v>
      </c>
      <c r="AI566" s="152">
        <v>714.51726349281557</v>
      </c>
      <c r="AJ566" s="152">
        <v>704.92428991131192</v>
      </c>
      <c r="AK566" s="152">
        <v>695.69340295926168</v>
      </c>
      <c r="AL566" s="152">
        <v>686.79826001810056</v>
      </c>
      <c r="AM566" s="152">
        <v>678.21529258010412</v>
      </c>
      <c r="AN566" s="152">
        <v>669.92332990401042</v>
      </c>
      <c r="AO566" s="152">
        <v>661.90328440270048</v>
      </c>
      <c r="AP566" s="152">
        <v>654.13788699677878</v>
      </c>
      <c r="AQ566" s="152">
        <v>646.61146320393368</v>
      </c>
      <c r="AR566" s="149"/>
      <c r="AS566" s="149"/>
      <c r="AT566" s="149"/>
      <c r="AU566" s="149"/>
      <c r="AV566" s="149"/>
      <c r="AW566" s="149"/>
      <c r="AX566" s="149"/>
      <c r="AY566" s="149"/>
      <c r="AZ566" s="149"/>
      <c r="BA566" s="149"/>
      <c r="BB566" s="149"/>
      <c r="BC566" s="149"/>
      <c r="BD566" s="149"/>
      <c r="BE566" s="149"/>
      <c r="BF566" s="149"/>
      <c r="BG566" s="149"/>
      <c r="BH566" s="149"/>
      <c r="BI566" s="149"/>
      <c r="BJ566" s="149"/>
      <c r="BK566" s="149"/>
      <c r="BL566" s="149"/>
      <c r="BM566" s="149"/>
      <c r="BN566" s="149"/>
      <c r="BO566" s="149"/>
      <c r="BP566" s="149"/>
      <c r="BQ566" s="149"/>
      <c r="BR566" s="149"/>
      <c r="BS566" s="149"/>
      <c r="BT566" s="149"/>
      <c r="BU566" s="149"/>
      <c r="BV566" s="149"/>
      <c r="BW566" s="149"/>
      <c r="BX566" s="149"/>
      <c r="BY566" s="149"/>
      <c r="BZ566" s="149"/>
    </row>
    <row r="567" spans="7:78" ht="14.1" hidden="1" customHeight="1" x14ac:dyDescent="0.25">
      <c r="G567" s="106"/>
      <c r="H567" s="162"/>
      <c r="J567" s="211"/>
      <c r="K567" s="7" t="s">
        <v>129</v>
      </c>
      <c r="L567" s="150">
        <v>1536.789220753885</v>
      </c>
      <c r="M567" s="150">
        <v>1437.4945496457635</v>
      </c>
      <c r="N567" s="150">
        <v>1363.416669305459</v>
      </c>
      <c r="O567" s="150">
        <v>1303.1561810447577</v>
      </c>
      <c r="P567" s="150">
        <v>1251.6354887046311</v>
      </c>
      <c r="Q567" s="150">
        <v>1206.1460478622801</v>
      </c>
      <c r="R567" s="150">
        <v>1165.0710988716232</v>
      </c>
      <c r="S567" s="150">
        <v>1127.3677986111029</v>
      </c>
      <c r="T567" s="150">
        <v>1092.3241011182183</v>
      </c>
      <c r="U567" s="150">
        <v>1059.432132989007</v>
      </c>
      <c r="V567" s="150">
        <v>1028.3168992853884</v>
      </c>
      <c r="W567" s="150">
        <v>998.69362471743625</v>
      </c>
      <c r="X567" s="150">
        <v>982.82745844303747</v>
      </c>
      <c r="Y567" s="150">
        <v>968.05641102469019</v>
      </c>
      <c r="Z567" s="150">
        <v>954.23901894508401</v>
      </c>
      <c r="AA567" s="150">
        <v>941.25957419564656</v>
      </c>
      <c r="AB567" s="150">
        <v>929.02222817726704</v>
      </c>
      <c r="AC567" s="150">
        <v>917.44669186533713</v>
      </c>
      <c r="AD567" s="150">
        <v>906.46504017708924</v>
      </c>
      <c r="AE567" s="150">
        <v>896.01929682761943</v>
      </c>
      <c r="AF567" s="150">
        <v>886.05958154058089</v>
      </c>
      <c r="AG567" s="150">
        <v>876.54266945079962</v>
      </c>
      <c r="AH567" s="150">
        <v>867.43085732966586</v>
      </c>
      <c r="AI567" s="150">
        <v>858.691061409094</v>
      </c>
      <c r="AJ567" s="150">
        <v>850.29409225441702</v>
      </c>
      <c r="AK567" s="150">
        <v>842.21406656184888</v>
      </c>
      <c r="AL567" s="150">
        <v>834.42792598001824</v>
      </c>
      <c r="AM567" s="150">
        <v>826.91504040599648</v>
      </c>
      <c r="AN567" s="150">
        <v>819.65687856167085</v>
      </c>
      <c r="AO567" s="150">
        <v>812.63673260573387</v>
      </c>
      <c r="AP567" s="150">
        <v>805.83948648206467</v>
      </c>
      <c r="AQ567" s="150">
        <v>799.25141992516296</v>
      </c>
      <c r="AR567" s="149"/>
      <c r="AS567" s="149"/>
      <c r="AT567" s="149"/>
      <c r="AU567" s="149"/>
      <c r="AV567" s="149"/>
      <c r="AW567" s="149"/>
      <c r="AX567" s="149"/>
      <c r="AY567" s="149"/>
      <c r="AZ567" s="149"/>
      <c r="BA567" s="149"/>
      <c r="BB567" s="149"/>
      <c r="BC567" s="149"/>
      <c r="BD567" s="149"/>
      <c r="BE567" s="149"/>
      <c r="BF567" s="149"/>
      <c r="BG567" s="149"/>
      <c r="BH567" s="149"/>
      <c r="BI567" s="149"/>
      <c r="BJ567" s="149"/>
      <c r="BK567" s="149"/>
      <c r="BL567" s="149"/>
      <c r="BM567" s="149"/>
      <c r="BN567" s="149"/>
      <c r="BO567" s="149"/>
      <c r="BP567" s="149"/>
      <c r="BQ567" s="149"/>
      <c r="BR567" s="149"/>
      <c r="BS567" s="149"/>
      <c r="BT567" s="149"/>
      <c r="BU567" s="149"/>
      <c r="BV567" s="149"/>
      <c r="BW567" s="149"/>
      <c r="BX567" s="149"/>
      <c r="BY567" s="149"/>
      <c r="BZ567" s="149"/>
    </row>
    <row r="568" spans="7:78" ht="14.1" hidden="1" customHeight="1" thickBot="1" x14ac:dyDescent="0.3">
      <c r="G568" s="106"/>
      <c r="H568" s="162"/>
      <c r="J568" s="211"/>
      <c r="K568" s="121" t="s">
        <v>130</v>
      </c>
      <c r="L568" s="151">
        <v>1621.6230169611299</v>
      </c>
      <c r="M568" s="151">
        <v>1556.9082740368492</v>
      </c>
      <c r="N568" s="151">
        <v>1508.0691150200007</v>
      </c>
      <c r="O568" s="151">
        <v>1467.928888764317</v>
      </c>
      <c r="P568" s="151">
        <v>1433.2909234723095</v>
      </c>
      <c r="Q568" s="151">
        <v>1402.4500170567217</v>
      </c>
      <c r="R568" s="151">
        <v>1374.3883158320502</v>
      </c>
      <c r="S568" s="151">
        <v>1348.4492833012105</v>
      </c>
      <c r="T568" s="151">
        <v>1324.1846409529619</v>
      </c>
      <c r="U568" s="151">
        <v>1301.2746499706843</v>
      </c>
      <c r="V568" s="151">
        <v>1279.4832270375437</v>
      </c>
      <c r="W568" s="151">
        <v>1258.6310878801573</v>
      </c>
      <c r="X568" s="151">
        <v>1248.6423206219558</v>
      </c>
      <c r="Y568" s="151">
        <v>1239.3430007818629</v>
      </c>
      <c r="Z568" s="151">
        <v>1230.6440680206952</v>
      </c>
      <c r="AA568" s="151">
        <v>1222.4726767406216</v>
      </c>
      <c r="AB568" s="151">
        <v>1214.7684841132632</v>
      </c>
      <c r="AC568" s="151">
        <v>1207.4809430583518</v>
      </c>
      <c r="AD568" s="151">
        <v>1200.567290388422</v>
      </c>
      <c r="AE568" s="151">
        <v>1193.9910263210827</v>
      </c>
      <c r="AF568" s="151">
        <v>1187.7207480295522</v>
      </c>
      <c r="AG568" s="151">
        <v>1181.7292426943925</v>
      </c>
      <c r="AH568" s="151">
        <v>1175.992773719822</v>
      </c>
      <c r="AI568" s="151">
        <v>1170.4905127561492</v>
      </c>
      <c r="AJ568" s="151">
        <v>1165.2040831858435</v>
      </c>
      <c r="AK568" s="151">
        <v>1160.1171898123901</v>
      </c>
      <c r="AL568" s="151">
        <v>1155.215315927642</v>
      </c>
      <c r="AM568" s="151">
        <v>1150.4854735612794</v>
      </c>
      <c r="AN568" s="151">
        <v>1145.915996087549</v>
      </c>
      <c r="AO568" s="151">
        <v>1141.4963648508838</v>
      </c>
      <c r="AP568" s="151">
        <v>1137.2170633263813</v>
      </c>
      <c r="AQ568" s="151">
        <v>1133.069453728679</v>
      </c>
      <c r="AR568" s="149"/>
      <c r="AS568" s="149"/>
      <c r="AT568" s="149"/>
      <c r="AU568" s="149"/>
      <c r="AV568" s="149"/>
      <c r="AW568" s="149"/>
      <c r="AX568" s="149"/>
      <c r="AY568" s="149"/>
      <c r="AZ568" s="149"/>
      <c r="BA568" s="149"/>
      <c r="BB568" s="149"/>
      <c r="BC568" s="149"/>
      <c r="BD568" s="149"/>
      <c r="BE568" s="149"/>
      <c r="BF568" s="149"/>
      <c r="BG568" s="149"/>
      <c r="BH568" s="149"/>
      <c r="BI568" s="149"/>
      <c r="BJ568" s="149"/>
      <c r="BK568" s="149"/>
      <c r="BL568" s="149"/>
      <c r="BM568" s="149"/>
      <c r="BN568" s="149"/>
      <c r="BO568" s="149"/>
      <c r="BP568" s="149"/>
      <c r="BQ568" s="149"/>
      <c r="BR568" s="149"/>
      <c r="BS568" s="149"/>
      <c r="BT568" s="149"/>
      <c r="BU568" s="149"/>
      <c r="BV568" s="149"/>
      <c r="BW568" s="149"/>
      <c r="BX568" s="149"/>
      <c r="BY568" s="149"/>
      <c r="BZ568" s="149"/>
    </row>
    <row r="569" spans="7:78" ht="14.1" hidden="1" customHeight="1" thickTop="1" x14ac:dyDescent="0.25">
      <c r="G569" s="106"/>
      <c r="H569" s="162"/>
      <c r="J569" s="211"/>
      <c r="K569" s="119" t="s">
        <v>131</v>
      </c>
      <c r="L569" s="152">
        <v>1623.3625568207954</v>
      </c>
      <c r="M569" s="152">
        <v>1499.8033664369914</v>
      </c>
      <c r="N569" s="152">
        <v>1407.7767414336206</v>
      </c>
      <c r="O569" s="152">
        <v>1333.0282000353006</v>
      </c>
      <c r="P569" s="152">
        <v>1269.2084159405722</v>
      </c>
      <c r="Q569" s="152">
        <v>1212.9304651397993</v>
      </c>
      <c r="R569" s="152">
        <v>1162.1726558279502</v>
      </c>
      <c r="S569" s="152">
        <v>1115.6309553382657</v>
      </c>
      <c r="T569" s="152">
        <v>1072.4149793203724</v>
      </c>
      <c r="U569" s="152">
        <v>1031.8896528568037</v>
      </c>
      <c r="V569" s="152">
        <v>993.58606011639267</v>
      </c>
      <c r="W569" s="152">
        <v>957.14810124762141</v>
      </c>
      <c r="X569" s="152">
        <v>937.30810931562633</v>
      </c>
      <c r="Y569" s="152">
        <v>918.83751871807283</v>
      </c>
      <c r="Z569" s="152">
        <v>901.55943511302837</v>
      </c>
      <c r="AA569" s="152">
        <v>885.32917036872561</v>
      </c>
      <c r="AB569" s="152">
        <v>870.02686973259529</v>
      </c>
      <c r="AC569" s="152">
        <v>855.55213506352925</v>
      </c>
      <c r="AD569" s="152">
        <v>841.82002882395307</v>
      </c>
      <c r="AE569" s="152">
        <v>828.75805404107348</v>
      </c>
      <c r="AF569" s="152">
        <v>816.30383746963537</v>
      </c>
      <c r="AG569" s="152">
        <v>804.40332818382035</v>
      </c>
      <c r="AH569" s="152">
        <v>793.00937983847552</v>
      </c>
      <c r="AI569" s="152">
        <v>782.08062253487799</v>
      </c>
      <c r="AJ569" s="152">
        <v>771.58055607894914</v>
      </c>
      <c r="AK569" s="152">
        <v>761.47681445804267</v>
      </c>
      <c r="AL569" s="152">
        <v>751.74056414695417</v>
      </c>
      <c r="AM569" s="152">
        <v>742.34600804583022</v>
      </c>
      <c r="AN569" s="152">
        <v>733.26997354940045</v>
      </c>
      <c r="AO569" s="152">
        <v>724.49156818553126</v>
      </c>
      <c r="AP569" s="152">
        <v>715.9918899443561</v>
      </c>
      <c r="AQ569" s="152">
        <v>707.75378219508275</v>
      </c>
      <c r="AR569" s="149"/>
      <c r="AS569" s="149"/>
      <c r="AT569" s="149"/>
      <c r="AU569" s="149"/>
      <c r="AV569" s="149"/>
      <c r="AW569" s="149"/>
      <c r="AX569" s="149"/>
      <c r="AY569" s="149"/>
      <c r="AZ569" s="149"/>
      <c r="BA569" s="149"/>
      <c r="BB569" s="149"/>
      <c r="BC569" s="149"/>
      <c r="BD569" s="149"/>
      <c r="BE569" s="149"/>
      <c r="BF569" s="149"/>
      <c r="BG569" s="149"/>
      <c r="BH569" s="149"/>
      <c r="BI569" s="149"/>
      <c r="BJ569" s="149"/>
      <c r="BK569" s="149"/>
      <c r="BL569" s="149"/>
      <c r="BM569" s="149"/>
      <c r="BN569" s="149"/>
      <c r="BO569" s="149"/>
      <c r="BP569" s="149"/>
      <c r="BQ569" s="149"/>
      <c r="BR569" s="149"/>
      <c r="BS569" s="149"/>
      <c r="BT569" s="149"/>
      <c r="BU569" s="149"/>
      <c r="BV569" s="149"/>
      <c r="BW569" s="149"/>
      <c r="BX569" s="149"/>
      <c r="BY569" s="149"/>
      <c r="BZ569" s="149"/>
    </row>
    <row r="570" spans="7:78" ht="14.1" hidden="1" customHeight="1" x14ac:dyDescent="0.25">
      <c r="G570" s="106"/>
      <c r="H570" s="162"/>
      <c r="J570" s="211"/>
      <c r="K570" s="7" t="s">
        <v>132</v>
      </c>
      <c r="L570" s="150">
        <v>1682.1050125462414</v>
      </c>
      <c r="M570" s="150">
        <v>1573.4212309745781</v>
      </c>
      <c r="N570" s="150">
        <v>1492.3386907299896</v>
      </c>
      <c r="O570" s="150">
        <v>1426.3800882144899</v>
      </c>
      <c r="P570" s="150">
        <v>1369.9876996781713</v>
      </c>
      <c r="Q570" s="150">
        <v>1320.1968660195985</v>
      </c>
      <c r="R570" s="150">
        <v>1275.2379499534309</v>
      </c>
      <c r="S570" s="150">
        <v>1233.9694991462045</v>
      </c>
      <c r="T570" s="150">
        <v>1195.6121379577794</v>
      </c>
      <c r="U570" s="150">
        <v>1159.6099694655277</v>
      </c>
      <c r="V570" s="150">
        <v>1125.5525399413091</v>
      </c>
      <c r="W570" s="150">
        <v>1093.1281462991269</v>
      </c>
      <c r="X570" s="150">
        <v>1075.7617062827362</v>
      </c>
      <c r="Y570" s="150">
        <v>1059.5939374258128</v>
      </c>
      <c r="Z570" s="150">
        <v>1044.4699996967204</v>
      </c>
      <c r="AA570" s="150">
        <v>1030.2632439632403</v>
      </c>
      <c r="AB570" s="150">
        <v>1016.8687583696459</v>
      </c>
      <c r="AC570" s="150">
        <v>1004.1986619177353</v>
      </c>
      <c r="AD570" s="150">
        <v>992.17860666137619</v>
      </c>
      <c r="AE570" s="150">
        <v>980.74513419122491</v>
      </c>
      <c r="AF570" s="150">
        <v>969.84364764927579</v>
      </c>
      <c r="AG570" s="150">
        <v>959.42683491139758</v>
      </c>
      <c r="AH570" s="150">
        <v>949.45342760520907</v>
      </c>
      <c r="AI570" s="150">
        <v>939.88721362603155</v>
      </c>
      <c r="AJ570" s="150">
        <v>930.69624344317879</v>
      </c>
      <c r="AK570" s="150">
        <v>921.85218627813447</v>
      </c>
      <c r="AL570" s="150">
        <v>913.32980342678809</v>
      </c>
      <c r="AM570" s="150">
        <v>905.1065140439091</v>
      </c>
      <c r="AN570" s="150">
        <v>897.16203456986466</v>
      </c>
      <c r="AO570" s="150">
        <v>889.47807730245552</v>
      </c>
      <c r="AP570" s="150">
        <v>882.03809684077214</v>
      </c>
      <c r="AQ570" s="150">
        <v>874.82707555776472</v>
      </c>
      <c r="AR570" s="149"/>
      <c r="AS570" s="149"/>
      <c r="AT570" s="149"/>
      <c r="AU570" s="149"/>
      <c r="AV570" s="149"/>
      <c r="AW570" s="149"/>
      <c r="AX570" s="149"/>
      <c r="AY570" s="149"/>
      <c r="AZ570" s="149"/>
      <c r="BA570" s="149"/>
      <c r="BB570" s="149"/>
      <c r="BC570" s="149"/>
      <c r="BD570" s="149"/>
      <c r="BE570" s="149"/>
      <c r="BF570" s="149"/>
      <c r="BG570" s="149"/>
      <c r="BH570" s="149"/>
      <c r="BI570" s="149"/>
      <c r="BJ570" s="149"/>
      <c r="BK570" s="149"/>
      <c r="BL570" s="149"/>
      <c r="BM570" s="149"/>
      <c r="BN570" s="149"/>
      <c r="BO570" s="149"/>
      <c r="BP570" s="149"/>
      <c r="BQ570" s="149"/>
      <c r="BR570" s="149"/>
      <c r="BS570" s="149"/>
      <c r="BT570" s="149"/>
      <c r="BU570" s="149"/>
      <c r="BV570" s="149"/>
      <c r="BW570" s="149"/>
      <c r="BX570" s="149"/>
      <c r="BY570" s="149"/>
      <c r="BZ570" s="149"/>
    </row>
    <row r="571" spans="7:78" ht="14.1" hidden="1" customHeight="1" thickBot="1" x14ac:dyDescent="0.3">
      <c r="G571" s="106"/>
      <c r="H571" s="162"/>
      <c r="J571" s="211"/>
      <c r="K571" s="121" t="s">
        <v>133</v>
      </c>
      <c r="L571" s="151">
        <v>1774.9605270868303</v>
      </c>
      <c r="M571" s="151">
        <v>1704.1264842730909</v>
      </c>
      <c r="N571" s="151">
        <v>1650.6691896217899</v>
      </c>
      <c r="O571" s="151">
        <v>1606.7333818495936</v>
      </c>
      <c r="P571" s="151">
        <v>1568.8201181077343</v>
      </c>
      <c r="Q571" s="151">
        <v>1535.0629557249315</v>
      </c>
      <c r="R571" s="151">
        <v>1504.3477947561169</v>
      </c>
      <c r="S571" s="151">
        <v>1475.9560178933657</v>
      </c>
      <c r="T571" s="151">
        <v>1449.3969582836112</v>
      </c>
      <c r="U571" s="151">
        <v>1424.320643231262</v>
      </c>
      <c r="V571" s="151">
        <v>1400.4686658414355</v>
      </c>
      <c r="W571" s="151">
        <v>1377.6447890694831</v>
      </c>
      <c r="X571" s="151">
        <v>1366.7115034586327</v>
      </c>
      <c r="Y571" s="151">
        <v>1356.5328580692424</v>
      </c>
      <c r="Z571" s="151">
        <v>1347.0113711901345</v>
      </c>
      <c r="AA571" s="151">
        <v>1338.067309085804</v>
      </c>
      <c r="AB571" s="151">
        <v>1329.6346230276961</v>
      </c>
      <c r="AC571" s="151">
        <v>1321.6579863022062</v>
      </c>
      <c r="AD571" s="151">
        <v>1314.0905921182543</v>
      </c>
      <c r="AE571" s="151">
        <v>1306.8924893452063</v>
      </c>
      <c r="AF571" s="151">
        <v>1300.0293057662184</v>
      </c>
      <c r="AG571" s="151">
        <v>1293.4712553707154</v>
      </c>
      <c r="AH571" s="151">
        <v>1287.1923570767078</v>
      </c>
      <c r="AI571" s="151">
        <v>1281.1698130463747</v>
      </c>
      <c r="AJ571" s="151">
        <v>1275.3835090050686</v>
      </c>
      <c r="AK571" s="151">
        <v>1269.8156089142697</v>
      </c>
      <c r="AL571" s="151">
        <v>1264.450223394218</v>
      </c>
      <c r="AM571" s="151">
        <v>1259.2731363574487</v>
      </c>
      <c r="AN571" s="151">
        <v>1254.2715780048279</v>
      </c>
      <c r="AO571" s="151">
        <v>1249.4340350572313</v>
      </c>
      <c r="AP571" s="151">
        <v>1244.7500911257198</v>
      </c>
      <c r="AQ571" s="151">
        <v>1240.210291652792</v>
      </c>
      <c r="AR571" s="149"/>
      <c r="AS571" s="149"/>
      <c r="AT571" s="149"/>
      <c r="AU571" s="149"/>
      <c r="AV571" s="149"/>
      <c r="AW571" s="149"/>
      <c r="AX571" s="149"/>
      <c r="AY571" s="149"/>
      <c r="AZ571" s="149"/>
      <c r="BA571" s="149"/>
      <c r="BB571" s="149"/>
      <c r="BC571" s="149"/>
      <c r="BD571" s="149"/>
      <c r="BE571" s="149"/>
      <c r="BF571" s="149"/>
      <c r="BG571" s="149"/>
      <c r="BH571" s="149"/>
      <c r="BI571" s="149"/>
      <c r="BJ571" s="149"/>
      <c r="BK571" s="149"/>
      <c r="BL571" s="149"/>
      <c r="BM571" s="149"/>
      <c r="BN571" s="149"/>
      <c r="BO571" s="149"/>
      <c r="BP571" s="149"/>
      <c r="BQ571" s="149"/>
      <c r="BR571" s="149"/>
      <c r="BS571" s="149"/>
      <c r="BT571" s="149"/>
      <c r="BU571" s="149"/>
      <c r="BV571" s="149"/>
      <c r="BW571" s="149"/>
      <c r="BX571" s="149"/>
      <c r="BY571" s="149"/>
      <c r="BZ571" s="149"/>
    </row>
    <row r="572" spans="7:78" ht="14.1" customHeight="1" thickTop="1" x14ac:dyDescent="0.25">
      <c r="G572" s="106"/>
      <c r="H572" s="162"/>
      <c r="J572" s="211"/>
      <c r="K572" s="119" t="s">
        <v>134</v>
      </c>
      <c r="L572" s="152">
        <v>1301.0915122709559</v>
      </c>
      <c r="M572" s="152">
        <v>1202.061376830186</v>
      </c>
      <c r="N572" s="152">
        <v>1128.3039403341033</v>
      </c>
      <c r="O572" s="152">
        <v>1068.3945304740826</v>
      </c>
      <c r="P572" s="152">
        <v>1017.2442935465824</v>
      </c>
      <c r="Q572" s="152">
        <v>972.13868001174262</v>
      </c>
      <c r="R572" s="152">
        <v>931.45734570374384</v>
      </c>
      <c r="S572" s="152">
        <v>894.15513541229996</v>
      </c>
      <c r="T572" s="152">
        <v>859.51842449696164</v>
      </c>
      <c r="U572" s="152">
        <v>827.03821354703064</v>
      </c>
      <c r="V572" s="152">
        <v>796.33867622270532</v>
      </c>
      <c r="W572" s="152">
        <v>767.13440585842955</v>
      </c>
      <c r="X572" s="152">
        <v>751.23306268787087</v>
      </c>
      <c r="Y572" s="152">
        <v>736.42926636268464</v>
      </c>
      <c r="Z572" s="152">
        <v>722.58123972662804</v>
      </c>
      <c r="AA572" s="152">
        <v>709.5730182347645</v>
      </c>
      <c r="AB572" s="152">
        <v>697.30854078194034</v>
      </c>
      <c r="AC572" s="152">
        <v>685.70734033465487</v>
      </c>
      <c r="AD572" s="152">
        <v>674.70134121335809</v>
      </c>
      <c r="AE572" s="152">
        <v>664.23243859385661</v>
      </c>
      <c r="AF572" s="152">
        <v>654.25064161018304</v>
      </c>
      <c r="AG572" s="152">
        <v>644.71262956326302</v>
      </c>
      <c r="AH572" s="152">
        <v>635.5806156326139</v>
      </c>
      <c r="AI572" s="152">
        <v>626.82144270008837</v>
      </c>
      <c r="AJ572" s="152">
        <v>618.40585661508908</v>
      </c>
      <c r="AK572" s="152">
        <v>610.30791668792631</v>
      </c>
      <c r="AL572" s="152">
        <v>602.50451344453052</v>
      </c>
      <c r="AM572" s="152">
        <v>594.97497104294666</v>
      </c>
      <c r="AN572" s="152">
        <v>587.70071711934406</v>
      </c>
      <c r="AO572" s="152">
        <v>580.66500678943976</v>
      </c>
      <c r="AP572" s="152">
        <v>573.85269048328757</v>
      </c>
      <c r="AQ572" s="152">
        <v>567.25001751616901</v>
      </c>
      <c r="AR572" s="149"/>
      <c r="AS572" s="149"/>
      <c r="AT572" s="149"/>
      <c r="AU572" s="149"/>
      <c r="AV572" s="149"/>
      <c r="AW572" s="149"/>
      <c r="AX572" s="149"/>
      <c r="AY572" s="149"/>
      <c r="AZ572" s="149"/>
      <c r="BA572" s="149"/>
      <c r="BB572" s="149"/>
      <c r="BC572" s="149"/>
      <c r="BD572" s="149"/>
      <c r="BE572" s="149"/>
      <c r="BF572" s="149"/>
      <c r="BG572" s="149"/>
      <c r="BH572" s="149"/>
      <c r="BI572" s="149"/>
      <c r="BJ572" s="149"/>
      <c r="BK572" s="149"/>
      <c r="BL572" s="149"/>
      <c r="BM572" s="149"/>
      <c r="BN572" s="149"/>
      <c r="BO572" s="149"/>
      <c r="BP572" s="149"/>
      <c r="BQ572" s="149"/>
      <c r="BR572" s="149"/>
      <c r="BS572" s="149"/>
      <c r="BT572" s="149"/>
      <c r="BU572" s="149"/>
      <c r="BV572" s="149"/>
      <c r="BW572" s="149"/>
      <c r="BX572" s="149"/>
      <c r="BY572" s="149"/>
      <c r="BZ572" s="149"/>
    </row>
    <row r="573" spans="7:78" ht="14.1" customHeight="1" x14ac:dyDescent="0.25">
      <c r="G573" s="106"/>
      <c r="H573" s="162"/>
      <c r="J573" s="211"/>
      <c r="K573" s="7" t="s">
        <v>135</v>
      </c>
      <c r="L573" s="150">
        <v>1348.1723755280277</v>
      </c>
      <c r="M573" s="150">
        <v>1261.0645725728241</v>
      </c>
      <c r="N573" s="150">
        <v>1196.0785936475702</v>
      </c>
      <c r="O573" s="150">
        <v>1143.2141379943382</v>
      </c>
      <c r="P573" s="150">
        <v>1098.0168049814456</v>
      </c>
      <c r="Q573" s="150">
        <v>1058.1104816589868</v>
      </c>
      <c r="R573" s="150">
        <v>1022.0768403452736</v>
      </c>
      <c r="S573" s="150">
        <v>989.00103060440563</v>
      </c>
      <c r="T573" s="150">
        <v>958.25839898112326</v>
      </c>
      <c r="U573" s="150">
        <v>929.40340558990351</v>
      </c>
      <c r="V573" s="150">
        <v>902.10708025731265</v>
      </c>
      <c r="W573" s="150">
        <v>876.11959940707368</v>
      </c>
      <c r="X573" s="150">
        <v>862.20075693485376</v>
      </c>
      <c r="Y573" s="150">
        <v>849.24262460408329</v>
      </c>
      <c r="Z573" s="150">
        <v>837.12110133205874</v>
      </c>
      <c r="AA573" s="150">
        <v>825.73468045886978</v>
      </c>
      <c r="AB573" s="150">
        <v>814.99927730210891</v>
      </c>
      <c r="AC573" s="150">
        <v>804.84445705941494</v>
      </c>
      <c r="AD573" s="150">
        <v>795.21063138974785</v>
      </c>
      <c r="AE573" s="150">
        <v>786.04693969056837</v>
      </c>
      <c r="AF573" s="150">
        <v>777.30962370944599</v>
      </c>
      <c r="AG573" s="150">
        <v>768.96076375747566</v>
      </c>
      <c r="AH573" s="150">
        <v>760.96728408777324</v>
      </c>
      <c r="AI573" s="150">
        <v>753.30016144743649</v>
      </c>
      <c r="AJ573" s="150">
        <v>745.9337889484525</v>
      </c>
      <c r="AK573" s="150">
        <v>738.84546005782352</v>
      </c>
      <c r="AL573" s="150">
        <v>732.01494647623269</v>
      </c>
      <c r="AM573" s="150">
        <v>725.42415012328161</v>
      </c>
      <c r="AN573" s="150">
        <v>719.05681414546211</v>
      </c>
      <c r="AO573" s="150">
        <v>712.89828132771754</v>
      </c>
      <c r="AP573" s="150">
        <v>706.93529087343757</v>
      </c>
      <c r="AQ573" s="150">
        <v>701.15580646516071</v>
      </c>
      <c r="AR573" s="149"/>
      <c r="AS573" s="149"/>
      <c r="AT573" s="149"/>
      <c r="AU573" s="149"/>
      <c r="AV573" s="149"/>
      <c r="AW573" s="149"/>
      <c r="AX573" s="149"/>
      <c r="AY573" s="149"/>
      <c r="AZ573" s="149"/>
      <c r="BA573" s="149"/>
      <c r="BB573" s="149"/>
      <c r="BC573" s="149"/>
      <c r="BD573" s="149"/>
      <c r="BE573" s="149"/>
      <c r="BF573" s="149"/>
      <c r="BG573" s="149"/>
      <c r="BH573" s="149"/>
      <c r="BI573" s="149"/>
      <c r="BJ573" s="149"/>
      <c r="BK573" s="149"/>
      <c r="BL573" s="149"/>
      <c r="BM573" s="149"/>
      <c r="BN573" s="149"/>
      <c r="BO573" s="149"/>
      <c r="BP573" s="149"/>
      <c r="BQ573" s="149"/>
      <c r="BR573" s="149"/>
      <c r="BS573" s="149"/>
      <c r="BT573" s="149"/>
      <c r="BU573" s="149"/>
      <c r="BV573" s="149"/>
      <c r="BW573" s="149"/>
      <c r="BX573" s="149"/>
      <c r="BY573" s="149"/>
      <c r="BZ573" s="149"/>
    </row>
    <row r="574" spans="7:78" ht="14.1" customHeight="1" thickBot="1" x14ac:dyDescent="0.3">
      <c r="G574" s="106"/>
      <c r="H574" s="162"/>
      <c r="J574" s="211"/>
      <c r="K574" s="121" t="s">
        <v>136</v>
      </c>
      <c r="L574" s="151">
        <v>1422.594149843751</v>
      </c>
      <c r="M574" s="151">
        <v>1365.8221296332542</v>
      </c>
      <c r="N574" s="151">
        <v>1322.9772136608246</v>
      </c>
      <c r="O574" s="151">
        <v>1287.7635724831421</v>
      </c>
      <c r="P574" s="151">
        <v>1257.3768757777377</v>
      </c>
      <c r="Q574" s="151">
        <v>1230.3212083483791</v>
      </c>
      <c r="R574" s="151">
        <v>1205.7036421327177</v>
      </c>
      <c r="S574" s="151">
        <v>1182.9482202220629</v>
      </c>
      <c r="T574" s="151">
        <v>1161.6616832824502</v>
      </c>
      <c r="U574" s="151">
        <v>1141.563535437067</v>
      </c>
      <c r="V574" s="151">
        <v>1122.4466689044555</v>
      </c>
      <c r="W574" s="151">
        <v>1104.1538037522234</v>
      </c>
      <c r="X574" s="151">
        <v>1095.3910014750966</v>
      </c>
      <c r="Y574" s="151">
        <v>1087.2330277267754</v>
      </c>
      <c r="Z574" s="151">
        <v>1079.6017529320259</v>
      </c>
      <c r="AA574" s="151">
        <v>1072.4332721510236</v>
      </c>
      <c r="AB574" s="151">
        <v>1065.6746486939587</v>
      </c>
      <c r="AC574" s="151">
        <v>1059.281539344234</v>
      </c>
      <c r="AD574" s="151">
        <v>1053.2164294269335</v>
      </c>
      <c r="AE574" s="151">
        <v>1047.4472989371875</v>
      </c>
      <c r="AF574" s="151">
        <v>1041.9465992541382</v>
      </c>
      <c r="AG574" s="151">
        <v>1036.6904575063918</v>
      </c>
      <c r="AH574" s="151">
        <v>1031.6580503941168</v>
      </c>
      <c r="AI574" s="151">
        <v>1026.8311059218415</v>
      </c>
      <c r="AJ574" s="151">
        <v>1022.1935029144726</v>
      </c>
      <c r="AK574" s="151">
        <v>1017.7309461560496</v>
      </c>
      <c r="AL574" s="151">
        <v>1013.4307006373456</v>
      </c>
      <c r="AM574" s="151">
        <v>1009.2813724582971</v>
      </c>
      <c r="AN574" s="151">
        <v>1005.2727268890244</v>
      </c>
      <c r="AO574" s="151">
        <v>1001.3955362744457</v>
      </c>
      <c r="AP574" s="151">
        <v>997.64145209427477</v>
      </c>
      <c r="AQ574" s="151">
        <v>994.00289671622897</v>
      </c>
      <c r="AR574" s="149"/>
      <c r="AS574" s="149"/>
      <c r="AT574" s="149"/>
      <c r="AU574" s="149"/>
      <c r="AV574" s="149"/>
      <c r="AW574" s="149"/>
      <c r="AX574" s="149"/>
      <c r="AY574" s="149"/>
      <c r="AZ574" s="149"/>
      <c r="BA574" s="149"/>
      <c r="BB574" s="149"/>
      <c r="BC574" s="149"/>
      <c r="BD574" s="149"/>
      <c r="BE574" s="149"/>
      <c r="BF574" s="149"/>
      <c r="BG574" s="149"/>
      <c r="BH574" s="149"/>
      <c r="BI574" s="149"/>
      <c r="BJ574" s="149"/>
      <c r="BK574" s="149"/>
      <c r="BL574" s="149"/>
      <c r="BM574" s="149"/>
      <c r="BN574" s="149"/>
      <c r="BO574" s="149"/>
      <c r="BP574" s="149"/>
      <c r="BQ574" s="149"/>
      <c r="BR574" s="149"/>
      <c r="BS574" s="149"/>
      <c r="BT574" s="149"/>
      <c r="BU574" s="149"/>
      <c r="BV574" s="149"/>
      <c r="BW574" s="149"/>
      <c r="BX574" s="149"/>
      <c r="BY574" s="149"/>
      <c r="BZ574" s="149"/>
    </row>
    <row r="575" spans="7:78" ht="14.1" customHeight="1" thickTop="1" thickBot="1" x14ac:dyDescent="0.3">
      <c r="G575" s="106"/>
      <c r="H575" s="160"/>
      <c r="I575" s="160"/>
      <c r="J575" s="160"/>
      <c r="K575" s="160"/>
      <c r="L575" s="160"/>
      <c r="M575" s="160"/>
      <c r="N575" s="160"/>
      <c r="O575" s="160"/>
      <c r="P575" s="160"/>
      <c r="Q575" s="160"/>
      <c r="R575" s="160"/>
      <c r="S575" s="160"/>
      <c r="T575" s="160"/>
      <c r="U575" s="160"/>
      <c r="V575" s="160"/>
      <c r="W575" s="160"/>
      <c r="X575" s="160"/>
      <c r="Y575" s="160"/>
      <c r="Z575" s="160"/>
      <c r="AA575" s="160"/>
      <c r="AB575" s="160"/>
      <c r="AC575" s="160"/>
      <c r="AD575" s="160"/>
      <c r="AE575" s="160"/>
      <c r="AF575" s="160"/>
      <c r="AG575" s="160"/>
      <c r="AH575" s="160"/>
      <c r="AI575" s="160"/>
      <c r="AJ575" s="160"/>
      <c r="AK575" s="160"/>
      <c r="AL575" s="160"/>
      <c r="AM575" s="160"/>
      <c r="AN575" s="160"/>
      <c r="AO575" s="160"/>
      <c r="AP575" s="160"/>
      <c r="AQ575" s="160"/>
    </row>
    <row r="576" spans="7:78" ht="14.1" customHeight="1" x14ac:dyDescent="0.25">
      <c r="G576" s="106"/>
      <c r="H576" s="161"/>
      <c r="I576" s="161"/>
      <c r="J576" s="161"/>
      <c r="K576" s="161"/>
      <c r="L576" s="161"/>
      <c r="M576" s="161"/>
      <c r="N576" s="161"/>
      <c r="O576" s="161"/>
      <c r="P576" s="161"/>
      <c r="Q576" s="161"/>
      <c r="R576" s="161"/>
      <c r="S576" s="161"/>
      <c r="T576" s="161"/>
      <c r="U576" s="161"/>
      <c r="V576" s="161"/>
      <c r="W576" s="161"/>
      <c r="X576" s="161"/>
      <c r="Y576" s="161"/>
      <c r="Z576" s="161"/>
      <c r="AA576" s="161"/>
      <c r="AB576" s="161"/>
      <c r="AC576" s="161"/>
      <c r="AD576" s="161"/>
      <c r="AE576" s="161"/>
      <c r="AF576" s="161"/>
      <c r="AG576" s="161"/>
      <c r="AH576" s="161"/>
      <c r="AI576" s="161"/>
      <c r="AJ576" s="161"/>
      <c r="AK576" s="161"/>
      <c r="AL576" s="161"/>
      <c r="AM576" s="161"/>
      <c r="AN576" s="161"/>
      <c r="AO576" s="161"/>
      <c r="AP576" s="161"/>
      <c r="AQ576" s="161"/>
    </row>
    <row r="577" spans="7:44" ht="14.1" customHeight="1" thickBot="1" x14ac:dyDescent="0.3">
      <c r="G577" s="106"/>
      <c r="L577" s="107">
        <v>2019</v>
      </c>
      <c r="M577" s="107">
        <v>2020</v>
      </c>
      <c r="N577" s="107">
        <v>2021</v>
      </c>
      <c r="O577" s="107">
        <v>2022</v>
      </c>
      <c r="P577" s="107">
        <v>2023</v>
      </c>
      <c r="Q577" s="107">
        <v>2024</v>
      </c>
      <c r="R577" s="107">
        <v>2025</v>
      </c>
      <c r="S577" s="107">
        <v>2026</v>
      </c>
      <c r="T577" s="107">
        <v>2027</v>
      </c>
      <c r="U577" s="107">
        <v>2028</v>
      </c>
      <c r="V577" s="107">
        <v>2029</v>
      </c>
      <c r="W577" s="107">
        <v>2030</v>
      </c>
      <c r="X577" s="107">
        <v>2031</v>
      </c>
      <c r="Y577" s="107">
        <v>2032</v>
      </c>
      <c r="Z577" s="107">
        <v>2033</v>
      </c>
      <c r="AA577" s="107">
        <v>2034</v>
      </c>
      <c r="AB577" s="107">
        <v>2035</v>
      </c>
      <c r="AC577" s="107">
        <v>2036</v>
      </c>
      <c r="AD577" s="107">
        <v>2037</v>
      </c>
      <c r="AE577" s="107">
        <v>2038</v>
      </c>
      <c r="AF577" s="107">
        <v>2039</v>
      </c>
      <c r="AG577" s="107">
        <v>2040</v>
      </c>
      <c r="AH577" s="107">
        <v>2041</v>
      </c>
      <c r="AI577" s="107">
        <v>2042</v>
      </c>
      <c r="AJ577" s="107">
        <v>2043</v>
      </c>
      <c r="AK577" s="107">
        <v>2044</v>
      </c>
      <c r="AL577" s="107">
        <v>2045</v>
      </c>
      <c r="AM577" s="107">
        <v>2046</v>
      </c>
      <c r="AN577" s="107">
        <v>2047</v>
      </c>
      <c r="AO577" s="107">
        <v>2048</v>
      </c>
      <c r="AP577" s="107">
        <v>2049</v>
      </c>
      <c r="AQ577" s="107">
        <v>2050</v>
      </c>
    </row>
    <row r="578" spans="7:44" ht="14.1" hidden="1" customHeight="1" x14ac:dyDescent="0.25">
      <c r="G578" s="106"/>
      <c r="H578" s="219" t="s">
        <v>146</v>
      </c>
      <c r="J578" s="209" t="s">
        <v>147</v>
      </c>
      <c r="K578" s="119" t="s">
        <v>95</v>
      </c>
      <c r="L578" s="139">
        <f t="shared" ref="L578:AQ578" si="192" xml:space="preserve"> ((L85 * L629 * $N$43 * (L312 * 1 + L489) +L399) * 1000 / (L93 * 8760)) + L443 + 0</f>
        <v>73.040091044854861</v>
      </c>
      <c r="M578" s="139">
        <f t="shared" si="192"/>
        <v>66.403107776373247</v>
      </c>
      <c r="N578" s="139">
        <f t="shared" si="192"/>
        <v>61.702815863142689</v>
      </c>
      <c r="O578" s="139">
        <f t="shared" si="192"/>
        <v>58.037960260829948</v>
      </c>
      <c r="P578" s="139">
        <f t="shared" si="192"/>
        <v>55.016301955603652</v>
      </c>
      <c r="Q578" s="139">
        <f t="shared" si="192"/>
        <v>52.43221764847587</v>
      </c>
      <c r="R578" s="139">
        <f t="shared" si="192"/>
        <v>50.164670181894131</v>
      </c>
      <c r="S578" s="139">
        <f t="shared" si="192"/>
        <v>48.136492862005184</v>
      </c>
      <c r="T578" s="139">
        <f t="shared" si="192"/>
        <v>46.295520816283691</v>
      </c>
      <c r="U578" s="139">
        <f t="shared" si="192"/>
        <v>44.604870614572469</v>
      </c>
      <c r="V578" s="139">
        <f t="shared" si="192"/>
        <v>43.037519110018508</v>
      </c>
      <c r="W578" s="139">
        <f t="shared" si="192"/>
        <v>41.573086803086234</v>
      </c>
      <c r="X578" s="139">
        <f t="shared" si="192"/>
        <v>40.593572220126127</v>
      </c>
      <c r="Y578" s="139">
        <f t="shared" si="192"/>
        <v>39.686691193822263</v>
      </c>
      <c r="Z578" s="139">
        <f t="shared" si="192"/>
        <v>38.842714981860134</v>
      </c>
      <c r="AA578" s="139">
        <f t="shared" si="192"/>
        <v>38.053728924284592</v>
      </c>
      <c r="AB578" s="139">
        <f t="shared" si="192"/>
        <v>37.313209770718643</v>
      </c>
      <c r="AC578" s="139">
        <f t="shared" si="192"/>
        <v>36.615719033488077</v>
      </c>
      <c r="AD578" s="139">
        <f t="shared" si="192"/>
        <v>35.956676193555097</v>
      </c>
      <c r="AE578" s="139">
        <f t="shared" si="192"/>
        <v>35.33218808042264</v>
      </c>
      <c r="AF578" s="139">
        <f t="shared" si="192"/>
        <v>34.738918544667307</v>
      </c>
      <c r="AG578" s="139">
        <f t="shared" si="192"/>
        <v>34.173987538658928</v>
      </c>
      <c r="AH578" s="139">
        <f t="shared" si="192"/>
        <v>33.634891999737036</v>
      </c>
      <c r="AI578" s="139">
        <f t="shared" si="192"/>
        <v>33.119443127541061</v>
      </c>
      <c r="AJ578" s="139">
        <f t="shared" si="192"/>
        <v>32.62571614839073</v>
      </c>
      <c r="AK578" s="139">
        <f t="shared" si="192"/>
        <v>32.152009703153261</v>
      </c>
      <c r="AL578" s="139">
        <f t="shared" si="192"/>
        <v>31.696812732017531</v>
      </c>
      <c r="AM578" s="139">
        <f t="shared" si="192"/>
        <v>31.258777257686411</v>
      </c>
      <c r="AN578" s="139">
        <f t="shared" si="192"/>
        <v>30.836695851982306</v>
      </c>
      <c r="AO578" s="139">
        <f t="shared" si="192"/>
        <v>30.429482852782936</v>
      </c>
      <c r="AP578" s="139">
        <f t="shared" si="192"/>
        <v>30.03615860783362</v>
      </c>
      <c r="AQ578" s="139">
        <f t="shared" si="192"/>
        <v>29.6558361795121</v>
      </c>
      <c r="AR578" s="146"/>
    </row>
    <row r="579" spans="7:44" ht="14.1" hidden="1" customHeight="1" x14ac:dyDescent="0.25">
      <c r="G579" s="106"/>
      <c r="H579" s="219"/>
      <c r="J579" s="210"/>
      <c r="K579" s="7" t="s">
        <v>96</v>
      </c>
      <c r="L579" s="140">
        <f t="shared" ref="L579:AQ579" si="193" xml:space="preserve"> ((L86 * L630 * $N$43 * (L313 * 1 + L490) +L400) * 1000 / (L94 * 8760)) + L444 + 0</f>
        <v>76.141842222610023</v>
      </c>
      <c r="M579" s="140">
        <f t="shared" si="193"/>
        <v>70.189753016669627</v>
      </c>
      <c r="N579" s="140">
        <f t="shared" si="193"/>
        <v>65.945453506276891</v>
      </c>
      <c r="O579" s="140">
        <f t="shared" si="193"/>
        <v>62.617570201880092</v>
      </c>
      <c r="P579" s="140">
        <f t="shared" si="193"/>
        <v>59.860525384961036</v>
      </c>
      <c r="Q579" s="140">
        <f t="shared" si="193"/>
        <v>57.492689898749425</v>
      </c>
      <c r="R579" s="140">
        <f t="shared" si="193"/>
        <v>55.406926058173788</v>
      </c>
      <c r="S579" s="140">
        <f t="shared" si="193"/>
        <v>53.534807703122624</v>
      </c>
      <c r="T579" s="140">
        <f t="shared" si="193"/>
        <v>51.830007646795138</v>
      </c>
      <c r="U579" s="140">
        <f t="shared" si="193"/>
        <v>50.259725748322062</v>
      </c>
      <c r="V579" s="140">
        <f t="shared" si="193"/>
        <v>48.799901510188967</v>
      </c>
      <c r="W579" s="140">
        <f t="shared" si="193"/>
        <v>47.432369912104775</v>
      </c>
      <c r="X579" s="140">
        <f t="shared" si="193"/>
        <v>46.540892316379455</v>
      </c>
      <c r="Y579" s="140">
        <f t="shared" si="193"/>
        <v>45.714800360398698</v>
      </c>
      <c r="Z579" s="140">
        <f t="shared" si="193"/>
        <v>44.945384267783609</v>
      </c>
      <c r="AA579" s="140">
        <f t="shared" si="193"/>
        <v>44.225552479428181</v>
      </c>
      <c r="AB579" s="140">
        <f t="shared" si="193"/>
        <v>43.549455615487531</v>
      </c>
      <c r="AC579" s="140">
        <f t="shared" si="193"/>
        <v>42.912213447935066</v>
      </c>
      <c r="AD579" s="140">
        <f t="shared" si="193"/>
        <v>42.309712822520574</v>
      </c>
      <c r="AE579" s="140">
        <f t="shared" si="193"/>
        <v>41.738455527302428</v>
      </c>
      <c r="AF579" s="140">
        <f t="shared" si="193"/>
        <v>41.195442011314483</v>
      </c>
      <c r="AG579" s="140">
        <f t="shared" si="193"/>
        <v>40.678081285813349</v>
      </c>
      <c r="AH579" s="140">
        <f t="shared" si="193"/>
        <v>40.184120248452835</v>
      </c>
      <c r="AI579" s="140">
        <f t="shared" si="193"/>
        <v>39.711587620835658</v>
      </c>
      <c r="AJ579" s="140">
        <f t="shared" si="193"/>
        <v>39.25874902291411</v>
      </c>
      <c r="AK579" s="140">
        <f t="shared" si="193"/>
        <v>38.824070634861904</v>
      </c>
      <c r="AL579" s="140">
        <f t="shared" si="193"/>
        <v>38.406189552176301</v>
      </c>
      <c r="AM579" s="140">
        <f t="shared" si="193"/>
        <v>38.003889409451197</v>
      </c>
      <c r="AN579" s="140">
        <f t="shared" si="193"/>
        <v>37.616080189500408</v>
      </c>
      <c r="AO579" s="140">
        <f t="shared" si="193"/>
        <v>37.241781385492672</v>
      </c>
      <c r="AP579" s="140">
        <f t="shared" si="193"/>
        <v>36.880107870467612</v>
      </c>
      <c r="AQ579" s="140">
        <f t="shared" si="193"/>
        <v>36.53025796897046</v>
      </c>
    </row>
    <row r="580" spans="7:44" ht="14.1" hidden="1" customHeight="1" thickBot="1" x14ac:dyDescent="0.3">
      <c r="G580" s="106"/>
      <c r="H580" s="219"/>
      <c r="J580" s="210"/>
      <c r="K580" s="121" t="s">
        <v>97</v>
      </c>
      <c r="L580" s="141">
        <f t="shared" ref="L580:AQ580" si="194" xml:space="preserve"> ((L87 * L631 * $N$43 * (L314 * 1 + L491) +L401) * 1000 / (L95 * 8760)) + L445 + 0</f>
        <v>81.59606898217541</v>
      </c>
      <c r="M580" s="141">
        <f t="shared" si="194"/>
        <v>77.638057521124082</v>
      </c>
      <c r="N580" s="141">
        <f t="shared" si="194"/>
        <v>74.768083507960583</v>
      </c>
      <c r="O580" s="141">
        <f t="shared" si="194"/>
        <v>72.487449080221253</v>
      </c>
      <c r="P580" s="141">
        <f t="shared" si="194"/>
        <v>70.576476947161368</v>
      </c>
      <c r="Q580" s="141">
        <f t="shared" si="194"/>
        <v>68.91894397634745</v>
      </c>
      <c r="R580" s="141">
        <f t="shared" si="194"/>
        <v>67.445926851211851</v>
      </c>
      <c r="S580" s="141">
        <f t="shared" si="194"/>
        <v>66.113208449382711</v>
      </c>
      <c r="T580" s="141">
        <f t="shared" si="194"/>
        <v>64.890736435315645</v>
      </c>
      <c r="U580" s="141">
        <f t="shared" si="194"/>
        <v>63.757161386628155</v>
      </c>
      <c r="V580" s="141">
        <f t="shared" si="194"/>
        <v>62.696775304126362</v>
      </c>
      <c r="W580" s="141">
        <f t="shared" si="194"/>
        <v>61.697686961014917</v>
      </c>
      <c r="X580" s="141">
        <f t="shared" si="194"/>
        <v>61.079988791986551</v>
      </c>
      <c r="Y580" s="141">
        <f t="shared" si="194"/>
        <v>60.506345614237318</v>
      </c>
      <c r="Z580" s="141">
        <f t="shared" si="194"/>
        <v>59.970971186588791</v>
      </c>
      <c r="AA580" s="141">
        <f t="shared" si="194"/>
        <v>59.469144399209284</v>
      </c>
      <c r="AB580" s="141">
        <f t="shared" si="194"/>
        <v>58.996963440711198</v>
      </c>
      <c r="AC580" s="141">
        <f t="shared" si="194"/>
        <v>58.551166949643495</v>
      </c>
      <c r="AD580" s="141">
        <f t="shared" si="194"/>
        <v>58.129001392542378</v>
      </c>
      <c r="AE580" s="141">
        <f t="shared" si="194"/>
        <v>57.728121044284819</v>
      </c>
      <c r="AF580" s="141">
        <f t="shared" si="194"/>
        <v>57.346511410067677</v>
      </c>
      <c r="AG580" s="141">
        <f t="shared" si="194"/>
        <v>56.982429795774408</v>
      </c>
      <c r="AH580" s="141">
        <f t="shared" si="194"/>
        <v>56.634358619328609</v>
      </c>
      <c r="AI580" s="141">
        <f t="shared" si="194"/>
        <v>56.300968322324607</v>
      </c>
      <c r="AJ580" s="141">
        <f t="shared" si="194"/>
        <v>55.981087608392521</v>
      </c>
      <c r="AK580" s="141">
        <f t="shared" si="194"/>
        <v>55.673679338760387</v>
      </c>
      <c r="AL580" s="141">
        <f t="shared" si="194"/>
        <v>55.377820842856991</v>
      </c>
      <c r="AM580" s="141">
        <f t="shared" si="194"/>
        <v>55.092687708602114</v>
      </c>
      <c r="AN580" s="141">
        <f t="shared" si="194"/>
        <v>54.81754034021229</v>
      </c>
      <c r="AO580" s="141">
        <f t="shared" si="194"/>
        <v>54.551712735699283</v>
      </c>
      <c r="AP580" s="141">
        <f t="shared" si="194"/>
        <v>54.294603058642842</v>
      </c>
      <c r="AQ580" s="141">
        <f t="shared" si="194"/>
        <v>54.045665670945127</v>
      </c>
      <c r="AR580" s="146"/>
    </row>
    <row r="581" spans="7:44" ht="14.1" hidden="1" customHeight="1" thickTop="1" x14ac:dyDescent="0.25">
      <c r="G581" s="106"/>
      <c r="H581" s="219"/>
      <c r="J581" s="210"/>
      <c r="K581" s="119" t="s">
        <v>98</v>
      </c>
      <c r="L581" s="142">
        <f t="shared" ref="L581:AQ581" si="195" xml:space="preserve"> ((L85 * L629 * $N$43 * (L315 * 1 + L492) +L402) * 1000 / (L96 * 8760)) + L446 + 0</f>
        <v>76.113788555845915</v>
      </c>
      <c r="M581" s="142">
        <f t="shared" si="195"/>
        <v>69.19936708949767</v>
      </c>
      <c r="N581" s="142">
        <f t="shared" si="195"/>
        <v>64.303016620465726</v>
      </c>
      <c r="O581" s="142">
        <f t="shared" si="195"/>
        <v>60.485607512267066</v>
      </c>
      <c r="P581" s="142">
        <f t="shared" si="195"/>
        <v>57.33841797346701</v>
      </c>
      <c r="Q581" s="142">
        <f t="shared" si="195"/>
        <v>54.647184348043382</v>
      </c>
      <c r="R581" s="142">
        <f t="shared" si="195"/>
        <v>52.285783693026438</v>
      </c>
      <c r="S581" s="142">
        <f t="shared" si="195"/>
        <v>50.173807043873296</v>
      </c>
      <c r="T581" s="142">
        <f t="shared" si="195"/>
        <v>48.256897845469823</v>
      </c>
      <c r="U581" s="142">
        <f t="shared" si="195"/>
        <v>46.496623098409906</v>
      </c>
      <c r="V581" s="142">
        <f t="shared" si="195"/>
        <v>44.864824394572828</v>
      </c>
      <c r="W581" s="142">
        <f t="shared" si="195"/>
        <v>43.340266116367594</v>
      </c>
      <c r="X581" s="142">
        <f t="shared" si="195"/>
        <v>42.319526450994211</v>
      </c>
      <c r="Y581" s="142">
        <f t="shared" si="195"/>
        <v>41.374477266856914</v>
      </c>
      <c r="Z581" s="142">
        <f t="shared" si="195"/>
        <v>40.494980370133277</v>
      </c>
      <c r="AA581" s="142">
        <f t="shared" si="195"/>
        <v>39.672787998066028</v>
      </c>
      <c r="AB581" s="142">
        <f t="shared" si="195"/>
        <v>38.90110235732071</v>
      </c>
      <c r="AC581" s="142">
        <f t="shared" si="195"/>
        <v>38.174256071378238</v>
      </c>
      <c r="AD581" s="142">
        <f t="shared" si="195"/>
        <v>37.487475841466427</v>
      </c>
      <c r="AE581" s="142">
        <f t="shared" si="195"/>
        <v>36.83670464563285</v>
      </c>
      <c r="AF581" s="142">
        <f t="shared" si="195"/>
        <v>36.218465926226301</v>
      </c>
      <c r="AG581" s="142">
        <f t="shared" si="195"/>
        <v>35.629758423256071</v>
      </c>
      <c r="AH581" s="142">
        <f t="shared" si="195"/>
        <v>35.067973727800499</v>
      </c>
      <c r="AI581" s="142">
        <f t="shared" si="195"/>
        <v>34.530830919544329</v>
      </c>
      <c r="AJ581" s="142">
        <f t="shared" si="195"/>
        <v>34.016324216904771</v>
      </c>
      <c r="AK581" s="142">
        <f t="shared" si="195"/>
        <v>33.522680655665084</v>
      </c>
      <c r="AL581" s="142">
        <f t="shared" si="195"/>
        <v>33.048325580035318</v>
      </c>
      <c r="AM581" s="142">
        <f t="shared" si="195"/>
        <v>32.591854280376189</v>
      </c>
      <c r="AN581" s="142">
        <f t="shared" si="195"/>
        <v>32.152008511445906</v>
      </c>
      <c r="AO581" s="142">
        <f t="shared" si="195"/>
        <v>31.727656918816287</v>
      </c>
      <c r="AP581" s="142">
        <f t="shared" si="195"/>
        <v>31.317778619556993</v>
      </c>
      <c r="AQ581" s="142">
        <f t="shared" si="195"/>
        <v>30.921449347445623</v>
      </c>
    </row>
    <row r="582" spans="7:44" ht="14.1" hidden="1" customHeight="1" x14ac:dyDescent="0.25">
      <c r="G582" s="106"/>
      <c r="H582" s="219"/>
      <c r="J582" s="210"/>
      <c r="K582" s="7" t="s">
        <v>99</v>
      </c>
      <c r="L582" s="140">
        <f t="shared" ref="L582:AQ582" si="196" xml:space="preserve"> ((L86 * L630 * $N$43 * (L316 * 1 + L493) +L403) * 1000 / (L97 * 8760)) + L447 + 0</f>
        <v>79.345920467348265</v>
      </c>
      <c r="M582" s="140">
        <f t="shared" si="196"/>
        <v>73.14517284606562</v>
      </c>
      <c r="N582" s="140">
        <f t="shared" si="196"/>
        <v>68.723977230367794</v>
      </c>
      <c r="O582" s="140">
        <f t="shared" si="196"/>
        <v>65.257702911599196</v>
      </c>
      <c r="P582" s="140">
        <f t="shared" si="196"/>
        <v>62.386250024702441</v>
      </c>
      <c r="Q582" s="140">
        <f t="shared" si="196"/>
        <v>59.920357178376321</v>
      </c>
      <c r="R582" s="140">
        <f t="shared" si="196"/>
        <v>57.748384851592697</v>
      </c>
      <c r="S582" s="140">
        <f t="shared" si="196"/>
        <v>55.799031797401646</v>
      </c>
      <c r="T582" s="140">
        <f t="shared" si="196"/>
        <v>54.024024365800898</v>
      </c>
      <c r="U582" s="140">
        <f t="shared" si="196"/>
        <v>52.389184357883629</v>
      </c>
      <c r="V582" s="140">
        <f t="shared" si="196"/>
        <v>50.869440446471152</v>
      </c>
      <c r="W582" s="140">
        <f t="shared" si="196"/>
        <v>49.445864494718421</v>
      </c>
      <c r="X582" s="140">
        <f t="shared" si="196"/>
        <v>48.516871310656008</v>
      </c>
      <c r="Y582" s="140">
        <f t="shared" si="196"/>
        <v>47.656015356232928</v>
      </c>
      <c r="Z582" s="140">
        <f t="shared" si="196"/>
        <v>46.854220326077645</v>
      </c>
      <c r="AA582" s="140">
        <f t="shared" si="196"/>
        <v>46.104096230687929</v>
      </c>
      <c r="AB582" s="140">
        <f t="shared" si="196"/>
        <v>45.399547533806974</v>
      </c>
      <c r="AC582" s="140">
        <f t="shared" si="196"/>
        <v>44.735488635308521</v>
      </c>
      <c r="AD582" s="140">
        <f t="shared" si="196"/>
        <v>44.10763328920978</v>
      </c>
      <c r="AE582" s="140">
        <f t="shared" si="196"/>
        <v>43.512336070134076</v>
      </c>
      <c r="AF582" s="140">
        <f t="shared" si="196"/>
        <v>42.946471198570876</v>
      </c>
      <c r="AG582" s="140">
        <f t="shared" si="196"/>
        <v>42.407338650544141</v>
      </c>
      <c r="AH582" s="140">
        <f t="shared" si="196"/>
        <v>41.892590507572642</v>
      </c>
      <c r="AI582" s="140">
        <f t="shared" si="196"/>
        <v>41.4001725349748</v>
      </c>
      <c r="AJ582" s="140">
        <f t="shared" si="196"/>
        <v>40.928277365688771</v>
      </c>
      <c r="AK582" s="140">
        <f t="shared" si="196"/>
        <v>40.47530663294571</v>
      </c>
      <c r="AL582" s="140">
        <f t="shared" si="196"/>
        <v>40.039840077840971</v>
      </c>
      <c r="AM582" s="140">
        <f t="shared" si="196"/>
        <v>39.620610147295274</v>
      </c>
      <c r="AN582" s="140">
        <f t="shared" si="196"/>
        <v>39.216480953495733</v>
      </c>
      <c r="AO582" s="140">
        <f t="shared" si="196"/>
        <v>38.826430727451637</v>
      </c>
      <c r="AP582" s="140">
        <f t="shared" si="196"/>
        <v>38.449537093864798</v>
      </c>
      <c r="AQ582" s="140">
        <f t="shared" si="196"/>
        <v>38.084964640788932</v>
      </c>
    </row>
    <row r="583" spans="7:44" ht="14.1" hidden="1" customHeight="1" thickBot="1" x14ac:dyDescent="0.3">
      <c r="G583" s="106"/>
      <c r="H583" s="219"/>
      <c r="J583" s="210"/>
      <c r="K583" s="121" t="s">
        <v>100</v>
      </c>
      <c r="L583" s="141">
        <f t="shared" ref="L583:AQ583" si="197" xml:space="preserve"> ((L87 * L631 * $N$43 * (L317 * 1 + L494) +L404) * 1000 / (L98 * 8760)) + L448 + 0</f>
        <v>85.029428082475064</v>
      </c>
      <c r="M583" s="141">
        <f t="shared" si="197"/>
        <v>80.906293035901029</v>
      </c>
      <c r="N583" s="141">
        <f t="shared" si="197"/>
        <v>77.916920176770375</v>
      </c>
      <c r="O583" s="141">
        <f t="shared" si="197"/>
        <v>75.541652546868079</v>
      </c>
      <c r="P583" s="141">
        <f t="shared" si="197"/>
        <v>73.551580600440772</v>
      </c>
      <c r="Q583" s="141">
        <f t="shared" si="197"/>
        <v>71.825596895896609</v>
      </c>
      <c r="R583" s="141">
        <f t="shared" si="197"/>
        <v>70.291881674473188</v>
      </c>
      <c r="S583" s="141">
        <f t="shared" si="197"/>
        <v>68.904359678121992</v>
      </c>
      <c r="T583" s="141">
        <f t="shared" si="197"/>
        <v>67.631715716242525</v>
      </c>
      <c r="U583" s="141">
        <f t="shared" si="197"/>
        <v>66.451703247973867</v>
      </c>
      <c r="V583" s="141">
        <f t="shared" si="197"/>
        <v>65.347954229971052</v>
      </c>
      <c r="W583" s="141">
        <f t="shared" si="197"/>
        <v>64.308077783859972</v>
      </c>
      <c r="X583" s="141">
        <f t="shared" si="197"/>
        <v>63.664397806749932</v>
      </c>
      <c r="Y583" s="141">
        <f t="shared" si="197"/>
        <v>63.066625895959596</v>
      </c>
      <c r="Z583" s="141">
        <f t="shared" si="197"/>
        <v>62.508732423561554</v>
      </c>
      <c r="AA583" s="141">
        <f t="shared" si="197"/>
        <v>61.985797695786268</v>
      </c>
      <c r="AB583" s="141">
        <f t="shared" si="197"/>
        <v>61.493755779575331</v>
      </c>
      <c r="AC583" s="141">
        <f t="shared" si="197"/>
        <v>61.029208131121401</v>
      </c>
      <c r="AD583" s="141">
        <f t="shared" si="197"/>
        <v>60.589285395411174</v>
      </c>
      <c r="AE583" s="141">
        <f t="shared" si="197"/>
        <v>60.171543179432391</v>
      </c>
      <c r="AF583" s="141">
        <f t="shared" si="197"/>
        <v>59.773882253038991</v>
      </c>
      <c r="AG583" s="141">
        <f t="shared" si="197"/>
        <v>59.394486619520755</v>
      </c>
      <c r="AH583" s="141">
        <f t="shared" si="197"/>
        <v>59.031774863087001</v>
      </c>
      <c r="AI583" s="141">
        <f t="shared" si="197"/>
        <v>58.684361500445938</v>
      </c>
      <c r="AJ583" s="141">
        <f t="shared" si="197"/>
        <v>58.35102596730416</v>
      </c>
      <c r="AK583" s="141">
        <f t="shared" si="197"/>
        <v>58.030687500022928</v>
      </c>
      <c r="AL583" s="141">
        <f t="shared" si="197"/>
        <v>57.722384618025586</v>
      </c>
      <c r="AM583" s="141">
        <f t="shared" si="197"/>
        <v>57.425258232258734</v>
      </c>
      <c r="AN583" s="141">
        <f t="shared" si="197"/>
        <v>57.138537637579432</v>
      </c>
      <c r="AO583" s="141">
        <f t="shared" si="197"/>
        <v>56.861528818202025</v>
      </c>
      <c r="AP583" s="141">
        <f t="shared" si="197"/>
        <v>56.593604622892016</v>
      </c>
      <c r="AQ583" s="141">
        <f t="shared" si="197"/>
        <v>56.334196462594882</v>
      </c>
    </row>
    <row r="584" spans="7:44" ht="14.1" hidden="1" customHeight="1" thickTop="1" x14ac:dyDescent="0.25">
      <c r="G584" s="106"/>
      <c r="H584" s="219"/>
      <c r="J584" s="210"/>
      <c r="K584" s="119" t="s">
        <v>101</v>
      </c>
      <c r="L584" s="142">
        <f t="shared" ref="L584:AQ584" si="198" xml:space="preserve"> ((L85 * L629 * $N$43 * (L318 * 1 + L495) +L405) * 1000 / (L99 * 8760)) + L449 + 0</f>
        <v>77.926018662101114</v>
      </c>
      <c r="M584" s="142">
        <f t="shared" si="198"/>
        <v>70.842681790075289</v>
      </c>
      <c r="N584" s="142">
        <f t="shared" si="198"/>
        <v>65.825743429113444</v>
      </c>
      <c r="O584" s="142">
        <f t="shared" si="198"/>
        <v>61.913593263906023</v>
      </c>
      <c r="P584" s="142">
        <f t="shared" si="198"/>
        <v>58.687723806133668</v>
      </c>
      <c r="Q584" s="142">
        <f t="shared" si="198"/>
        <v>55.928740529982903</v>
      </c>
      <c r="R584" s="142">
        <f t="shared" si="198"/>
        <v>53.507499745692385</v>
      </c>
      <c r="S584" s="142">
        <f t="shared" si="198"/>
        <v>51.341666285983742</v>
      </c>
      <c r="T584" s="142">
        <f t="shared" si="198"/>
        <v>49.375581249498715</v>
      </c>
      <c r="U584" s="142">
        <f t="shared" si="198"/>
        <v>47.569890645327881</v>
      </c>
      <c r="V584" s="142">
        <f t="shared" si="198"/>
        <v>45.895761170527379</v>
      </c>
      <c r="W584" s="142">
        <f t="shared" si="198"/>
        <v>44.33144814697966</v>
      </c>
      <c r="X584" s="142">
        <f t="shared" si="198"/>
        <v>43.286416300682127</v>
      </c>
      <c r="Y584" s="142">
        <f t="shared" si="198"/>
        <v>42.31887631562784</v>
      </c>
      <c r="Z584" s="142">
        <f t="shared" si="198"/>
        <v>41.41844871258251</v>
      </c>
      <c r="AA584" s="142">
        <f t="shared" si="198"/>
        <v>40.576689435408341</v>
      </c>
      <c r="AB584" s="142">
        <f t="shared" si="198"/>
        <v>39.786638906410431</v>
      </c>
      <c r="AC584" s="142">
        <f t="shared" si="198"/>
        <v>39.042494868376551</v>
      </c>
      <c r="AD584" s="142">
        <f t="shared" si="198"/>
        <v>38.339370420649999</v>
      </c>
      <c r="AE584" s="142">
        <f t="shared" si="198"/>
        <v>37.673111986557061</v>
      </c>
      <c r="AF584" s="142">
        <f t="shared" si="198"/>
        <v>37.040160268569245</v>
      </c>
      <c r="AG584" s="142">
        <f t="shared" si="198"/>
        <v>36.437442578715178</v>
      </c>
      <c r="AH584" s="142">
        <f t="shared" si="198"/>
        <v>35.862288429778282</v>
      </c>
      <c r="AI584" s="142">
        <f t="shared" si="198"/>
        <v>35.312362617224089</v>
      </c>
      <c r="AJ584" s="142">
        <f t="shared" si="198"/>
        <v>34.785611623414567</v>
      </c>
      <c r="AK584" s="142">
        <f t="shared" si="198"/>
        <v>34.280220289006756</v>
      </c>
      <c r="AL584" s="142">
        <f t="shared" si="198"/>
        <v>33.794576482713097</v>
      </c>
      <c r="AM584" s="142">
        <f t="shared" si="198"/>
        <v>33.327242064014044</v>
      </c>
      <c r="AN584" s="142">
        <f t="shared" si="198"/>
        <v>32.876928842549013</v>
      </c>
      <c r="AO584" s="142">
        <f t="shared" si="198"/>
        <v>32.442478538689812</v>
      </c>
      <c r="AP584" s="142">
        <f t="shared" si="198"/>
        <v>32.022845973452952</v>
      </c>
      <c r="AQ584" s="142">
        <f t="shared" si="198"/>
        <v>31.617084883972669</v>
      </c>
    </row>
    <row r="585" spans="7:44" ht="14.1" hidden="1" customHeight="1" x14ac:dyDescent="0.25">
      <c r="G585" s="106"/>
      <c r="H585" s="219"/>
      <c r="J585" s="210"/>
      <c r="K585" s="7" t="s">
        <v>102</v>
      </c>
      <c r="L585" s="140">
        <f t="shared" ref="L585:AQ585" si="199" xml:space="preserve"> ((L86 * L630 * $N$43 * (L319 * 1 + L496) +L406) * 1000 / (L100 * 8760)) + L450 + 0</f>
        <v>81.235447219753553</v>
      </c>
      <c r="M585" s="140">
        <f t="shared" si="199"/>
        <v>74.882873477257405</v>
      </c>
      <c r="N585" s="140">
        <f t="shared" si="199"/>
        <v>70.352464814795695</v>
      </c>
      <c r="O585" s="140">
        <f t="shared" si="199"/>
        <v>66.799851431759024</v>
      </c>
      <c r="P585" s="140">
        <f t="shared" si="199"/>
        <v>63.856312303146993</v>
      </c>
      <c r="Q585" s="140">
        <f t="shared" si="199"/>
        <v>61.32805415936582</v>
      </c>
      <c r="R585" s="140">
        <f t="shared" si="199"/>
        <v>59.100763815442946</v>
      </c>
      <c r="S585" s="140">
        <f t="shared" si="199"/>
        <v>57.101432141364164</v>
      </c>
      <c r="T585" s="140">
        <f t="shared" si="199"/>
        <v>55.280628994243663</v>
      </c>
      <c r="U585" s="140">
        <f t="shared" si="199"/>
        <v>53.603357232357453</v>
      </c>
      <c r="V585" s="140">
        <f t="shared" si="199"/>
        <v>52.043944696439226</v>
      </c>
      <c r="W585" s="140">
        <f t="shared" si="199"/>
        <v>50.583009564149798</v>
      </c>
      <c r="X585" s="140">
        <f t="shared" si="199"/>
        <v>49.631897830967738</v>
      </c>
      <c r="Y585" s="140">
        <f t="shared" si="199"/>
        <v>48.750545617756678</v>
      </c>
      <c r="Z585" s="140">
        <f t="shared" si="199"/>
        <v>47.929660519921001</v>
      </c>
      <c r="AA585" s="140">
        <f t="shared" si="199"/>
        <v>47.161676598502048</v>
      </c>
      <c r="AB585" s="140">
        <f t="shared" si="199"/>
        <v>46.440353187633434</v>
      </c>
      <c r="AC585" s="140">
        <f t="shared" si="199"/>
        <v>45.760483603312153</v>
      </c>
      <c r="AD585" s="140">
        <f t="shared" si="199"/>
        <v>45.117679547630864</v>
      </c>
      <c r="AE585" s="140">
        <f t="shared" si="199"/>
        <v>44.508208800689957</v>
      </c>
      <c r="AF585" s="140">
        <f t="shared" si="199"/>
        <v>43.928871160788447</v>
      </c>
      <c r="AG585" s="140">
        <f t="shared" si="199"/>
        <v>43.376902318642323</v>
      </c>
      <c r="AH585" s="140">
        <f t="shared" si="199"/>
        <v>42.849898453799142</v>
      </c>
      <c r="AI585" s="140">
        <f t="shared" si="199"/>
        <v>42.345756421971224</v>
      </c>
      <c r="AJ585" s="140">
        <f t="shared" si="199"/>
        <v>41.862625824201714</v>
      </c>
      <c r="AK585" s="140">
        <f t="shared" si="199"/>
        <v>41.398870237948607</v>
      </c>
      <c r="AL585" s="140">
        <f t="shared" si="199"/>
        <v>40.953035589133087</v>
      </c>
      <c r="AM585" s="140">
        <f t="shared" si="199"/>
        <v>40.523824145299386</v>
      </c>
      <c r="AN585" s="140">
        <f t="shared" si="199"/>
        <v>40.110072974097768</v>
      </c>
      <c r="AO585" s="140">
        <f t="shared" si="199"/>
        <v>39.710735979074194</v>
      </c>
      <c r="AP585" s="140">
        <f t="shared" si="199"/>
        <v>39.324868823947725</v>
      </c>
      <c r="AQ585" s="140">
        <f t="shared" si="199"/>
        <v>38.951616206313737</v>
      </c>
    </row>
    <row r="586" spans="7:44" ht="14.1" hidden="1" customHeight="1" thickBot="1" x14ac:dyDescent="0.3">
      <c r="G586" s="106"/>
      <c r="H586" s="219"/>
      <c r="J586" s="210"/>
      <c r="K586" s="121" t="s">
        <v>103</v>
      </c>
      <c r="L586" s="141">
        <f t="shared" ref="L586:AQ586" si="200" xml:space="preserve"> ((L87 * L631 * $N$43 * (L320 * 1 + L497) +L407) * 1000 / (L101 * 8760)) + L451 + 0</f>
        <v>87.054842082946152</v>
      </c>
      <c r="M586" s="141">
        <f t="shared" si="200"/>
        <v>82.830224245451177</v>
      </c>
      <c r="N586" s="141">
        <f t="shared" si="200"/>
        <v>79.76650661411071</v>
      </c>
      <c r="O586" s="141">
        <f t="shared" si="200"/>
        <v>77.331596661619486</v>
      </c>
      <c r="P586" s="141">
        <f t="shared" si="200"/>
        <v>75.291106350975738</v>
      </c>
      <c r="Q586" s="141">
        <f t="shared" si="200"/>
        <v>73.521029464351656</v>
      </c>
      <c r="R586" s="141">
        <f t="shared" si="200"/>
        <v>71.94782701345369</v>
      </c>
      <c r="S586" s="141">
        <f t="shared" si="200"/>
        <v>70.524320669692472</v>
      </c>
      <c r="T586" s="141">
        <f t="shared" si="200"/>
        <v>69.218445459052745</v>
      </c>
      <c r="U586" s="141">
        <f t="shared" si="200"/>
        <v>68.007422133834098</v>
      </c>
      <c r="V586" s="141">
        <f t="shared" si="200"/>
        <v>66.87449066757604</v>
      </c>
      <c r="W586" s="141">
        <f t="shared" si="200"/>
        <v>65.806963413722528</v>
      </c>
      <c r="X586" s="141">
        <f t="shared" si="200"/>
        <v>65.147929257423712</v>
      </c>
      <c r="Y586" s="141">
        <f t="shared" si="200"/>
        <v>64.535898199373221</v>
      </c>
      <c r="Z586" s="141">
        <f t="shared" si="200"/>
        <v>63.964696791899904</v>
      </c>
      <c r="AA586" s="141">
        <f t="shared" si="200"/>
        <v>63.429287995431039</v>
      </c>
      <c r="AB586" s="141">
        <f t="shared" si="200"/>
        <v>62.925508894914998</v>
      </c>
      <c r="AC586" s="141">
        <f t="shared" si="200"/>
        <v>62.44987988310033</v>
      </c>
      <c r="AD586" s="141">
        <f t="shared" si="200"/>
        <v>61.99946316376321</v>
      </c>
      <c r="AE586" s="141">
        <f t="shared" si="200"/>
        <v>61.571756038921322</v>
      </c>
      <c r="AF586" s="141">
        <f t="shared" si="200"/>
        <v>61.164609206343087</v>
      </c>
      <c r="AG586" s="141">
        <f t="shared" si="200"/>
        <v>60.776163352982628</v>
      </c>
      <c r="AH586" s="141">
        <f t="shared" si="200"/>
        <v>60.404799342005852</v>
      </c>
      <c r="AI586" s="141">
        <f t="shared" si="200"/>
        <v>60.049098642526786</v>
      </c>
      <c r="AJ586" s="141">
        <f t="shared" si="200"/>
        <v>59.707811576371093</v>
      </c>
      <c r="AK586" s="141">
        <f t="shared" si="200"/>
        <v>59.379831600606387</v>
      </c>
      <c r="AL586" s="141">
        <f t="shared" si="200"/>
        <v>59.064174300560502</v>
      </c>
      <c r="AM586" s="141">
        <f t="shared" si="200"/>
        <v>58.759960095382077</v>
      </c>
      <c r="AN586" s="141">
        <f t="shared" si="200"/>
        <v>58.466399896314449</v>
      </c>
      <c r="AO586" s="141">
        <f t="shared" si="200"/>
        <v>58.182783133200381</v>
      </c>
      <c r="AP586" s="141">
        <f t="shared" si="200"/>
        <v>57.908467695331247</v>
      </c>
      <c r="AQ586" s="141">
        <f t="shared" si="200"/>
        <v>57.642871431044405</v>
      </c>
    </row>
    <row r="587" spans="7:44" ht="14.1" hidden="1" customHeight="1" thickTop="1" x14ac:dyDescent="0.25">
      <c r="G587" s="106"/>
      <c r="H587" s="219"/>
      <c r="J587" s="210"/>
      <c r="K587" s="119" t="s">
        <v>104</v>
      </c>
      <c r="L587" s="142">
        <f t="shared" ref="L587:AQ587" si="201" xml:space="preserve"> ((L85 * L629 * $N$43 * (L321 * 1 + L498) +L408) * 1000 / (L102 * 8760)) + L452 + 0</f>
        <v>80.429321538165439</v>
      </c>
      <c r="M587" s="142">
        <f t="shared" si="201"/>
        <v>73.112595759739008</v>
      </c>
      <c r="N587" s="142">
        <f t="shared" si="201"/>
        <v>67.929029006863956</v>
      </c>
      <c r="O587" s="142">
        <f t="shared" si="201"/>
        <v>63.885955866493113</v>
      </c>
      <c r="P587" s="142">
        <f t="shared" si="201"/>
        <v>60.551350738314959</v>
      </c>
      <c r="Q587" s="142">
        <f t="shared" si="201"/>
        <v>57.698731221350691</v>
      </c>
      <c r="R587" s="142">
        <f t="shared" si="201"/>
        <v>55.194780704798553</v>
      </c>
      <c r="S587" s="142">
        <f t="shared" si="201"/>
        <v>52.954503121017794</v>
      </c>
      <c r="T587" s="142">
        <f t="shared" si="201"/>
        <v>50.920440474674081</v>
      </c>
      <c r="U587" s="142">
        <f t="shared" si="201"/>
        <v>49.051966491697527</v>
      </c>
      <c r="V587" s="142">
        <f t="shared" si="201"/>
        <v>47.319315549105909</v>
      </c>
      <c r="W587" s="142">
        <f t="shared" si="201"/>
        <v>45.70003973599745</v>
      </c>
      <c r="X587" s="142">
        <f t="shared" si="201"/>
        <v>44.621452323866194</v>
      </c>
      <c r="Y587" s="142">
        <f t="shared" si="201"/>
        <v>43.622845077474388</v>
      </c>
      <c r="Z587" s="142">
        <f t="shared" si="201"/>
        <v>42.693505222190886</v>
      </c>
      <c r="AA587" s="142">
        <f t="shared" si="201"/>
        <v>41.824717555445325</v>
      </c>
      <c r="AB587" s="142">
        <f t="shared" si="201"/>
        <v>41.009299021547065</v>
      </c>
      <c r="AC587" s="142">
        <f t="shared" si="201"/>
        <v>40.241261048201885</v>
      </c>
      <c r="AD587" s="142">
        <f t="shared" si="201"/>
        <v>39.515559812783557</v>
      </c>
      <c r="AE587" s="142">
        <f t="shared" si="201"/>
        <v>38.827908364450934</v>
      </c>
      <c r="AF587" s="142">
        <f t="shared" si="201"/>
        <v>38.174633114401928</v>
      </c>
      <c r="AG587" s="142">
        <f t="shared" si="201"/>
        <v>37.552562708882569</v>
      </c>
      <c r="AH587" s="142">
        <f t="shared" si="201"/>
        <v>36.958940909918532</v>
      </c>
      <c r="AI587" s="142">
        <f t="shared" si="201"/>
        <v>36.391357528427861</v>
      </c>
      <c r="AJ587" s="142">
        <f t="shared" si="201"/>
        <v>35.847693107416376</v>
      </c>
      <c r="AK587" s="142">
        <f t="shared" si="201"/>
        <v>35.326074202050279</v>
      </c>
      <c r="AL587" s="142">
        <f t="shared" si="201"/>
        <v>34.824836914927189</v>
      </c>
      <c r="AM587" s="142">
        <f t="shared" si="201"/>
        <v>34.342496926373933</v>
      </c>
      <c r="AN587" s="142">
        <f t="shared" si="201"/>
        <v>33.877724681871406</v>
      </c>
      <c r="AO587" s="142">
        <f t="shared" si="201"/>
        <v>33.429324709144701</v>
      </c>
      <c r="AP587" s="142">
        <f t="shared" si="201"/>
        <v>32.99621826828924</v>
      </c>
      <c r="AQ587" s="142">
        <f t="shared" si="201"/>
        <v>32.577428711767261</v>
      </c>
    </row>
    <row r="588" spans="7:44" ht="14.1" hidden="1" customHeight="1" x14ac:dyDescent="0.25">
      <c r="G588" s="106"/>
      <c r="H588" s="219"/>
      <c r="J588" s="210"/>
      <c r="K588" s="7" t="s">
        <v>105</v>
      </c>
      <c r="L588" s="140">
        <f t="shared" ref="L588:AQ588" si="202" xml:space="preserve"> ((L86 * L630 * $N$43 * (L322 * 1 + L499) +L409) * 1000 / (L103 * 8760)) + L453 + 0</f>
        <v>83.845527658026384</v>
      </c>
      <c r="M588" s="140">
        <f t="shared" si="202"/>
        <v>77.283172441898742</v>
      </c>
      <c r="N588" s="140">
        <f t="shared" si="202"/>
        <v>72.601848753940033</v>
      </c>
      <c r="O588" s="140">
        <f t="shared" si="202"/>
        <v>68.92991896921815</v>
      </c>
      <c r="P588" s="140">
        <f t="shared" si="202"/>
        <v>65.886752665783519</v>
      </c>
      <c r="Q588" s="140">
        <f t="shared" si="202"/>
        <v>63.2722961602203</v>
      </c>
      <c r="R588" s="140">
        <f t="shared" si="202"/>
        <v>60.968542816486988</v>
      </c>
      <c r="S588" s="140">
        <f t="shared" si="202"/>
        <v>58.900124197961134</v>
      </c>
      <c r="T588" s="140">
        <f t="shared" si="202"/>
        <v>57.016012554829224</v>
      </c>
      <c r="U588" s="140">
        <f t="shared" si="202"/>
        <v>55.280079436309435</v>
      </c>
      <c r="V588" s="140">
        <f t="shared" si="202"/>
        <v>53.665822676588391</v>
      </c>
      <c r="W588" s="140">
        <f t="shared" si="202"/>
        <v>52.1532337182445</v>
      </c>
      <c r="X588" s="140">
        <f t="shared" si="202"/>
        <v>51.171568789928251</v>
      </c>
      <c r="Y588" s="140">
        <f t="shared" si="202"/>
        <v>50.261904313065344</v>
      </c>
      <c r="Z588" s="140">
        <f t="shared" si="202"/>
        <v>49.414649376963638</v>
      </c>
      <c r="AA588" s="140">
        <f t="shared" si="202"/>
        <v>48.621994996972447</v>
      </c>
      <c r="AB588" s="140">
        <f t="shared" si="202"/>
        <v>47.8775000341628</v>
      </c>
      <c r="AC588" s="140">
        <f t="shared" si="202"/>
        <v>47.175790546756652</v>
      </c>
      <c r="AD588" s="140">
        <f t="shared" si="202"/>
        <v>46.512337268632706</v>
      </c>
      <c r="AE588" s="140">
        <f t="shared" si="202"/>
        <v>45.883288087307889</v>
      </c>
      <c r="AF588" s="140">
        <f t="shared" si="202"/>
        <v>45.285339998872331</v>
      </c>
      <c r="AG588" s="140">
        <f t="shared" si="202"/>
        <v>44.7156398942954</v>
      </c>
      <c r="AH588" s="140">
        <f t="shared" si="202"/>
        <v>44.171706733600537</v>
      </c>
      <c r="AI588" s="140">
        <f t="shared" si="202"/>
        <v>43.651369811796599</v>
      </c>
      <c r="AJ588" s="140">
        <f t="shared" si="202"/>
        <v>43.152719288329635</v>
      </c>
      <c r="AK588" s="140">
        <f t="shared" si="202"/>
        <v>42.674066172767354</v>
      </c>
      <c r="AL588" s="140">
        <f t="shared" si="202"/>
        <v>42.213909680841702</v>
      </c>
      <c r="AM588" s="140">
        <f t="shared" si="202"/>
        <v>41.770910392173604</v>
      </c>
      <c r="AN588" s="140">
        <f t="shared" si="202"/>
        <v>41.343868016763579</v>
      </c>
      <c r="AO588" s="140">
        <f t="shared" si="202"/>
        <v>40.93170285370509</v>
      </c>
      <c r="AP588" s="140">
        <f t="shared" si="202"/>
        <v>40.533440231174346</v>
      </c>
      <c r="AQ588" s="140">
        <f t="shared" si="202"/>
        <v>40.148197371318489</v>
      </c>
    </row>
    <row r="589" spans="7:44" ht="14.1" hidden="1" customHeight="1" thickBot="1" x14ac:dyDescent="0.3">
      <c r="G589" s="106"/>
      <c r="H589" s="219"/>
      <c r="J589" s="210"/>
      <c r="K589" s="121" t="s">
        <v>106</v>
      </c>
      <c r="L589" s="141">
        <f t="shared" ref="L589:AQ589" si="203" xml:space="preserve"> ((L87 * L631 * $N$43 * (L323 * 1 + L500) +L410) * 1000 / (L104 * 8760)) + L454 + 0</f>
        <v>89.852636648718899</v>
      </c>
      <c r="M589" s="141">
        <f t="shared" si="203"/>
        <v>85.487790691356281</v>
      </c>
      <c r="N589" s="141">
        <f t="shared" si="203"/>
        <v>82.321333722931499</v>
      </c>
      <c r="O589" s="141">
        <f t="shared" si="203"/>
        <v>79.803994615118754</v>
      </c>
      <c r="P589" s="141">
        <f t="shared" si="203"/>
        <v>77.693817288060359</v>
      </c>
      <c r="Q589" s="141">
        <f t="shared" si="203"/>
        <v>75.862791120991858</v>
      </c>
      <c r="R589" s="141">
        <f t="shared" si="203"/>
        <v>74.235002159588802</v>
      </c>
      <c r="S589" s="141">
        <f t="shared" si="203"/>
        <v>72.761748277671799</v>
      </c>
      <c r="T589" s="141">
        <f t="shared" si="203"/>
        <v>71.409928738498309</v>
      </c>
      <c r="U589" s="141">
        <f t="shared" si="203"/>
        <v>70.156028403908877</v>
      </c>
      <c r="V589" s="141">
        <f t="shared" si="203"/>
        <v>68.982745754616047</v>
      </c>
      <c r="W589" s="141">
        <f t="shared" si="203"/>
        <v>67.876983182509775</v>
      </c>
      <c r="X589" s="141">
        <f t="shared" si="203"/>
        <v>67.196739314220636</v>
      </c>
      <c r="Y589" s="141">
        <f t="shared" si="203"/>
        <v>66.565011181321026</v>
      </c>
      <c r="Z589" s="141">
        <f t="shared" si="203"/>
        <v>65.975426668839944</v>
      </c>
      <c r="AA589" s="141">
        <f t="shared" si="203"/>
        <v>65.422786640025748</v>
      </c>
      <c r="AB589" s="141">
        <f t="shared" si="203"/>
        <v>64.902794212462339</v>
      </c>
      <c r="AC589" s="141">
        <f t="shared" si="203"/>
        <v>64.411857800829551</v>
      </c>
      <c r="AD589" s="141">
        <f t="shared" si="203"/>
        <v>63.946945066722876</v>
      </c>
      <c r="AE589" s="141">
        <f t="shared" si="203"/>
        <v>63.505472771808307</v>
      </c>
      <c r="AF589" s="141">
        <f t="shared" si="203"/>
        <v>63.085222446106158</v>
      </c>
      <c r="AG589" s="141">
        <f t="shared" si="203"/>
        <v>62.684274940967065</v>
      </c>
      <c r="AH589" s="141">
        <f t="shared" si="203"/>
        <v>62.300959013084316</v>
      </c>
      <c r="AI589" s="141">
        <f t="shared" si="203"/>
        <v>61.933810480830779</v>
      </c>
      <c r="AJ589" s="141">
        <f t="shared" si="203"/>
        <v>61.581539449177903</v>
      </c>
      <c r="AK589" s="141">
        <f t="shared" si="203"/>
        <v>61.243003764615842</v>
      </c>
      <c r="AL589" s="141">
        <f t="shared" si="203"/>
        <v>60.917187332147506</v>
      </c>
      <c r="AM589" s="141">
        <f t="shared" si="203"/>
        <v>60.603182264297089</v>
      </c>
      <c r="AN589" s="141">
        <f t="shared" si="203"/>
        <v>60.300174077851963</v>
      </c>
      <c r="AO589" s="141">
        <f t="shared" si="203"/>
        <v>60.007429335047199</v>
      </c>
      <c r="AP589" s="141">
        <f t="shared" si="203"/>
        <v>59.724285260699588</v>
      </c>
      <c r="AQ589" s="141">
        <f t="shared" si="203"/>
        <v>59.450140968251688</v>
      </c>
    </row>
    <row r="590" spans="7:44" ht="14.1" hidden="1" customHeight="1" thickTop="1" x14ac:dyDescent="0.25">
      <c r="G590" s="106"/>
      <c r="H590" s="219"/>
      <c r="J590" s="210"/>
      <c r="K590" s="119" t="s">
        <v>107</v>
      </c>
      <c r="L590" s="142">
        <f t="shared" ref="L590:AQ590" si="204" xml:space="preserve"> ((L85 *L629* $N$43 * (L324 * 1 + L501) +L411) * 1000 / (L105 * 8760)) + L455 + 0</f>
        <v>85.120077333316956</v>
      </c>
      <c r="M590" s="142">
        <f t="shared" si="204"/>
        <v>77.372100704082172</v>
      </c>
      <c r="N590" s="142">
        <f t="shared" si="204"/>
        <v>71.881986057618207</v>
      </c>
      <c r="O590" s="142">
        <f t="shared" si="204"/>
        <v>67.599046989885878</v>
      </c>
      <c r="P590" s="142">
        <f t="shared" si="204"/>
        <v>64.066004230011956</v>
      </c>
      <c r="Q590" s="142">
        <f t="shared" si="204"/>
        <v>61.043135570952693</v>
      </c>
      <c r="R590" s="142">
        <f t="shared" si="204"/>
        <v>58.389330350797195</v>
      </c>
      <c r="S590" s="142">
        <f t="shared" si="204"/>
        <v>56.014623038916184</v>
      </c>
      <c r="T590" s="142">
        <f t="shared" si="204"/>
        <v>53.858196000902062</v>
      </c>
      <c r="U590" s="142">
        <f t="shared" si="204"/>
        <v>51.877047322876187</v>
      </c>
      <c r="V590" s="142">
        <f t="shared" si="204"/>
        <v>50.039670697755483</v>
      </c>
      <c r="W590" s="142">
        <f t="shared" si="204"/>
        <v>48.322305373269074</v>
      </c>
      <c r="X590" s="142">
        <f t="shared" si="204"/>
        <v>47.180824896014144</v>
      </c>
      <c r="Y590" s="142">
        <f t="shared" si="204"/>
        <v>46.123988329934612</v>
      </c>
      <c r="Z590" s="142">
        <f t="shared" si="204"/>
        <v>45.140458221093532</v>
      </c>
      <c r="AA590" s="142">
        <f t="shared" si="204"/>
        <v>44.221011169757908</v>
      </c>
      <c r="AB590" s="142">
        <f t="shared" si="204"/>
        <v>43.358045265327661</v>
      </c>
      <c r="AC590" s="142">
        <f t="shared" si="204"/>
        <v>42.545222733024978</v>
      </c>
      <c r="AD590" s="142">
        <f t="shared" si="204"/>
        <v>41.777205637709351</v>
      </c>
      <c r="AE590" s="142">
        <f t="shared" si="204"/>
        <v>41.049457050480633</v>
      </c>
      <c r="AF590" s="142">
        <f t="shared" si="204"/>
        <v>40.358089170615273</v>
      </c>
      <c r="AG590" s="142">
        <f t="shared" si="204"/>
        <v>39.699745718560067</v>
      </c>
      <c r="AH590" s="142">
        <f t="shared" si="204"/>
        <v>39.071509736585682</v>
      </c>
      <c r="AI590" s="142">
        <f t="shared" si="204"/>
        <v>38.470830494489725</v>
      </c>
      <c r="AJ590" s="142">
        <f t="shared" si="204"/>
        <v>37.895464947175938</v>
      </c>
      <c r="AK590" s="142">
        <f t="shared" si="204"/>
        <v>37.343430407033509</v>
      </c>
      <c r="AL590" s="142">
        <f t="shared" si="204"/>
        <v>36.812965952890643</v>
      </c>
      <c r="AM590" s="142">
        <f t="shared" si="204"/>
        <v>36.302500712731117</v>
      </c>
      <c r="AN590" s="142">
        <f t="shared" si="204"/>
        <v>35.810627604259132</v>
      </c>
      <c r="AO590" s="142">
        <f t="shared" si="204"/>
        <v>35.33608144593714</v>
      </c>
      <c r="AP590" s="142">
        <f t="shared" si="204"/>
        <v>34.877720595414644</v>
      </c>
      <c r="AQ590" s="142">
        <f t="shared" si="204"/>
        <v>34.434511455844422</v>
      </c>
    </row>
    <row r="591" spans="7:44" ht="14.1" hidden="1" customHeight="1" x14ac:dyDescent="0.25">
      <c r="G591" s="106"/>
      <c r="H591" s="219"/>
      <c r="J591" s="210"/>
      <c r="K591" s="7" t="s">
        <v>108</v>
      </c>
      <c r="L591" s="140">
        <f t="shared" ref="L591:AQ591" si="205" xml:space="preserve"> ((L86 *L630* $N$43 * (L325 * 1 + L502) +L412) * 1000 / (L106 * 8760)) + L456 + 0</f>
        <v>88.735882119114862</v>
      </c>
      <c r="M591" s="140">
        <f t="shared" si="205"/>
        <v>81.786374608442543</v>
      </c>
      <c r="N591" s="140">
        <f t="shared" si="205"/>
        <v>76.827859712670687</v>
      </c>
      <c r="O591" s="140">
        <f t="shared" si="205"/>
        <v>72.937753631306848</v>
      </c>
      <c r="P591" s="140">
        <f t="shared" si="205"/>
        <v>69.713176976035101</v>
      </c>
      <c r="Q591" s="140">
        <f t="shared" si="205"/>
        <v>66.94238152832628</v>
      </c>
      <c r="R591" s="140">
        <f t="shared" si="205"/>
        <v>64.500461867716851</v>
      </c>
      <c r="S591" s="140">
        <f t="shared" si="205"/>
        <v>62.307643144740062</v>
      </c>
      <c r="T591" s="140">
        <f t="shared" si="205"/>
        <v>60.309914072115717</v>
      </c>
      <c r="U591" s="140">
        <f t="shared" si="205"/>
        <v>58.469033664994605</v>
      </c>
      <c r="V591" s="140">
        <f t="shared" si="205"/>
        <v>56.75694999567132</v>
      </c>
      <c r="W591" s="140">
        <f t="shared" si="205"/>
        <v>55.152484391699915</v>
      </c>
      <c r="X591" s="140">
        <f t="shared" si="205"/>
        <v>54.11356764453506</v>
      </c>
      <c r="Y591" s="140">
        <f t="shared" si="205"/>
        <v>53.150850497315822</v>
      </c>
      <c r="Z591" s="140">
        <f t="shared" si="205"/>
        <v>52.254182686493756</v>
      </c>
      <c r="AA591" s="140">
        <f t="shared" si="205"/>
        <v>51.415299798522113</v>
      </c>
      <c r="AB591" s="140">
        <f t="shared" si="205"/>
        <v>50.627385039899288</v>
      </c>
      <c r="AC591" s="140">
        <f t="shared" si="205"/>
        <v>49.884751054430211</v>
      </c>
      <c r="AD591" s="140">
        <f t="shared" si="205"/>
        <v>49.182604424024866</v>
      </c>
      <c r="AE591" s="140">
        <f t="shared" si="205"/>
        <v>48.516868376604251</v>
      </c>
      <c r="AF591" s="140">
        <f t="shared" si="205"/>
        <v>47.88404727330132</v>
      </c>
      <c r="AG591" s="140">
        <f t="shared" si="205"/>
        <v>47.28112160851088</v>
      </c>
      <c r="AH591" s="140">
        <f t="shared" si="205"/>
        <v>46.705465645173724</v>
      </c>
      <c r="AI591" s="140">
        <f t="shared" si="205"/>
        <v>46.154782080306489</v>
      </c>
      <c r="AJ591" s="140">
        <f t="shared" si="205"/>
        <v>45.627049689274763</v>
      </c>
      <c r="AK591" s="140">
        <f t="shared" si="205"/>
        <v>45.120480977796795</v>
      </c>
      <c r="AL591" s="140">
        <f t="shared" si="205"/>
        <v>44.633487634153411</v>
      </c>
      <c r="AM591" s="140">
        <f t="shared" si="205"/>
        <v>44.164652121440525</v>
      </c>
      <c r="AN591" s="140">
        <f t="shared" si="205"/>
        <v>43.712704147376208</v>
      </c>
      <c r="AO591" s="140">
        <f t="shared" si="205"/>
        <v>43.276501041664915</v>
      </c>
      <c r="AP591" s="140">
        <f t="shared" si="205"/>
        <v>42.855011288509886</v>
      </c>
      <c r="AQ591" s="140">
        <f t="shared" si="205"/>
        <v>42.447300625446466</v>
      </c>
    </row>
    <row r="592" spans="7:44" ht="14.1" hidden="1" customHeight="1" thickBot="1" x14ac:dyDescent="0.3">
      <c r="G592" s="106"/>
      <c r="H592" s="219"/>
      <c r="J592" s="210"/>
      <c r="K592" s="121" t="s">
        <v>109</v>
      </c>
      <c r="L592" s="141">
        <f t="shared" ref="L592:AQ592" si="206" xml:space="preserve"> ((L87 *L631* $N$43 * (L326 * 1 + L503) +L413) * 1000 / (L107 * 8760)) + L457 + 0</f>
        <v>95.093932319112341</v>
      </c>
      <c r="M592" s="141">
        <f t="shared" si="206"/>
        <v>90.471021969607676</v>
      </c>
      <c r="N592" s="141">
        <f t="shared" si="206"/>
        <v>87.116544251779871</v>
      </c>
      <c r="O592" s="141">
        <f t="shared" si="206"/>
        <v>84.449127389238484</v>
      </c>
      <c r="P592" s="141">
        <f t="shared" si="206"/>
        <v>82.212674199627514</v>
      </c>
      <c r="Q592" s="141">
        <f t="shared" si="206"/>
        <v>80.271692162480335</v>
      </c>
      <c r="R592" s="141">
        <f t="shared" si="206"/>
        <v>78.545830150692794</v>
      </c>
      <c r="S592" s="141">
        <f t="shared" si="206"/>
        <v>76.983539275139805</v>
      </c>
      <c r="T592" s="141">
        <f t="shared" si="206"/>
        <v>75.549783894439543</v>
      </c>
      <c r="U592" s="141">
        <f t="shared" si="206"/>
        <v>74.219674233960987</v>
      </c>
      <c r="V592" s="141">
        <f t="shared" si="206"/>
        <v>72.974897327929256</v>
      </c>
      <c r="W592" s="141">
        <f t="shared" si="206"/>
        <v>71.801589850093009</v>
      </c>
      <c r="X592" s="141">
        <f t="shared" si="206"/>
        <v>71.081643063883249</v>
      </c>
      <c r="Y592" s="141">
        <f t="shared" si="206"/>
        <v>70.413043618380939</v>
      </c>
      <c r="Z592" s="141">
        <f t="shared" si="206"/>
        <v>69.789047495594104</v>
      </c>
      <c r="AA592" s="141">
        <f t="shared" si="206"/>
        <v>69.204152115190325</v>
      </c>
      <c r="AB592" s="141">
        <f t="shared" si="206"/>
        <v>68.653809810218902</v>
      </c>
      <c r="AC592" s="141">
        <f t="shared" si="206"/>
        <v>68.134219374740411</v>
      </c>
      <c r="AD592" s="141">
        <f t="shared" si="206"/>
        <v>67.642171489623024</v>
      </c>
      <c r="AE592" s="141">
        <f t="shared" si="206"/>
        <v>67.174932147116166</v>
      </c>
      <c r="AF592" s="141">
        <f t="shared" si="206"/>
        <v>66.730153397214693</v>
      </c>
      <c r="AG592" s="141">
        <f t="shared" si="206"/>
        <v>66.305804080893566</v>
      </c>
      <c r="AH592" s="141">
        <f t="shared" si="206"/>
        <v>65.900115413281327</v>
      </c>
      <c r="AI592" s="141">
        <f t="shared" si="206"/>
        <v>65.51153775619818</v>
      </c>
      <c r="AJ592" s="141">
        <f t="shared" si="206"/>
        <v>65.138705930188877</v>
      </c>
      <c r="AK592" s="141">
        <f t="shared" si="206"/>
        <v>64.780411120163521</v>
      </c>
      <c r="AL592" s="141">
        <f t="shared" si="206"/>
        <v>64.435577926881635</v>
      </c>
      <c r="AM592" s="141">
        <f t="shared" si="206"/>
        <v>64.103245474102124</v>
      </c>
      <c r="AN592" s="141">
        <f t="shared" si="206"/>
        <v>63.782551741344449</v>
      </c>
      <c r="AO592" s="141">
        <f t="shared" si="206"/>
        <v>63.472720483759822</v>
      </c>
      <c r="AP592" s="141">
        <f t="shared" si="206"/>
        <v>63.17305024327635</v>
      </c>
      <c r="AQ592" s="141">
        <f t="shared" si="206"/>
        <v>62.882905062556802</v>
      </c>
    </row>
    <row r="593" spans="7:43" ht="14.1" hidden="1" customHeight="1" thickTop="1" x14ac:dyDescent="0.25">
      <c r="G593" s="106"/>
      <c r="H593" s="219"/>
      <c r="J593" s="210"/>
      <c r="K593" s="119" t="s">
        <v>110</v>
      </c>
      <c r="L593" s="142">
        <f t="shared" ref="L593:AQ593" si="207" xml:space="preserve"> ((L85 * L629 * $N$43 * (L327 * 1 + L504) +L414) * 1000 / (L108 * 8760)) + L458 + 0</f>
        <v>98.186919170001943</v>
      </c>
      <c r="M593" s="142">
        <f t="shared" si="207"/>
        <v>89.247777635061027</v>
      </c>
      <c r="N593" s="142">
        <f t="shared" si="207"/>
        <v>82.913218790221435</v>
      </c>
      <c r="O593" s="142">
        <f t="shared" si="207"/>
        <v>77.971214951368466</v>
      </c>
      <c r="P593" s="142">
        <f t="shared" si="207"/>
        <v>73.894267223450257</v>
      </c>
      <c r="Q593" s="142">
        <f t="shared" si="207"/>
        <v>70.40584136969315</v>
      </c>
      <c r="R593" s="142">
        <f t="shared" si="207"/>
        <v>67.343157382767373</v>
      </c>
      <c r="S593" s="142">
        <f t="shared" si="207"/>
        <v>64.602434233827083</v>
      </c>
      <c r="T593" s="142">
        <f t="shared" si="207"/>
        <v>62.113514772800777</v>
      </c>
      <c r="U593" s="142">
        <f t="shared" si="207"/>
        <v>59.826793390436841</v>
      </c>
      <c r="V593" s="142">
        <f t="shared" si="207"/>
        <v>57.70592538650596</v>
      </c>
      <c r="W593" s="142">
        <f t="shared" si="207"/>
        <v>55.723501055992983</v>
      </c>
      <c r="X593" s="142">
        <f t="shared" si="207"/>
        <v>54.406795701919343</v>
      </c>
      <c r="Y593" s="142">
        <f t="shared" si="207"/>
        <v>53.187727686171911</v>
      </c>
      <c r="Z593" s="142">
        <f t="shared" si="207"/>
        <v>52.053219175571577</v>
      </c>
      <c r="AA593" s="142">
        <f t="shared" si="207"/>
        <v>50.992630913575375</v>
      </c>
      <c r="AB593" s="142">
        <f t="shared" si="207"/>
        <v>49.997194042914153</v>
      </c>
      <c r="AC593" s="142">
        <f t="shared" si="207"/>
        <v>49.059597895978186</v>
      </c>
      <c r="AD593" s="142">
        <f t="shared" si="207"/>
        <v>48.173685127271256</v>
      </c>
      <c r="AE593" s="142">
        <f t="shared" si="207"/>
        <v>47.334222357664146</v>
      </c>
      <c r="AF593" s="142">
        <f t="shared" si="207"/>
        <v>46.536724981963125</v>
      </c>
      <c r="AG593" s="142">
        <f t="shared" si="207"/>
        <v>45.777321508390337</v>
      </c>
      <c r="AH593" s="142">
        <f t="shared" si="207"/>
        <v>45.052647205981621</v>
      </c>
      <c r="AI593" s="142">
        <f t="shared" si="207"/>
        <v>44.359759789796257</v>
      </c>
      <c r="AJ593" s="142">
        <f t="shared" si="207"/>
        <v>43.696071891819656</v>
      </c>
      <c r="AK593" s="142">
        <f t="shared" si="207"/>
        <v>43.059296468218179</v>
      </c>
      <c r="AL593" s="142">
        <f t="shared" si="207"/>
        <v>42.447402284294505</v>
      </c>
      <c r="AM593" s="142">
        <f t="shared" si="207"/>
        <v>41.858577328377628</v>
      </c>
      <c r="AN593" s="142">
        <f t="shared" si="207"/>
        <v>41.291198521379528</v>
      </c>
      <c r="AO593" s="142">
        <f t="shared" si="207"/>
        <v>40.74380646772341</v>
      </c>
      <c r="AP593" s="142">
        <f t="shared" si="207"/>
        <v>40.215084275142544</v>
      </c>
      <c r="AQ593" s="142">
        <f t="shared" si="207"/>
        <v>39.703839682607331</v>
      </c>
    </row>
    <row r="594" spans="7:43" ht="14.1" hidden="1" customHeight="1" x14ac:dyDescent="0.25">
      <c r="G594" s="106"/>
      <c r="H594" s="219"/>
      <c r="J594" s="210"/>
      <c r="K594" s="7" t="s">
        <v>111</v>
      </c>
      <c r="L594" s="140">
        <f t="shared" ref="L594:AQ594" si="208" xml:space="preserve"> ((L86 * L630 * $N$43 * (L328 * 1 + L505) +L415) * 1000 / (L109 * 8760)) + L459 + 0</f>
        <v>102.35792936617811</v>
      </c>
      <c r="M594" s="140">
        <f t="shared" si="208"/>
        <v>94.33987052745168</v>
      </c>
      <c r="N594" s="140">
        <f t="shared" si="208"/>
        <v>88.618543101847834</v>
      </c>
      <c r="O594" s="140">
        <f t="shared" si="208"/>
        <v>84.129693489289437</v>
      </c>
      <c r="P594" s="140">
        <f t="shared" si="208"/>
        <v>80.408576475410513</v>
      </c>
      <c r="Q594" s="140">
        <f t="shared" si="208"/>
        <v>77.210927644199188</v>
      </c>
      <c r="R594" s="140">
        <f t="shared" si="208"/>
        <v>74.392660831297889</v>
      </c>
      <c r="S594" s="140">
        <f t="shared" si="208"/>
        <v>71.861750673546197</v>
      </c>
      <c r="T594" s="140">
        <f t="shared" si="208"/>
        <v>69.555891636704757</v>
      </c>
      <c r="U594" s="140">
        <f t="shared" si="208"/>
        <v>67.430970200889263</v>
      </c>
      <c r="V594" s="140">
        <f t="shared" si="208"/>
        <v>65.454626560721493</v>
      </c>
      <c r="W594" s="140">
        <f t="shared" si="208"/>
        <v>63.602429647291878</v>
      </c>
      <c r="X594" s="140">
        <f t="shared" si="208"/>
        <v>62.404028196796247</v>
      </c>
      <c r="Y594" s="140">
        <f t="shared" si="208"/>
        <v>61.293523790362315</v>
      </c>
      <c r="Z594" s="140">
        <f t="shared" si="208"/>
        <v>60.259207991686097</v>
      </c>
      <c r="AA594" s="140">
        <f t="shared" si="208"/>
        <v>59.291547712376286</v>
      </c>
      <c r="AB594" s="140">
        <f t="shared" si="208"/>
        <v>58.382679709066785</v>
      </c>
      <c r="AC594" s="140">
        <f t="shared" si="208"/>
        <v>57.526043556264185</v>
      </c>
      <c r="AD594" s="140">
        <f t="shared" si="208"/>
        <v>56.71610999552923</v>
      </c>
      <c r="AE594" s="140">
        <f t="shared" si="208"/>
        <v>55.948176427172292</v>
      </c>
      <c r="AF594" s="140">
        <f t="shared" si="208"/>
        <v>55.218210594806941</v>
      </c>
      <c r="AG594" s="140">
        <f t="shared" si="208"/>
        <v>54.522729466797671</v>
      </c>
      <c r="AH594" s="140">
        <f t="shared" si="208"/>
        <v>53.858704227689429</v>
      </c>
      <c r="AI594" s="140">
        <f t="shared" si="208"/>
        <v>53.223484914205528</v>
      </c>
      <c r="AJ594" s="140">
        <f t="shared" si="208"/>
        <v>52.614740022363272</v>
      </c>
      <c r="AK594" s="140">
        <f t="shared" si="208"/>
        <v>52.030407658612702</v>
      </c>
      <c r="AL594" s="140">
        <f t="shared" si="208"/>
        <v>51.468655688595256</v>
      </c>
      <c r="AM594" s="140">
        <f t="shared" si="208"/>
        <v>50.927848968507014</v>
      </c>
      <c r="AN594" s="140">
        <f t="shared" si="208"/>
        <v>50.406522202772145</v>
      </c>
      <c r="AO594" s="140">
        <f t="shared" si="208"/>
        <v>49.903357309125312</v>
      </c>
      <c r="AP594" s="140">
        <f t="shared" si="208"/>
        <v>49.417164423190556</v>
      </c>
      <c r="AQ594" s="140">
        <f t="shared" si="208"/>
        <v>48.946865863338552</v>
      </c>
    </row>
    <row r="595" spans="7:43" ht="14.1" hidden="1" customHeight="1" thickBot="1" x14ac:dyDescent="0.3">
      <c r="G595" s="106"/>
      <c r="H595" s="219"/>
      <c r="J595" s="210"/>
      <c r="K595" s="121" t="s">
        <v>112</v>
      </c>
      <c r="L595" s="141">
        <f t="shared" ref="L595:AQ595" si="209" xml:space="preserve"> ((L87 * L631 * $N$43 * (L329 * 1 + L506) +L416) * 1000 / (L110 * 8760)) + L460 + 0</f>
        <v>109.6922415853826</v>
      </c>
      <c r="M595" s="141">
        <f t="shared" si="209"/>
        <v>104.35829886436595</v>
      </c>
      <c r="N595" s="141">
        <f t="shared" si="209"/>
        <v>100.48756601194886</v>
      </c>
      <c r="O595" s="141">
        <f t="shared" si="209"/>
        <v>97.409398570232696</v>
      </c>
      <c r="P595" s="141">
        <f t="shared" si="209"/>
        <v>94.828374042699878</v>
      </c>
      <c r="Q595" s="141">
        <f t="shared" si="209"/>
        <v>92.5881940614521</v>
      </c>
      <c r="R595" s="141">
        <f t="shared" si="209"/>
        <v>90.596168932885064</v>
      </c>
      <c r="S595" s="141">
        <f t="shared" si="209"/>
        <v>88.792833970617693</v>
      </c>
      <c r="T595" s="141">
        <f t="shared" si="209"/>
        <v>87.137773462060906</v>
      </c>
      <c r="U595" s="141">
        <f t="shared" si="209"/>
        <v>85.602275537373046</v>
      </c>
      <c r="V595" s="141">
        <f t="shared" si="209"/>
        <v>84.165215059325092</v>
      </c>
      <c r="W595" s="141">
        <f t="shared" si="209"/>
        <v>82.810599812161428</v>
      </c>
      <c r="X595" s="141">
        <f t="shared" si="209"/>
        <v>81.980121749145937</v>
      </c>
      <c r="Y595" s="141">
        <f t="shared" si="209"/>
        <v>81.208874210913748</v>
      </c>
      <c r="Z595" s="141">
        <f t="shared" si="209"/>
        <v>80.489077794467477</v>
      </c>
      <c r="AA595" s="141">
        <f t="shared" si="209"/>
        <v>79.814385127794552</v>
      </c>
      <c r="AB595" s="141">
        <f t="shared" si="209"/>
        <v>79.179550356607464</v>
      </c>
      <c r="AC595" s="141">
        <f t="shared" si="209"/>
        <v>78.580188689067654</v>
      </c>
      <c r="AD595" s="141">
        <f t="shared" si="209"/>
        <v>78.012598090383804</v>
      </c>
      <c r="AE595" s="141">
        <f t="shared" si="209"/>
        <v>77.473624809993709</v>
      </c>
      <c r="AF595" s="141">
        <f t="shared" si="209"/>
        <v>76.96056042514769</v>
      </c>
      <c r="AG595" s="141">
        <f t="shared" si="209"/>
        <v>76.471061939871078</v>
      </c>
      <c r="AH595" s="141">
        <f t="shared" si="209"/>
        <v>76.003089013721066</v>
      </c>
      <c r="AI595" s="141">
        <f t="shared" si="209"/>
        <v>75.554854097769137</v>
      </c>
      <c r="AJ595" s="141">
        <f t="shared" si="209"/>
        <v>75.124782421115853</v>
      </c>
      <c r="AK595" s="141">
        <f t="shared" si="209"/>
        <v>74.711479583305277</v>
      </c>
      <c r="AL595" s="141">
        <f t="shared" si="209"/>
        <v>74.31370508260558</v>
      </c>
      <c r="AM595" s="141">
        <f t="shared" si="209"/>
        <v>73.930350522606687</v>
      </c>
      <c r="AN595" s="141">
        <f t="shared" si="209"/>
        <v>73.560421539645816</v>
      </c>
      <c r="AO595" s="141">
        <f t="shared" si="209"/>
        <v>73.203022714532509</v>
      </c>
      <c r="AP595" s="141">
        <f t="shared" si="209"/>
        <v>72.857344896613455</v>
      </c>
      <c r="AQ595" s="141">
        <f t="shared" si="209"/>
        <v>72.522654492076612</v>
      </c>
    </row>
    <row r="596" spans="7:43" ht="14.1" hidden="1" customHeight="1" thickTop="1" x14ac:dyDescent="0.25">
      <c r="G596" s="106"/>
      <c r="H596" s="219"/>
      <c r="J596" s="210"/>
      <c r="K596" s="119" t="s">
        <v>113</v>
      </c>
      <c r="L596" s="142">
        <f t="shared" ref="L596:AQ596" si="210" xml:space="preserve"> ((L85 * L629 * $N$43 * (L330 * 1 + L507) +L417) * 1000 / (L111 * 8760)) + L461 + 0</f>
        <v>125.77314898260035</v>
      </c>
      <c r="M596" s="142">
        <f t="shared" si="210"/>
        <v>114.30534638044287</v>
      </c>
      <c r="N596" s="142">
        <f t="shared" si="210"/>
        <v>106.17501386467541</v>
      </c>
      <c r="O596" s="142">
        <f t="shared" si="210"/>
        <v>99.82911484577923</v>
      </c>
      <c r="P596" s="142">
        <f t="shared" si="210"/>
        <v>94.591729257293807</v>
      </c>
      <c r="Q596" s="142">
        <f t="shared" si="210"/>
        <v>90.108511339623078</v>
      </c>
      <c r="R596" s="142">
        <f t="shared" si="210"/>
        <v>86.170875696389103</v>
      </c>
      <c r="S596" s="142">
        <f t="shared" si="210"/>
        <v>82.64583652311947</v>
      </c>
      <c r="T596" s="142">
        <f t="shared" si="210"/>
        <v>79.44349298731953</v>
      </c>
      <c r="U596" s="142">
        <f t="shared" si="210"/>
        <v>76.500278777310143</v>
      </c>
      <c r="V596" s="142">
        <f t="shared" si="210"/>
        <v>73.769620084038948</v>
      </c>
      <c r="W596" s="142">
        <f t="shared" si="210"/>
        <v>71.216392463025429</v>
      </c>
      <c r="X596" s="142">
        <f t="shared" si="210"/>
        <v>69.529794931345833</v>
      </c>
      <c r="Y596" s="142">
        <f t="shared" si="210"/>
        <v>67.968263472903118</v>
      </c>
      <c r="Z596" s="142">
        <f t="shared" si="210"/>
        <v>66.515046354597501</v>
      </c>
      <c r="AA596" s="142">
        <f t="shared" si="210"/>
        <v>65.156515480678465</v>
      </c>
      <c r="AB596" s="142">
        <f t="shared" si="210"/>
        <v>63.881438599014785</v>
      </c>
      <c r="AC596" s="142">
        <f t="shared" si="210"/>
        <v>62.680451290733828</v>
      </c>
      <c r="AD596" s="142">
        <f t="shared" si="210"/>
        <v>61.545666457244309</v>
      </c>
      <c r="AE596" s="142">
        <f t="shared" si="210"/>
        <v>60.470380532371898</v>
      </c>
      <c r="AF596" s="142">
        <f t="shared" si="210"/>
        <v>59.44884907374621</v>
      </c>
      <c r="AG596" s="142">
        <f t="shared" si="210"/>
        <v>58.476112991675429</v>
      </c>
      <c r="AH596" s="142">
        <f t="shared" si="210"/>
        <v>57.547862319315655</v>
      </c>
      <c r="AI596" s="142">
        <f t="shared" si="210"/>
        <v>56.660328211659568</v>
      </c>
      <c r="AJ596" s="142">
        <f t="shared" si="210"/>
        <v>55.810196445764127</v>
      </c>
      <c r="AK596" s="142">
        <f t="shared" si="210"/>
        <v>54.994537491492807</v>
      </c>
      <c r="AL596" s="142">
        <f t="shared" si="210"/>
        <v>54.210749491049242</v>
      </c>
      <c r="AM596" s="142">
        <f t="shared" si="210"/>
        <v>53.456511394890924</v>
      </c>
      <c r="AN596" s="142">
        <f t="shared" si="210"/>
        <v>52.729744161926483</v>
      </c>
      <c r="AO596" s="142">
        <f t="shared" si="210"/>
        <v>52.028578417336803</v>
      </c>
      <c r="AP596" s="142">
        <f t="shared" si="210"/>
        <v>51.351327322317886</v>
      </c>
      <c r="AQ596" s="142">
        <f t="shared" si="210"/>
        <v>50.696463681290666</v>
      </c>
    </row>
    <row r="597" spans="7:43" ht="14.1" hidden="1" customHeight="1" x14ac:dyDescent="0.25">
      <c r="G597" s="106"/>
      <c r="H597" s="219"/>
      <c r="J597" s="210"/>
      <c r="K597" s="7" t="s">
        <v>114</v>
      </c>
      <c r="L597" s="140">
        <f t="shared" ref="L597:AQ597" si="211" xml:space="preserve"> ((L86 * L630 * $N$43 * (L331 * 1 + L508) +L418) * 1000 / (L112 * 8760)) + L462 + 0</f>
        <v>131.11739616288733</v>
      </c>
      <c r="M597" s="140">
        <f t="shared" si="211"/>
        <v>120.82984867598266</v>
      </c>
      <c r="N597" s="140">
        <f t="shared" si="211"/>
        <v>113.48528549751575</v>
      </c>
      <c r="O597" s="140">
        <f t="shared" si="211"/>
        <v>107.7200239066505</v>
      </c>
      <c r="P597" s="140">
        <f t="shared" si="211"/>
        <v>102.93855606391868</v>
      </c>
      <c r="Q597" s="140">
        <f t="shared" si="211"/>
        <v>98.827887246482589</v>
      </c>
      <c r="R597" s="140">
        <f t="shared" si="211"/>
        <v>95.203387016914036</v>
      </c>
      <c r="S597" s="140">
        <f t="shared" si="211"/>
        <v>91.947133945109158</v>
      </c>
      <c r="T597" s="140">
        <f t="shared" si="211"/>
        <v>88.979288866780607</v>
      </c>
      <c r="U597" s="140">
        <f t="shared" si="211"/>
        <v>86.243323574025922</v>
      </c>
      <c r="V597" s="140">
        <f t="shared" si="211"/>
        <v>83.697770978423591</v>
      </c>
      <c r="W597" s="140">
        <f t="shared" si="211"/>
        <v>81.311323879183391</v>
      </c>
      <c r="X597" s="140">
        <f t="shared" si="211"/>
        <v>79.776225237569506</v>
      </c>
      <c r="Y597" s="140">
        <f t="shared" si="211"/>
        <v>78.353718776885643</v>
      </c>
      <c r="Z597" s="140">
        <f t="shared" si="211"/>
        <v>77.028806514061699</v>
      </c>
      <c r="AA597" s="140">
        <f t="shared" si="211"/>
        <v>75.789276989378749</v>
      </c>
      <c r="AB597" s="140">
        <f t="shared" si="211"/>
        <v>74.625057739886259</v>
      </c>
      <c r="AC597" s="140">
        <f t="shared" si="211"/>
        <v>73.527745154040559</v>
      </c>
      <c r="AD597" s="140">
        <f t="shared" si="211"/>
        <v>72.490256499159926</v>
      </c>
      <c r="AE597" s="140">
        <f t="shared" si="211"/>
        <v>71.506567955436211</v>
      </c>
      <c r="AF597" s="140">
        <f t="shared" si="211"/>
        <v>70.571514382841528</v>
      </c>
      <c r="AG597" s="140">
        <f t="shared" si="211"/>
        <v>69.680634173681611</v>
      </c>
      <c r="AH597" s="140">
        <f t="shared" si="211"/>
        <v>68.830047550867661</v>
      </c>
      <c r="AI597" s="140">
        <f t="shared" si="211"/>
        <v>68.016360030001636</v>
      </c>
      <c r="AJ597" s="140">
        <f t="shared" si="211"/>
        <v>67.236585058793153</v>
      </c>
      <c r="AK597" s="140">
        <f t="shared" si="211"/>
        <v>66.488081443853815</v>
      </c>
      <c r="AL597" s="140">
        <f t="shared" si="211"/>
        <v>65.768502303039966</v>
      </c>
      <c r="AM597" s="140">
        <f t="shared" si="211"/>
        <v>65.075753090295123</v>
      </c>
      <c r="AN597" s="140">
        <f t="shared" si="211"/>
        <v>64.407956827543956</v>
      </c>
      <c r="AO597" s="140">
        <f t="shared" si="211"/>
        <v>63.763425110375586</v>
      </c>
      <c r="AP597" s="140">
        <f t="shared" si="211"/>
        <v>63.140633775758857</v>
      </c>
      <c r="AQ597" s="140">
        <f t="shared" si="211"/>
        <v>62.538202361742137</v>
      </c>
    </row>
    <row r="598" spans="7:43" ht="14.1" hidden="1" customHeight="1" thickBot="1" x14ac:dyDescent="0.3">
      <c r="G598" s="106"/>
      <c r="H598" s="219"/>
      <c r="J598" s="210"/>
      <c r="K598" s="121" t="s">
        <v>115</v>
      </c>
      <c r="L598" s="141">
        <f t="shared" ref="L598:AQ598" si="212" xml:space="preserve"> ((L87 * L631 * $N$43 * (L332 * 1 + L509) +L419) * 1000 / (L113 * 8760)) + L463 + 0</f>
        <v>140.51459367649588</v>
      </c>
      <c r="M598" s="141">
        <f t="shared" si="212"/>
        <v>133.66878873104113</v>
      </c>
      <c r="N598" s="141">
        <f t="shared" si="212"/>
        <v>128.69786676107108</v>
      </c>
      <c r="O598" s="141">
        <f t="shared" si="212"/>
        <v>124.74251022911528</v>
      </c>
      <c r="P598" s="141">
        <f t="shared" si="212"/>
        <v>121.42418270126984</v>
      </c>
      <c r="Q598" s="141">
        <f t="shared" si="212"/>
        <v>118.54261169809557</v>
      </c>
      <c r="R598" s="141">
        <f t="shared" si="212"/>
        <v>115.97902880898532</v>
      </c>
      <c r="S598" s="141">
        <f t="shared" si="212"/>
        <v>113.65723819229561</v>
      </c>
      <c r="T598" s="141">
        <f t="shared" si="212"/>
        <v>111.52545234173181</v>
      </c>
      <c r="U598" s="141">
        <f t="shared" si="212"/>
        <v>109.54688049030426</v>
      </c>
      <c r="V598" s="141">
        <f t="shared" si="212"/>
        <v>107.69445318380059</v>
      </c>
      <c r="W598" s="141">
        <f t="shared" si="212"/>
        <v>105.94767809948739</v>
      </c>
      <c r="X598" s="141">
        <f t="shared" si="212"/>
        <v>104.88375801635149</v>
      </c>
      <c r="Y598" s="141">
        <f t="shared" si="212"/>
        <v>103.89571758610167</v>
      </c>
      <c r="Z598" s="141">
        <f t="shared" si="212"/>
        <v>102.97359070370503</v>
      </c>
      <c r="AA598" s="141">
        <f t="shared" si="212"/>
        <v>102.10924582118101</v>
      </c>
      <c r="AB598" s="141">
        <f t="shared" si="212"/>
        <v>101.29596253146399</v>
      </c>
      <c r="AC598" s="141">
        <f t="shared" si="212"/>
        <v>100.52812352428928</v>
      </c>
      <c r="AD598" s="141">
        <f t="shared" si="212"/>
        <v>99.800986161427616</v>
      </c>
      <c r="AE598" s="141">
        <f t="shared" si="212"/>
        <v>99.110510205251828</v>
      </c>
      <c r="AF598" s="141">
        <f t="shared" si="212"/>
        <v>98.453225922546409</v>
      </c>
      <c r="AG598" s="141">
        <f t="shared" si="212"/>
        <v>97.826131724262225</v>
      </c>
      <c r="AH598" s="141">
        <f t="shared" si="212"/>
        <v>97.226613750029969</v>
      </c>
      <c r="AI598" s="141">
        <f t="shared" si="212"/>
        <v>96.652381987957142</v>
      </c>
      <c r="AJ598" s="141">
        <f t="shared" si="212"/>
        <v>96.101419013818102</v>
      </c>
      <c r="AK598" s="141">
        <f t="shared" si="212"/>
        <v>95.571938474069256</v>
      </c>
      <c r="AL598" s="141">
        <f t="shared" si="212"/>
        <v>95.062351173229075</v>
      </c>
      <c r="AM598" s="141">
        <f t="shared" si="212"/>
        <v>94.571237154594755</v>
      </c>
      <c r="AN598" s="141">
        <f t="shared" si="212"/>
        <v>94.097322547666607</v>
      </c>
      <c r="AO598" s="141">
        <f t="shared" si="212"/>
        <v>93.639460238724055</v>
      </c>
      <c r="AP598" s="141">
        <f t="shared" si="212"/>
        <v>93.196613631821592</v>
      </c>
      <c r="AQ598" s="141">
        <f t="shared" si="212"/>
        <v>92.76784292614974</v>
      </c>
    </row>
    <row r="599" spans="7:43" ht="14.1" customHeight="1" thickTop="1" x14ac:dyDescent="0.25">
      <c r="G599" s="106"/>
      <c r="H599" s="219"/>
      <c r="J599" s="210"/>
      <c r="K599" s="119" t="s">
        <v>116</v>
      </c>
      <c r="L599" s="142">
        <f t="shared" ref="L599:AQ599" si="213" xml:space="preserve"> ((L85 * L629 * $N$43 * (L333 * 1 + L510) +L420) * 1000 / (L114 * 8760)) + L464 + 0</f>
        <v>117.99325916118812</v>
      </c>
      <c r="M599" s="142">
        <f t="shared" si="213"/>
        <v>109.17571854356538</v>
      </c>
      <c r="N599" s="142">
        <f t="shared" si="213"/>
        <v>102.77882667676111</v>
      </c>
      <c r="O599" s="142">
        <f t="shared" si="213"/>
        <v>97.6947810887972</v>
      </c>
      <c r="P599" s="142">
        <f t="shared" si="213"/>
        <v>93.434905585606614</v>
      </c>
      <c r="Q599" s="142">
        <f t="shared" si="213"/>
        <v>89.740419699894161</v>
      </c>
      <c r="R599" s="142">
        <f t="shared" si="213"/>
        <v>86.457756172806654</v>
      </c>
      <c r="S599" s="142">
        <f t="shared" si="213"/>
        <v>83.488343814907026</v>
      </c>
      <c r="T599" s="142">
        <f t="shared" si="213"/>
        <v>80.765160130034943</v>
      </c>
      <c r="U599" s="142">
        <f t="shared" si="213"/>
        <v>78.240575169563527</v>
      </c>
      <c r="V599" s="142">
        <f t="shared" si="213"/>
        <v>75.879534463487943</v>
      </c>
      <c r="W599" s="142">
        <f t="shared" si="213"/>
        <v>73.655494392812258</v>
      </c>
      <c r="X599" s="142">
        <f t="shared" si="213"/>
        <v>72.274953345196181</v>
      </c>
      <c r="Y599" s="142">
        <f t="shared" si="213"/>
        <v>70.992838041894842</v>
      </c>
      <c r="Z599" s="142">
        <f t="shared" si="213"/>
        <v>69.796229229241263</v>
      </c>
      <c r="AA599" s="142">
        <f t="shared" si="213"/>
        <v>68.674584456631067</v>
      </c>
      <c r="AB599" s="142">
        <f t="shared" si="213"/>
        <v>67.619189790388717</v>
      </c>
      <c r="AC599" s="142">
        <f t="shared" si="213"/>
        <v>66.622760855999829</v>
      </c>
      <c r="AD599" s="142">
        <f t="shared" si="213"/>
        <v>65.679146952276497</v>
      </c>
      <c r="AE599" s="142">
        <f t="shared" si="213"/>
        <v>64.783107871448053</v>
      </c>
      <c r="AF599" s="142">
        <f t="shared" si="213"/>
        <v>63.930143004055139</v>
      </c>
      <c r="AG599" s="142">
        <f t="shared" si="213"/>
        <v>63.116358697388314</v>
      </c>
      <c r="AH599" s="142">
        <f t="shared" si="213"/>
        <v>62.338364039370148</v>
      </c>
      <c r="AI599" s="142">
        <f t="shared" si="213"/>
        <v>61.593188063422275</v>
      </c>
      <c r="AJ599" s="142">
        <f t="shared" si="213"/>
        <v>60.878213303185781</v>
      </c>
      <c r="AK599" s="142">
        <f t="shared" si="213"/>
        <v>60.191121972754907</v>
      </c>
      <c r="AL599" s="142">
        <f t="shared" si="213"/>
        <v>59.529852001166567</v>
      </c>
      <c r="AM599" s="142">
        <f t="shared" si="213"/>
        <v>58.892560834152185</v>
      </c>
      <c r="AN599" s="142">
        <f t="shared" si="213"/>
        <v>58.277595413976051</v>
      </c>
      <c r="AO599" s="142">
        <f t="shared" si="213"/>
        <v>57.683467114812103</v>
      </c>
      <c r="AP599" s="142">
        <f t="shared" si="213"/>
        <v>57.10883068419222</v>
      </c>
      <c r="AQ599" s="142">
        <f t="shared" si="213"/>
        <v>56.552466446611518</v>
      </c>
    </row>
    <row r="600" spans="7:43" ht="14.1" customHeight="1" x14ac:dyDescent="0.25">
      <c r="G600" s="106"/>
      <c r="H600" s="219"/>
      <c r="J600" s="210"/>
      <c r="K600" s="7" t="s">
        <v>117</v>
      </c>
      <c r="L600" s="140">
        <f t="shared" ref="L600:AQ600" si="214" xml:space="preserve"> ((L86 * L630 * $N$43 * (L334 * 1 + L511) +L421) * 1000 / (L115 * 8760)) + L465 + 0</f>
        <v>122.18347801505851</v>
      </c>
      <c r="M600" s="140">
        <f t="shared" si="214"/>
        <v>114.42582439670336</v>
      </c>
      <c r="N600" s="140">
        <f t="shared" si="214"/>
        <v>108.77995584424849</v>
      </c>
      <c r="O600" s="140">
        <f t="shared" si="214"/>
        <v>104.28127435490615</v>
      </c>
      <c r="P600" s="140">
        <f t="shared" si="214"/>
        <v>100.50363179547479</v>
      </c>
      <c r="Q600" s="140">
        <f t="shared" si="214"/>
        <v>97.221101321550819</v>
      </c>
      <c r="R600" s="140">
        <f t="shared" si="214"/>
        <v>94.299487854511526</v>
      </c>
      <c r="S600" s="140">
        <f t="shared" si="214"/>
        <v>91.652587867952974</v>
      </c>
      <c r="T600" s="140">
        <f t="shared" si="214"/>
        <v>89.221748957617379</v>
      </c>
      <c r="U600" s="140">
        <f t="shared" si="214"/>
        <v>86.96526500432833</v>
      </c>
      <c r="V600" s="140">
        <f t="shared" si="214"/>
        <v>84.852425336203979</v>
      </c>
      <c r="W600" s="140">
        <f t="shared" si="214"/>
        <v>82.859964611018242</v>
      </c>
      <c r="X600" s="140">
        <f t="shared" si="214"/>
        <v>81.637013385531503</v>
      </c>
      <c r="Y600" s="140">
        <f t="shared" si="214"/>
        <v>80.500803398153138</v>
      </c>
      <c r="Z600" s="140">
        <f t="shared" si="214"/>
        <v>79.439978036664385</v>
      </c>
      <c r="AA600" s="140">
        <f t="shared" si="214"/>
        <v>78.445266549675125</v>
      </c>
      <c r="AB600" s="140">
        <f t="shared" si="214"/>
        <v>77.509003457768401</v>
      </c>
      <c r="AC600" s="140">
        <f t="shared" si="214"/>
        <v>76.624778731820328</v>
      </c>
      <c r="AD600" s="140">
        <f t="shared" si="214"/>
        <v>75.787178262719237</v>
      </c>
      <c r="AE600" s="140">
        <f t="shared" si="214"/>
        <v>74.991588042376819</v>
      </c>
      <c r="AF600" s="140">
        <f t="shared" si="214"/>
        <v>74.234044175266632</v>
      </c>
      <c r="AG600" s="140">
        <f t="shared" si="214"/>
        <v>73.511116431023254</v>
      </c>
      <c r="AH600" s="140">
        <f t="shared" si="214"/>
        <v>72.819816727587053</v>
      </c>
      <c r="AI600" s="140">
        <f t="shared" si="214"/>
        <v>72.157526406551781</v>
      </c>
      <c r="AJ600" s="140">
        <f t="shared" si="214"/>
        <v>71.521937855497967</v>
      </c>
      <c r="AK600" s="140">
        <f t="shared" si="214"/>
        <v>70.911007211854312</v>
      </c>
      <c r="AL600" s="140">
        <f t="shared" si="214"/>
        <v>70.322915717911073</v>
      </c>
      <c r="AM600" s="140">
        <f t="shared" si="214"/>
        <v>69.756037896292639</v>
      </c>
      <c r="AN600" s="140">
        <f t="shared" si="214"/>
        <v>69.208915151575553</v>
      </c>
      <c r="AO600" s="140">
        <f t="shared" si="214"/>
        <v>68.680233725188259</v>
      </c>
      <c r="AP600" s="140">
        <f t="shared" si="214"/>
        <v>68.168806170207361</v>
      </c>
      <c r="AQ600" s="140">
        <f t="shared" si="214"/>
        <v>67.673555692960917</v>
      </c>
    </row>
    <row r="601" spans="7:43" ht="14.1" customHeight="1" thickBot="1" x14ac:dyDescent="0.3">
      <c r="G601" s="106"/>
      <c r="H601" s="219"/>
      <c r="J601" s="210"/>
      <c r="K601" s="121" t="s">
        <v>118</v>
      </c>
      <c r="L601" s="141">
        <f t="shared" ref="L601:AQ601" si="215" xml:space="preserve"> ((L87 * L631 * $N$43 * (L335 * 1 + L512) +L422) * 1000 / (L116 * 8760)) + L466 + 0</f>
        <v>129.08512470485442</v>
      </c>
      <c r="M601" s="141">
        <f t="shared" si="215"/>
        <v>124.11626212152611</v>
      </c>
      <c r="N601" s="141">
        <f t="shared" si="215"/>
        <v>120.44877639149483</v>
      </c>
      <c r="O601" s="141">
        <f t="shared" si="215"/>
        <v>117.49116383749887</v>
      </c>
      <c r="P601" s="141">
        <f t="shared" si="215"/>
        <v>114.9810941565412</v>
      </c>
      <c r="Q601" s="141">
        <f t="shared" si="215"/>
        <v>112.77908347022343</v>
      </c>
      <c r="R601" s="141">
        <f t="shared" si="215"/>
        <v>110.80208622987604</v>
      </c>
      <c r="S601" s="141">
        <f t="shared" si="215"/>
        <v>108.99665052916441</v>
      </c>
      <c r="T601" s="141">
        <f t="shared" si="215"/>
        <v>107.32634607982283</v>
      </c>
      <c r="U601" s="141">
        <f t="shared" si="215"/>
        <v>105.76522965113183</v>
      </c>
      <c r="V601" s="141">
        <f t="shared" si="215"/>
        <v>104.29417237482154</v>
      </c>
      <c r="W601" s="141">
        <f t="shared" si="215"/>
        <v>102.8986656020202</v>
      </c>
      <c r="X601" s="141">
        <f t="shared" si="215"/>
        <v>102.11559350594318</v>
      </c>
      <c r="Y601" s="141">
        <f t="shared" si="215"/>
        <v>101.38734423843269</v>
      </c>
      <c r="Z601" s="141">
        <f t="shared" si="215"/>
        <v>100.70678605128165</v>
      </c>
      <c r="AA601" s="141">
        <f t="shared" si="215"/>
        <v>100.06809161372243</v>
      </c>
      <c r="AB601" s="141">
        <f t="shared" si="215"/>
        <v>99.466438388589168</v>
      </c>
      <c r="AC601" s="141">
        <f t="shared" si="215"/>
        <v>98.897790340998171</v>
      </c>
      <c r="AD601" s="141">
        <f t="shared" si="215"/>
        <v>98.358735853941099</v>
      </c>
      <c r="AE601" s="141">
        <f t="shared" si="215"/>
        <v>97.846365336976135</v>
      </c>
      <c r="AF601" s="141">
        <f t="shared" si="215"/>
        <v>97.358177410077658</v>
      </c>
      <c r="AG601" s="141">
        <f t="shared" si="215"/>
        <v>96.892006015495809</v>
      </c>
      <c r="AH601" s="141">
        <f t="shared" si="215"/>
        <v>96.445963095873324</v>
      </c>
      <c r="AI601" s="141">
        <f t="shared" si="215"/>
        <v>96.018393013682484</v>
      </c>
      <c r="AJ601" s="141">
        <f t="shared" si="215"/>
        <v>95.607835940272409</v>
      </c>
      <c r="AK601" s="141">
        <f t="shared" si="215"/>
        <v>95.212998177166682</v>
      </c>
      <c r="AL601" s="141">
        <f t="shared" si="215"/>
        <v>94.832727892370542</v>
      </c>
      <c r="AM601" s="141">
        <f t="shared" si="215"/>
        <v>94.465995128169368</v>
      </c>
      <c r="AN601" s="141">
        <f t="shared" si="215"/>
        <v>94.11187520900377</v>
      </c>
      <c r="AO601" s="141">
        <f t="shared" si="215"/>
        <v>93.769534878552676</v>
      </c>
      <c r="AP601" s="141">
        <f t="shared" si="215"/>
        <v>93.438220644641603</v>
      </c>
      <c r="AQ601" s="141">
        <f t="shared" si="215"/>
        <v>93.117248923188782</v>
      </c>
    </row>
    <row r="602" spans="7:43" ht="14.1" hidden="1" customHeight="1" thickTop="1" x14ac:dyDescent="0.25">
      <c r="G602" s="106"/>
      <c r="H602" s="219"/>
      <c r="J602" s="210"/>
      <c r="K602" s="119" t="s">
        <v>119</v>
      </c>
      <c r="L602" s="142">
        <f t="shared" ref="L602:AQ602" si="216" xml:space="preserve"> ((L85 *L629* $N$43 * (L336 * 1 + L513) +L423) * 1000 / (L117 * 8760)) + L467 + 0</f>
        <v>114.25423960086334</v>
      </c>
      <c r="M602" s="142">
        <f t="shared" si="216"/>
        <v>105.11923795240054</v>
      </c>
      <c r="N602" s="142">
        <f t="shared" si="216"/>
        <v>98.490130085070859</v>
      </c>
      <c r="O602" s="142">
        <f t="shared" si="216"/>
        <v>93.220099022138996</v>
      </c>
      <c r="P602" s="142">
        <f t="shared" si="216"/>
        <v>88.803260700801417</v>
      </c>
      <c r="Q602" s="142">
        <f t="shared" si="216"/>
        <v>84.971722805139606</v>
      </c>
      <c r="R602" s="142">
        <f t="shared" si="216"/>
        <v>81.566511058549736</v>
      </c>
      <c r="S602" s="142">
        <f t="shared" si="216"/>
        <v>78.48558368434216</v>
      </c>
      <c r="T602" s="142">
        <f t="shared" si="216"/>
        <v>75.659558392348629</v>
      </c>
      <c r="U602" s="142">
        <f t="shared" si="216"/>
        <v>73.039128210690748</v>
      </c>
      <c r="V602" s="142">
        <f t="shared" si="216"/>
        <v>70.588004395164518</v>
      </c>
      <c r="W602" s="142">
        <f t="shared" si="216"/>
        <v>68.278708694739763</v>
      </c>
      <c r="X602" s="142">
        <f t="shared" si="216"/>
        <v>66.849774427389931</v>
      </c>
      <c r="Y602" s="142">
        <f t="shared" si="216"/>
        <v>65.522718100544509</v>
      </c>
      <c r="Z602" s="142">
        <f t="shared" si="216"/>
        <v>64.284167196741848</v>
      </c>
      <c r="AA602" s="142">
        <f t="shared" si="216"/>
        <v>63.123209406446627</v>
      </c>
      <c r="AB602" s="142">
        <f t="shared" si="216"/>
        <v>62.030825099094919</v>
      </c>
      <c r="AC602" s="142">
        <f t="shared" si="216"/>
        <v>60.999474363989343</v>
      </c>
      <c r="AD602" s="142">
        <f t="shared" si="216"/>
        <v>60.022790740836363</v>
      </c>
      <c r="AE602" s="142">
        <f t="shared" si="216"/>
        <v>59.095350208001442</v>
      </c>
      <c r="AF602" s="142">
        <f t="shared" si="216"/>
        <v>58.212494290561501</v>
      </c>
      <c r="AG602" s="142">
        <f t="shared" si="216"/>
        <v>57.370192764405481</v>
      </c>
      <c r="AH602" s="142">
        <f t="shared" si="216"/>
        <v>56.564935783332359</v>
      </c>
      <c r="AI602" s="142">
        <f t="shared" si="216"/>
        <v>55.793648178851321</v>
      </c>
      <c r="AJ602" s="142">
        <f t="shared" si="216"/>
        <v>55.053620683576916</v>
      </c>
      <c r="AK602" s="142">
        <f t="shared" si="216"/>
        <v>54.342454223173007</v>
      </c>
      <c r="AL602" s="142">
        <f t="shared" si="216"/>
        <v>53.658014408334118</v>
      </c>
      <c r="AM602" s="142">
        <f t="shared" si="216"/>
        <v>52.998394066571365</v>
      </c>
      <c r="AN602" s="142">
        <f t="shared" si="216"/>
        <v>52.361882168860362</v>
      </c>
      <c r="AO602" s="142">
        <f t="shared" si="216"/>
        <v>51.74693788570184</v>
      </c>
      <c r="AP602" s="142">
        <f t="shared" si="216"/>
        <v>51.152168789811142</v>
      </c>
      <c r="AQ602" s="142">
        <f t="shared" si="216"/>
        <v>50.576312435418743</v>
      </c>
    </row>
    <row r="603" spans="7:43" ht="14.1" hidden="1" customHeight="1" x14ac:dyDescent="0.25">
      <c r="G603" s="106"/>
      <c r="H603" s="219"/>
      <c r="J603" s="210"/>
      <c r="K603" s="7" t="s">
        <v>120</v>
      </c>
      <c r="L603" s="140">
        <f t="shared" ref="L603:AQ603" si="217" xml:space="preserve"> ((L86 *L630* $N$43 * (L337 * 1 + L514) +L424) * 1000 / (L118 * 8760)) + L468 + 0</f>
        <v>118.60635692294902</v>
      </c>
      <c r="M603" s="140">
        <f t="shared" si="217"/>
        <v>110.5666062351966</v>
      </c>
      <c r="N603" s="140">
        <f t="shared" si="217"/>
        <v>104.71371746006908</v>
      </c>
      <c r="O603" s="140">
        <f t="shared" si="217"/>
        <v>100.04880590488037</v>
      </c>
      <c r="P603" s="140">
        <f t="shared" si="217"/>
        <v>96.130574801550893</v>
      </c>
      <c r="Q603" s="140">
        <f t="shared" si="217"/>
        <v>92.72506549002857</v>
      </c>
      <c r="R603" s="140">
        <f t="shared" si="217"/>
        <v>89.693311829175016</v>
      </c>
      <c r="S603" s="140">
        <f t="shared" si="217"/>
        <v>86.946045253929185</v>
      </c>
      <c r="T603" s="140">
        <f t="shared" si="217"/>
        <v>84.422527769695819</v>
      </c>
      <c r="U603" s="140">
        <f t="shared" si="217"/>
        <v>82.079570141274345</v>
      </c>
      <c r="V603" s="140">
        <f t="shared" si="217"/>
        <v>79.885369510423601</v>
      </c>
      <c r="W603" s="140">
        <f t="shared" si="217"/>
        <v>77.815833071320625</v>
      </c>
      <c r="X603" s="140">
        <f t="shared" si="217"/>
        <v>76.549510137676478</v>
      </c>
      <c r="Y603" s="140">
        <f t="shared" si="217"/>
        <v>75.373004701917907</v>
      </c>
      <c r="Z603" s="140">
        <f t="shared" si="217"/>
        <v>74.274557391960897</v>
      </c>
      <c r="AA603" s="140">
        <f t="shared" si="217"/>
        <v>73.244568671165865</v>
      </c>
      <c r="AB603" s="140">
        <f t="shared" si="217"/>
        <v>72.275101205499624</v>
      </c>
      <c r="AC603" s="140">
        <f t="shared" si="217"/>
        <v>71.359517635502755</v>
      </c>
      <c r="AD603" s="140">
        <f t="shared" si="217"/>
        <v>70.492211841821842</v>
      </c>
      <c r="AE603" s="140">
        <f t="shared" si="217"/>
        <v>69.668406181541613</v>
      </c>
      <c r="AF603" s="140">
        <f t="shared" si="217"/>
        <v>68.883996180413988</v>
      </c>
      <c r="AG603" s="140">
        <f t="shared" si="217"/>
        <v>68.135429955674596</v>
      </c>
      <c r="AH603" s="140">
        <f t="shared" si="217"/>
        <v>67.419613453561624</v>
      </c>
      <c r="AI603" s="140">
        <f t="shared" si="217"/>
        <v>66.733835145498929</v>
      </c>
      <c r="AJ603" s="140">
        <f t="shared" si="217"/>
        <v>66.07570558007761</v>
      </c>
      <c r="AK603" s="140">
        <f t="shared" si="217"/>
        <v>65.443108409569831</v>
      </c>
      <c r="AL603" s="140">
        <f t="shared" si="217"/>
        <v>64.834160374405968</v>
      </c>
      <c r="AM603" s="140">
        <f t="shared" si="217"/>
        <v>64.247178349996986</v>
      </c>
      <c r="AN603" s="140">
        <f t="shared" si="217"/>
        <v>63.680652012139319</v>
      </c>
      <c r="AO603" s="140">
        <f t="shared" si="217"/>
        <v>63.133221010089756</v>
      </c>
      <c r="AP603" s="140">
        <f t="shared" si="217"/>
        <v>62.603655784369415</v>
      </c>
      <c r="AQ603" s="140">
        <f t="shared" si="217"/>
        <v>62.090841353045079</v>
      </c>
    </row>
    <row r="604" spans="7:43" ht="14.1" hidden="1" customHeight="1" thickBot="1" x14ac:dyDescent="0.3">
      <c r="G604" s="106"/>
      <c r="H604" s="219"/>
      <c r="J604" s="210"/>
      <c r="K604" s="121" t="s">
        <v>121</v>
      </c>
      <c r="L604" s="141">
        <f t="shared" ref="L604:AQ604" si="218" xml:space="preserve"> ((L87 *L631* $N$43 * (L338 * 1 + L515) +L425) * 1000 / (L119 * 8760)) + L469 + 0</f>
        <v>125.75901002424037</v>
      </c>
      <c r="M604" s="141">
        <f t="shared" si="218"/>
        <v>120.60206559735083</v>
      </c>
      <c r="N604" s="141">
        <f t="shared" si="218"/>
        <v>116.79454888459036</v>
      </c>
      <c r="O604" s="141">
        <f t="shared" si="218"/>
        <v>113.7231296694065</v>
      </c>
      <c r="P604" s="141">
        <f t="shared" si="218"/>
        <v>111.11579302557485</v>
      </c>
      <c r="Q604" s="141">
        <f t="shared" si="218"/>
        <v>108.82790385012602</v>
      </c>
      <c r="R604" s="141">
        <f t="shared" si="218"/>
        <v>106.77334881012843</v>
      </c>
      <c r="S604" s="141">
        <f t="shared" si="218"/>
        <v>104.89670096593125</v>
      </c>
      <c r="T604" s="141">
        <f t="shared" si="218"/>
        <v>103.16018366276488</v>
      </c>
      <c r="U604" s="141">
        <f t="shared" si="218"/>
        <v>101.53689470117347</v>
      </c>
      <c r="V604" s="141">
        <f t="shared" si="218"/>
        <v>100.0069980134614</v>
      </c>
      <c r="W604" s="141">
        <f t="shared" si="218"/>
        <v>98.555448480155718</v>
      </c>
      <c r="X604" s="141">
        <f t="shared" si="218"/>
        <v>97.743411371220319</v>
      </c>
      <c r="Y604" s="141">
        <f t="shared" si="218"/>
        <v>96.988222794232513</v>
      </c>
      <c r="Z604" s="141">
        <f t="shared" si="218"/>
        <v>96.28248762430735</v>
      </c>
      <c r="AA604" s="141">
        <f t="shared" si="218"/>
        <v>95.62016330900471</v>
      </c>
      <c r="AB604" s="141">
        <f t="shared" si="218"/>
        <v>94.996249186315737</v>
      </c>
      <c r="AC604" s="141">
        <f t="shared" si="218"/>
        <v>94.406560136244181</v>
      </c>
      <c r="AD604" s="141">
        <f t="shared" si="218"/>
        <v>93.847558513438273</v>
      </c>
      <c r="AE604" s="141">
        <f t="shared" si="218"/>
        <v>93.316227237779714</v>
      </c>
      <c r="AF604" s="141">
        <f t="shared" si="218"/>
        <v>92.809972514760062</v>
      </c>
      <c r="AG604" s="141">
        <f t="shared" si="218"/>
        <v>92.326548256312407</v>
      </c>
      <c r="AH604" s="141">
        <f t="shared" si="218"/>
        <v>91.863996642482121</v>
      </c>
      <c r="AI604" s="141">
        <f t="shared" si="218"/>
        <v>91.420600857837471</v>
      </c>
      <c r="AJ604" s="141">
        <f t="shared" si="218"/>
        <v>90.994847128614836</v>
      </c>
      <c r="AK604" s="141">
        <f t="shared" si="218"/>
        <v>90.585393948040334</v>
      </c>
      <c r="AL604" s="141">
        <f t="shared" si="218"/>
        <v>90.191046916583034</v>
      </c>
      <c r="AM604" s="141">
        <f t="shared" si="218"/>
        <v>89.810738011410919</v>
      </c>
      <c r="AN604" s="141">
        <f t="shared" si="218"/>
        <v>89.443508381465975</v>
      </c>
      <c r="AO604" s="141">
        <f t="shared" si="218"/>
        <v>89.088493972524262</v>
      </c>
      <c r="AP604" s="141">
        <f t="shared" si="218"/>
        <v>88.744913441608603</v>
      </c>
      <c r="AQ604" s="141">
        <f t="shared" si="218"/>
        <v>88.412057936874433</v>
      </c>
    </row>
    <row r="605" spans="7:43" ht="14.1" hidden="1" customHeight="1" thickTop="1" x14ac:dyDescent="0.25">
      <c r="G605" s="106"/>
      <c r="H605" s="219"/>
      <c r="J605" s="210"/>
      <c r="K605" s="119" t="s">
        <v>122</v>
      </c>
      <c r="L605" s="142">
        <f t="shared" ref="L605:AQ605" si="219" xml:space="preserve"> ((L85 *L629 * $N$43 * (L339 * 1 + L516) +L426) * 1000 / (L120 * 8760)) + L470 + 0</f>
        <v>119.38449371277291</v>
      </c>
      <c r="M605" s="142">
        <f t="shared" si="219"/>
        <v>109.84380311968252</v>
      </c>
      <c r="N605" s="142">
        <f t="shared" si="219"/>
        <v>102.92129860878929</v>
      </c>
      <c r="O605" s="142">
        <f t="shared" si="219"/>
        <v>97.418768608615963</v>
      </c>
      <c r="P605" s="142">
        <f t="shared" si="219"/>
        <v>92.807658690287838</v>
      </c>
      <c r="Q605" s="142">
        <f t="shared" si="219"/>
        <v>88.808071810078715</v>
      </c>
      <c r="R605" s="142">
        <f t="shared" si="219"/>
        <v>85.253910024478301</v>
      </c>
      <c r="S605" s="142">
        <f t="shared" si="219"/>
        <v>82.038559206050437</v>
      </c>
      <c r="T605" s="142">
        <f t="shared" si="219"/>
        <v>79.089528248781377</v>
      </c>
      <c r="U605" s="142">
        <f t="shared" si="219"/>
        <v>76.355300957673705</v>
      </c>
      <c r="V605" s="142">
        <f t="shared" si="219"/>
        <v>73.79796270997933</v>
      </c>
      <c r="W605" s="142">
        <f t="shared" si="219"/>
        <v>71.388804163588361</v>
      </c>
      <c r="X605" s="142">
        <f t="shared" si="219"/>
        <v>69.895763741246057</v>
      </c>
      <c r="Y605" s="142">
        <f t="shared" si="219"/>
        <v>68.509171788896367</v>
      </c>
      <c r="Z605" s="142">
        <f t="shared" si="219"/>
        <v>67.215055861305174</v>
      </c>
      <c r="AA605" s="142">
        <f t="shared" si="219"/>
        <v>66.00201409273734</v>
      </c>
      <c r="AB605" s="142">
        <f t="shared" si="219"/>
        <v>64.860622207136259</v>
      </c>
      <c r="AC605" s="142">
        <f t="shared" si="219"/>
        <v>63.783002032566884</v>
      </c>
      <c r="AD605" s="142">
        <f t="shared" si="219"/>
        <v>62.762501491681185</v>
      </c>
      <c r="AE605" s="142">
        <f t="shared" si="219"/>
        <v>61.793453226163699</v>
      </c>
      <c r="AF605" s="142">
        <f t="shared" si="219"/>
        <v>60.870989768933107</v>
      </c>
      <c r="AG605" s="142">
        <f t="shared" si="219"/>
        <v>59.99090008877657</v>
      </c>
      <c r="AH605" s="142">
        <f t="shared" si="219"/>
        <v>59.149516877976261</v>
      </c>
      <c r="AI605" s="142">
        <f t="shared" si="219"/>
        <v>58.343627007365363</v>
      </c>
      <c r="AJ605" s="142">
        <f t="shared" si="219"/>
        <v>57.570399664217057</v>
      </c>
      <c r="AK605" s="142">
        <f t="shared" si="219"/>
        <v>56.827328144972768</v>
      </c>
      <c r="AL605" s="142">
        <f t="shared" si="219"/>
        <v>56.112182305609146</v>
      </c>
      <c r="AM605" s="142">
        <f t="shared" si="219"/>
        <v>55.422969412497075</v>
      </c>
      <c r="AN605" s="142">
        <f t="shared" si="219"/>
        <v>54.757901675013706</v>
      </c>
      <c r="AO605" s="142">
        <f t="shared" si="219"/>
        <v>54.115369137686301</v>
      </c>
      <c r="AP605" s="142">
        <f t="shared" si="219"/>
        <v>53.493916904994471</v>
      </c>
      <c r="AQ605" s="142">
        <f t="shared" si="219"/>
        <v>52.892225894267106</v>
      </c>
    </row>
    <row r="606" spans="7:43" ht="14.1" hidden="1" customHeight="1" x14ac:dyDescent="0.25">
      <c r="G606" s="106"/>
      <c r="H606" s="219"/>
      <c r="J606" s="210"/>
      <c r="K606" s="7" t="s">
        <v>123</v>
      </c>
      <c r="L606" s="140">
        <f t="shared" ref="L606:AQ606" si="220" xml:space="preserve"> ((L86 *L630 * $N$43 * (L340 * 1 + L517) +L427) * 1000 / (L121 * 8760)) + L471 + 0</f>
        <v>123.93168555074314</v>
      </c>
      <c r="M606" s="140">
        <f t="shared" si="220"/>
        <v>115.53501631766255</v>
      </c>
      <c r="N606" s="140">
        <f t="shared" si="220"/>
        <v>109.42320852373879</v>
      </c>
      <c r="O606" s="140">
        <f t="shared" si="220"/>
        <v>104.55261134959595</v>
      </c>
      <c r="P606" s="140">
        <f t="shared" si="220"/>
        <v>100.46215145036216</v>
      </c>
      <c r="Q606" s="140">
        <f t="shared" si="220"/>
        <v>96.907385707535838</v>
      </c>
      <c r="R606" s="140">
        <f t="shared" si="220"/>
        <v>93.743120640697981</v>
      </c>
      <c r="S606" s="140">
        <f t="shared" si="220"/>
        <v>90.876087511336209</v>
      </c>
      <c r="T606" s="140">
        <f t="shared" si="220"/>
        <v>88.24282670468537</v>
      </c>
      <c r="U606" s="140">
        <f t="shared" si="220"/>
        <v>85.798213769673012</v>
      </c>
      <c r="V606" s="140">
        <f t="shared" si="220"/>
        <v>83.50902087410833</v>
      </c>
      <c r="W606" s="140">
        <f t="shared" si="220"/>
        <v>81.350075731066056</v>
      </c>
      <c r="X606" s="140">
        <f t="shared" si="220"/>
        <v>80.026948703628932</v>
      </c>
      <c r="Y606" s="140">
        <f t="shared" si="220"/>
        <v>78.797668163396466</v>
      </c>
      <c r="Z606" s="140">
        <f t="shared" si="220"/>
        <v>77.649947242132512</v>
      </c>
      <c r="AA606" s="140">
        <f t="shared" si="220"/>
        <v>76.573755791885731</v>
      </c>
      <c r="AB606" s="140">
        <f t="shared" si="220"/>
        <v>75.560800429581278</v>
      </c>
      <c r="AC606" s="140">
        <f t="shared" si="220"/>
        <v>74.604146060340682</v>
      </c>
      <c r="AD606" s="140">
        <f t="shared" si="220"/>
        <v>73.697935088255022</v>
      </c>
      <c r="AE606" s="140">
        <f t="shared" si="220"/>
        <v>72.837175557243668</v>
      </c>
      <c r="AF606" s="140">
        <f t="shared" si="220"/>
        <v>72.017578876563505</v>
      </c>
      <c r="AG606" s="140">
        <f t="shared" si="220"/>
        <v>71.235433834833103</v>
      </c>
      <c r="AH606" s="140">
        <f t="shared" si="220"/>
        <v>70.487507586742808</v>
      </c>
      <c r="AI606" s="140">
        <f t="shared" si="220"/>
        <v>69.770966971295977</v>
      </c>
      <c r="AJ606" s="140">
        <f t="shared" si="220"/>
        <v>69.083315352242906</v>
      </c>
      <c r="AK606" s="140">
        <f t="shared" si="220"/>
        <v>68.422341447766229</v>
      </c>
      <c r="AL606" s="140">
        <f t="shared" si="220"/>
        <v>67.786077519961196</v>
      </c>
      <c r="AM606" s="140">
        <f t="shared" si="220"/>
        <v>67.172764943460464</v>
      </c>
      <c r="AN606" s="140">
        <f t="shared" si="220"/>
        <v>66.580825644677219</v>
      </c>
      <c r="AO606" s="140">
        <f t="shared" si="220"/>
        <v>66.008838250921087</v>
      </c>
      <c r="AP606" s="140">
        <f t="shared" si="220"/>
        <v>65.455518047736376</v>
      </c>
      <c r="AQ606" s="140">
        <f t="shared" si="220"/>
        <v>64.919700037876581</v>
      </c>
    </row>
    <row r="607" spans="7:43" ht="14.1" hidden="1" customHeight="1" thickBot="1" x14ac:dyDescent="0.3">
      <c r="G607" s="106"/>
      <c r="H607" s="219"/>
      <c r="J607" s="210"/>
      <c r="K607" s="121" t="s">
        <v>124</v>
      </c>
      <c r="L607" s="145">
        <f t="shared" ref="L607:AQ607" si="221" xml:space="preserve"> ((L87 *L631 * $N$43 * (L341 * 1 + L518) +L428) * 1000 / (L122 * 8760)) + L472 + 0</f>
        <v>131.40495836957649</v>
      </c>
      <c r="M607" s="145">
        <f t="shared" si="221"/>
        <v>126.01967627762058</v>
      </c>
      <c r="N607" s="145">
        <f t="shared" si="221"/>
        <v>122.04429776007218</v>
      </c>
      <c r="O607" s="145">
        <f t="shared" si="221"/>
        <v>118.83800430395291</v>
      </c>
      <c r="P607" s="145">
        <f t="shared" si="221"/>
        <v>116.11659004653797</v>
      </c>
      <c r="Q607" s="145">
        <f t="shared" si="221"/>
        <v>113.72893788322662</v>
      </c>
      <c r="R607" s="145">
        <f t="shared" si="221"/>
        <v>111.58507528330858</v>
      </c>
      <c r="S607" s="145">
        <f t="shared" si="221"/>
        <v>109.62709138017831</v>
      </c>
      <c r="T607" s="145">
        <f t="shared" si="221"/>
        <v>107.81551661343799</v>
      </c>
      <c r="U607" s="145">
        <f t="shared" si="221"/>
        <v>106.1222432248065</v>
      </c>
      <c r="V607" s="145">
        <f t="shared" si="221"/>
        <v>104.52654625746059</v>
      </c>
      <c r="W607" s="145">
        <f t="shared" si="221"/>
        <v>103.01270640695299</v>
      </c>
      <c r="X607" s="145">
        <f t="shared" si="221"/>
        <v>102.16425376628226</v>
      </c>
      <c r="Y607" s="145">
        <f t="shared" si="221"/>
        <v>101.37519902074824</v>
      </c>
      <c r="Z607" s="145">
        <f t="shared" si="221"/>
        <v>100.63781541163873</v>
      </c>
      <c r="AA607" s="145">
        <f t="shared" si="221"/>
        <v>99.945789408777358</v>
      </c>
      <c r="AB607" s="145">
        <f t="shared" si="221"/>
        <v>99.293896095966076</v>
      </c>
      <c r="AC607" s="145">
        <f t="shared" si="221"/>
        <v>98.67776267196777</v>
      </c>
      <c r="AD607" s="145">
        <f t="shared" si="221"/>
        <v>98.093692846156685</v>
      </c>
      <c r="AE607" s="145">
        <f t="shared" si="221"/>
        <v>97.538534237855373</v>
      </c>
      <c r="AF607" s="145">
        <f t="shared" si="221"/>
        <v>97.009576734208594</v>
      </c>
      <c r="AG607" s="145">
        <f t="shared" si="221"/>
        <v>96.504473521669311</v>
      </c>
      <c r="AH607" s="145">
        <f t="shared" si="221"/>
        <v>96.021178982159498</v>
      </c>
      <c r="AI607" s="145">
        <f t="shared" si="221"/>
        <v>95.557899309947743</v>
      </c>
      <c r="AJ607" s="145">
        <f t="shared" si="221"/>
        <v>95.113052846352176</v>
      </c>
      <c r="AK607" s="145">
        <f t="shared" si="221"/>
        <v>94.685237924973677</v>
      </c>
      <c r="AL607" s="145">
        <f t="shared" si="221"/>
        <v>94.273206583662059</v>
      </c>
      <c r="AM607" s="145">
        <f t="shared" si="221"/>
        <v>93.875842904312464</v>
      </c>
      <c r="AN607" s="145">
        <f t="shared" si="221"/>
        <v>93.492145036387086</v>
      </c>
      <c r="AO607" s="145">
        <f t="shared" si="221"/>
        <v>93.121210177332472</v>
      </c>
      <c r="AP607" s="145">
        <f t="shared" si="221"/>
        <v>92.762221945015071</v>
      </c>
      <c r="AQ607" s="145">
        <f t="shared" si="221"/>
        <v>92.414439699287499</v>
      </c>
    </row>
    <row r="608" spans="7:43" ht="14.1" hidden="1" customHeight="1" thickTop="1" x14ac:dyDescent="0.25">
      <c r="G608" s="106"/>
      <c r="H608" s="163"/>
      <c r="J608" s="211"/>
      <c r="K608" s="119" t="s">
        <v>125</v>
      </c>
      <c r="L608" s="142">
        <f t="shared" ref="L608:AQ608" si="222" xml:space="preserve"> ((L85 * L629 * $N$43 * (L342 * 1 + L519) +L429) * 1000 / (L123 * 8760)) + L473 + 0</f>
        <v>130.21431542834802</v>
      </c>
      <c r="M608" s="142">
        <f t="shared" si="222"/>
        <v>119.81020397062859</v>
      </c>
      <c r="N608" s="142">
        <f t="shared" si="222"/>
        <v>112.261680282171</v>
      </c>
      <c r="O608" s="142">
        <f t="shared" si="222"/>
        <v>106.26188407992312</v>
      </c>
      <c r="P608" s="142">
        <f t="shared" si="222"/>
        <v>101.23433425183141</v>
      </c>
      <c r="Q608" s="142">
        <f t="shared" si="222"/>
        <v>96.873754279636358</v>
      </c>
      <c r="R608" s="142">
        <f t="shared" si="222"/>
        <v>92.998985516233077</v>
      </c>
      <c r="S608" s="142">
        <f t="shared" si="222"/>
        <v>89.493746817359849</v>
      </c>
      <c r="T608" s="142">
        <f t="shared" si="222"/>
        <v>86.278974144564117</v>
      </c>
      <c r="U608" s="142">
        <f t="shared" si="222"/>
        <v>83.298480248131028</v>
      </c>
      <c r="V608" s="142">
        <f t="shared" si="222"/>
        <v>80.510912752420296</v>
      </c>
      <c r="W608" s="142">
        <f t="shared" si="222"/>
        <v>77.884959232995399</v>
      </c>
      <c r="X608" s="142">
        <f t="shared" si="222"/>
        <v>76.256504999850179</v>
      </c>
      <c r="Y608" s="142">
        <f t="shared" si="222"/>
        <v>74.744153754233764</v>
      </c>
      <c r="Z608" s="142">
        <f t="shared" si="222"/>
        <v>73.332665797567742</v>
      </c>
      <c r="AA608" s="142">
        <f t="shared" si="222"/>
        <v>72.009605153561921</v>
      </c>
      <c r="AB608" s="142">
        <f t="shared" si="222"/>
        <v>70.764692796248269</v>
      </c>
      <c r="AC608" s="142">
        <f t="shared" si="222"/>
        <v>69.589336030159913</v>
      </c>
      <c r="AD608" s="142">
        <f t="shared" si="222"/>
        <v>68.476279457025726</v>
      </c>
      <c r="AE608" s="142">
        <f t="shared" si="222"/>
        <v>67.419341708276903</v>
      </c>
      <c r="AF608" s="142">
        <f t="shared" si="222"/>
        <v>66.41321385399786</v>
      </c>
      <c r="AG608" s="142">
        <f t="shared" si="222"/>
        <v>65.453302936647702</v>
      </c>
      <c r="AH608" s="142">
        <f t="shared" si="222"/>
        <v>64.535609036058432</v>
      </c>
      <c r="AI608" s="142">
        <f t="shared" si="222"/>
        <v>63.65662760306914</v>
      </c>
      <c r="AJ608" s="142">
        <f t="shared" si="222"/>
        <v>62.813271079765933</v>
      </c>
      <c r="AK608" s="142">
        <f t="shared" si="222"/>
        <v>62.002805413008353</v>
      </c>
      <c r="AL608" s="142">
        <f t="shared" si="222"/>
        <v>61.222798192206092</v>
      </c>
      <c r="AM608" s="142">
        <f t="shared" si="222"/>
        <v>60.471075949483783</v>
      </c>
      <c r="AN608" s="142">
        <f t="shared" si="222"/>
        <v>59.745688747611084</v>
      </c>
      <c r="AO608" s="142">
        <f t="shared" si="222"/>
        <v>59.044880613555712</v>
      </c>
      <c r="AP608" s="142">
        <f t="shared" si="222"/>
        <v>58.367064697652658</v>
      </c>
      <c r="AQ608" s="142">
        <f t="shared" si="222"/>
        <v>57.710802280853642</v>
      </c>
    </row>
    <row r="609" spans="7:43" ht="14.1" hidden="1" customHeight="1" x14ac:dyDescent="0.25">
      <c r="G609" s="106"/>
      <c r="H609" s="163"/>
      <c r="J609" s="211"/>
      <c r="K609" s="7" t="s">
        <v>126</v>
      </c>
      <c r="L609" s="140">
        <f t="shared" ref="L609:AQ609" si="223" xml:space="preserve"> ((L86 * L630 * $N$43 * (L343 * 1 + L520) +L430) * 1000 / (L124 * 8760)) + L474 + 0</f>
        <v>135.17384293234628</v>
      </c>
      <c r="M609" s="140">
        <f t="shared" si="223"/>
        <v>126.01734472104691</v>
      </c>
      <c r="N609" s="140">
        <f t="shared" si="223"/>
        <v>119.35288729764575</v>
      </c>
      <c r="O609" s="140">
        <f t="shared" si="223"/>
        <v>114.0421855307108</v>
      </c>
      <c r="P609" s="140">
        <f t="shared" si="223"/>
        <v>109.58235797378086</v>
      </c>
      <c r="Q609" s="140">
        <f t="shared" si="223"/>
        <v>105.70679663105433</v>
      </c>
      <c r="R609" s="140">
        <f t="shared" si="223"/>
        <v>102.25714269216549</v>
      </c>
      <c r="S609" s="140">
        <f t="shared" si="223"/>
        <v>99.131670388627626</v>
      </c>
      <c r="T609" s="140">
        <f t="shared" si="223"/>
        <v>96.26116601971043</v>
      </c>
      <c r="U609" s="140">
        <f t="shared" si="223"/>
        <v>93.596413583022922</v>
      </c>
      <c r="V609" s="140">
        <f t="shared" si="223"/>
        <v>91.101172412106806</v>
      </c>
      <c r="W609" s="140">
        <f t="shared" si="223"/>
        <v>88.747987813116808</v>
      </c>
      <c r="X609" s="140">
        <f t="shared" si="223"/>
        <v>87.304860681304305</v>
      </c>
      <c r="Y609" s="140">
        <f t="shared" si="223"/>
        <v>85.964091379920646</v>
      </c>
      <c r="Z609" s="140">
        <f t="shared" si="223"/>
        <v>84.712278691585539</v>
      </c>
      <c r="AA609" s="140">
        <f t="shared" si="223"/>
        <v>83.538482790912141</v>
      </c>
      <c r="AB609" s="140">
        <f t="shared" si="223"/>
        <v>82.433658132097534</v>
      </c>
      <c r="AC609" s="140">
        <f t="shared" si="223"/>
        <v>81.390240646557771</v>
      </c>
      <c r="AD609" s="140">
        <f t="shared" si="223"/>
        <v>80.40184148771344</v>
      </c>
      <c r="AE609" s="140">
        <f t="shared" si="223"/>
        <v>79.463015957427956</v>
      </c>
      <c r="AF609" s="140">
        <f t="shared" si="223"/>
        <v>78.569086514142285</v>
      </c>
      <c r="AG609" s="140">
        <f t="shared" si="223"/>
        <v>77.716005360687092</v>
      </c>
      <c r="AH609" s="140">
        <f t="shared" si="223"/>
        <v>76.900246451049711</v>
      </c>
      <c r="AI609" s="140">
        <f t="shared" si="223"/>
        <v>76.118719672626966</v>
      </c>
      <c r="AJ609" s="140">
        <f t="shared" si="223"/>
        <v>75.368701958445328</v>
      </c>
      <c r="AK609" s="140">
        <f t="shared" si="223"/>
        <v>74.647781475989476</v>
      </c>
      <c r="AL609" s="140">
        <f t="shared" si="223"/>
        <v>73.95381202470584</v>
      </c>
      <c r="AM609" s="140">
        <f t="shared" si="223"/>
        <v>73.284875481897473</v>
      </c>
      <c r="AN609" s="140">
        <f t="shared" si="223"/>
        <v>72.639250651668689</v>
      </c>
      <c r="AO609" s="140">
        <f t="shared" si="223"/>
        <v>72.015387250901242</v>
      </c>
      <c r="AP609" s="140">
        <f t="shared" si="223"/>
        <v>71.411884048837109</v>
      </c>
      <c r="AQ609" s="140">
        <f t="shared" si="223"/>
        <v>70.827470389598162</v>
      </c>
    </row>
    <row r="610" spans="7:43" ht="14.1" hidden="1" customHeight="1" thickBot="1" x14ac:dyDescent="0.3">
      <c r="G610" s="106"/>
      <c r="H610" s="163"/>
      <c r="J610" s="211"/>
      <c r="K610" s="121" t="s">
        <v>127</v>
      </c>
      <c r="L610" s="141">
        <f t="shared" ref="L610:AQ610" si="224" xml:space="preserve"> ((L87 * L631 * $N$43 * (L344 * 1 + L521) +L431) * 1000 / (L125 * 8760)) + L475 + 0</f>
        <v>143.32479386253169</v>
      </c>
      <c r="M610" s="141">
        <f t="shared" si="224"/>
        <v>137.45246295845536</v>
      </c>
      <c r="N610" s="141">
        <f t="shared" si="224"/>
        <v>133.11788024634123</v>
      </c>
      <c r="O610" s="141">
        <f t="shared" si="224"/>
        <v>129.62211965425021</v>
      </c>
      <c r="P610" s="141">
        <f t="shared" si="224"/>
        <v>126.65520447549879</v>
      </c>
      <c r="Q610" s="141">
        <f t="shared" si="224"/>
        <v>124.05231486892818</v>
      </c>
      <c r="R610" s="141">
        <f t="shared" si="224"/>
        <v>121.71531996531316</v>
      </c>
      <c r="S610" s="141">
        <f t="shared" si="224"/>
        <v>119.58105780195577</v>
      </c>
      <c r="T610" s="141">
        <f t="shared" si="224"/>
        <v>117.60647991224106</v>
      </c>
      <c r="U610" s="141">
        <f t="shared" si="224"/>
        <v>115.760929875126</v>
      </c>
      <c r="V610" s="141">
        <f t="shared" si="224"/>
        <v>114.02180351243419</v>
      </c>
      <c r="W610" s="141">
        <f t="shared" si="224"/>
        <v>112.37195618857392</v>
      </c>
      <c r="X610" s="141">
        <f t="shared" si="224"/>
        <v>111.44655847801401</v>
      </c>
      <c r="Y610" s="141">
        <f t="shared" si="224"/>
        <v>110.5859453851828</v>
      </c>
      <c r="Z610" s="141">
        <f t="shared" si="224"/>
        <v>109.78168942075628</v>
      </c>
      <c r="AA610" s="141">
        <f t="shared" si="224"/>
        <v>109.0269044880076</v>
      </c>
      <c r="AB610" s="141">
        <f t="shared" si="224"/>
        <v>108.31589182932485</v>
      </c>
      <c r="AC610" s="141">
        <f t="shared" si="224"/>
        <v>107.64388207936773</v>
      </c>
      <c r="AD610" s="141">
        <f t="shared" si="224"/>
        <v>107.00684373536117</v>
      </c>
      <c r="AE610" s="141">
        <f t="shared" si="224"/>
        <v>106.4013385310316</v>
      </c>
      <c r="AF610" s="141">
        <f t="shared" si="224"/>
        <v>105.82441057667322</v>
      </c>
      <c r="AG610" s="141">
        <f t="shared" si="224"/>
        <v>105.27350022907203</v>
      </c>
      <c r="AH610" s="141">
        <f t="shared" si="224"/>
        <v>104.74637635554171</v>
      </c>
      <c r="AI610" s="141">
        <f t="shared" si="224"/>
        <v>104.24108247230342</v>
      </c>
      <c r="AJ610" s="141">
        <f t="shared" si="224"/>
        <v>103.75589348198984</v>
      </c>
      <c r="AK610" s="141">
        <f t="shared" si="224"/>
        <v>103.28928060280039</v>
      </c>
      <c r="AL610" s="141">
        <f t="shared" si="224"/>
        <v>102.83988269643649</v>
      </c>
      <c r="AM610" s="141">
        <f t="shared" si="224"/>
        <v>102.40648264355998</v>
      </c>
      <c r="AN610" s="141">
        <f t="shared" si="224"/>
        <v>101.98798773704935</v>
      </c>
      <c r="AO610" s="141">
        <f t="shared" si="224"/>
        <v>101.58341330030896</v>
      </c>
      <c r="AP610" s="141">
        <f t="shared" si="224"/>
        <v>101.1918689145258</v>
      </c>
      <c r="AQ610" s="141">
        <f t="shared" si="224"/>
        <v>100.81254677182132</v>
      </c>
    </row>
    <row r="611" spans="7:43" ht="14.1" hidden="1" customHeight="1" thickTop="1" x14ac:dyDescent="0.25">
      <c r="G611" s="106"/>
      <c r="H611" s="163"/>
      <c r="J611" s="211"/>
      <c r="K611" s="119" t="s">
        <v>128</v>
      </c>
      <c r="L611" s="142">
        <f t="shared" ref="L611:AQ611" si="225" xml:space="preserve"> ((L85 * L629 * $N$43 * (L345 * 1 + L522) +L432) * 1000 / (L126 * 8760)) + L476 + 0</f>
        <v>143.3433577853707</v>
      </c>
      <c r="M611" s="142">
        <f t="shared" si="225"/>
        <v>131.88108163030009</v>
      </c>
      <c r="N611" s="142">
        <f t="shared" si="225"/>
        <v>123.56277576409305</v>
      </c>
      <c r="O611" s="142">
        <f t="shared" si="225"/>
        <v>116.94961027569896</v>
      </c>
      <c r="P611" s="142">
        <f t="shared" si="225"/>
        <v>111.40688804037177</v>
      </c>
      <c r="Q611" s="142">
        <f t="shared" si="225"/>
        <v>106.59850328286973</v>
      </c>
      <c r="R611" s="142">
        <f t="shared" si="225"/>
        <v>102.32500199933119</v>
      </c>
      <c r="S611" s="142">
        <f t="shared" si="225"/>
        <v>98.458359392998361</v>
      </c>
      <c r="T611" s="142">
        <f t="shared" si="225"/>
        <v>94.911526241547719</v>
      </c>
      <c r="U611" s="142">
        <f t="shared" si="225"/>
        <v>91.622640428098933</v>
      </c>
      <c r="V611" s="142">
        <f t="shared" si="225"/>
        <v>88.546172905087786</v>
      </c>
      <c r="W611" s="142">
        <f t="shared" si="225"/>
        <v>85.647648544085101</v>
      </c>
      <c r="X611" s="142">
        <f t="shared" si="225"/>
        <v>83.854889008640868</v>
      </c>
      <c r="Y611" s="142">
        <f t="shared" si="225"/>
        <v>82.189946867671722</v>
      </c>
      <c r="Z611" s="142">
        <f t="shared" si="225"/>
        <v>80.636044785891315</v>
      </c>
      <c r="AA611" s="142">
        <f t="shared" si="225"/>
        <v>79.179492037082909</v>
      </c>
      <c r="AB611" s="142">
        <f t="shared" si="225"/>
        <v>77.808972474837887</v>
      </c>
      <c r="AC611" s="142">
        <f t="shared" si="225"/>
        <v>76.515026428654394</v>
      </c>
      <c r="AD611" s="142">
        <f t="shared" si="225"/>
        <v>75.289666454258523</v>
      </c>
      <c r="AE611" s="142">
        <f t="shared" si="225"/>
        <v>74.126087503244932</v>
      </c>
      <c r="AF611" s="142">
        <f t="shared" si="225"/>
        <v>73.018444992124131</v>
      </c>
      <c r="AG611" s="142">
        <f t="shared" si="225"/>
        <v>71.961682549090085</v>
      </c>
      <c r="AH611" s="142">
        <f t="shared" si="225"/>
        <v>70.951396675265798</v>
      </c>
      <c r="AI611" s="142">
        <f t="shared" si="225"/>
        <v>69.983729224111457</v>
      </c>
      <c r="AJ611" s="142">
        <f t="shared" si="225"/>
        <v>69.055281113396248</v>
      </c>
      <c r="AK611" s="142">
        <f t="shared" si="225"/>
        <v>68.163042433142678</v>
      </c>
      <c r="AL611" s="142">
        <f t="shared" si="225"/>
        <v>67.304335350670982</v>
      </c>
      <c r="AM611" s="142">
        <f t="shared" si="225"/>
        <v>66.476767102488111</v>
      </c>
      <c r="AN611" s="142">
        <f t="shared" si="225"/>
        <v>65.678191009253936</v>
      </c>
      <c r="AO611" s="142">
        <f t="shared" si="225"/>
        <v>64.906673926175316</v>
      </c>
      <c r="AP611" s="142">
        <f t="shared" si="225"/>
        <v>64.160468895816038</v>
      </c>
      <c r="AQ611" s="142">
        <f t="shared" si="225"/>
        <v>63.437992037245863</v>
      </c>
    </row>
    <row r="612" spans="7:43" ht="14.1" hidden="1" customHeight="1" x14ac:dyDescent="0.25">
      <c r="G612" s="106"/>
      <c r="H612" s="163"/>
      <c r="J612" s="211"/>
      <c r="K612" s="7" t="s">
        <v>129</v>
      </c>
      <c r="L612" s="140">
        <f t="shared" ref="L612:AQ612" si="226" xml:space="preserve"> ((L86 * L630 * $N$43 * (L346 * 1 + L523) +L433) * 1000 / (L127 * 8760)) + L477 + 0</f>
        <v>150.68805421990444</v>
      </c>
      <c r="M612" s="140">
        <f t="shared" si="226"/>
        <v>140.48532781283419</v>
      </c>
      <c r="N612" s="140">
        <f t="shared" si="226"/>
        <v>133.06044159451898</v>
      </c>
      <c r="O612" s="140">
        <f t="shared" si="226"/>
        <v>127.1445625868905</v>
      </c>
      <c r="P612" s="140">
        <f t="shared" si="226"/>
        <v>122.17713551168806</v>
      </c>
      <c r="Q612" s="140">
        <f t="shared" si="226"/>
        <v>117.86097634818006</v>
      </c>
      <c r="R612" s="140">
        <f t="shared" si="226"/>
        <v>114.01956507505686</v>
      </c>
      <c r="S612" s="140">
        <f t="shared" si="226"/>
        <v>110.53950975371822</v>
      </c>
      <c r="T612" s="140">
        <f t="shared" si="226"/>
        <v>107.34365917550194</v>
      </c>
      <c r="U612" s="140">
        <f t="shared" si="226"/>
        <v>104.37715325713845</v>
      </c>
      <c r="V612" s="140">
        <f t="shared" si="226"/>
        <v>101.59959530982816</v>
      </c>
      <c r="W612" s="140">
        <f t="shared" si="226"/>
        <v>98.980382216433085</v>
      </c>
      <c r="X612" s="140">
        <f t="shared" si="226"/>
        <v>97.371684969773511</v>
      </c>
      <c r="Y612" s="140">
        <f t="shared" si="226"/>
        <v>95.877089077287906</v>
      </c>
      <c r="Z612" s="140">
        <f t="shared" si="226"/>
        <v>94.481655798634975</v>
      </c>
      <c r="AA612" s="140">
        <f t="shared" si="226"/>
        <v>93.17319018120736</v>
      </c>
      <c r="AB612" s="140">
        <f t="shared" si="226"/>
        <v>91.941608882860947</v>
      </c>
      <c r="AC612" s="140">
        <f t="shared" si="226"/>
        <v>90.778480008694416</v>
      </c>
      <c r="AD612" s="140">
        <f t="shared" si="226"/>
        <v>89.676681719144952</v>
      </c>
      <c r="AE612" s="140">
        <f t="shared" si="226"/>
        <v>88.630144645334227</v>
      </c>
      <c r="AF612" s="140">
        <f t="shared" si="226"/>
        <v>87.633654590909558</v>
      </c>
      <c r="AG612" s="140">
        <f t="shared" si="226"/>
        <v>86.68269935454245</v>
      </c>
      <c r="AH612" s="140">
        <f t="shared" si="226"/>
        <v>85.773348346621574</v>
      </c>
      <c r="AI612" s="140">
        <f t="shared" si="226"/>
        <v>84.902156925627153</v>
      </c>
      <c r="AJ612" s="140">
        <f t="shared" si="226"/>
        <v>84.066089606849459</v>
      </c>
      <c r="AK612" s="140">
        <f t="shared" si="226"/>
        <v>83.262457847996288</v>
      </c>
      <c r="AL612" s="140">
        <f t="shared" si="226"/>
        <v>82.488869214717909</v>
      </c>
      <c r="AM612" s="140">
        <f t="shared" si="226"/>
        <v>81.743185517915535</v>
      </c>
      <c r="AN612" s="140">
        <f t="shared" si="226"/>
        <v>81.023488088722573</v>
      </c>
      <c r="AO612" s="140">
        <f t="shared" si="226"/>
        <v>80.328048779889272</v>
      </c>
      <c r="AP612" s="140">
        <f t="shared" si="226"/>
        <v>79.65530559731782</v>
      </c>
      <c r="AQ612" s="140">
        <f t="shared" si="226"/>
        <v>79.003842102658766</v>
      </c>
    </row>
    <row r="613" spans="7:43" ht="14.1" hidden="1" customHeight="1" thickBot="1" x14ac:dyDescent="0.3">
      <c r="G613" s="106"/>
      <c r="H613" s="163"/>
      <c r="J613" s="211"/>
      <c r="K613" s="121" t="s">
        <v>130</v>
      </c>
      <c r="L613" s="141">
        <f t="shared" ref="L613:AQ613" si="227" xml:space="preserve"> ((L87 * L631 * $N$43 * (L347 * 1 + L524) +L434) * 1000 / (L128 * 8760)) + L478 + 0</f>
        <v>159.77389858095074</v>
      </c>
      <c r="M613" s="141">
        <f t="shared" si="227"/>
        <v>153.23128465189041</v>
      </c>
      <c r="N613" s="141">
        <f t="shared" si="227"/>
        <v>148.40278017333068</v>
      </c>
      <c r="O613" s="141">
        <f t="shared" si="227"/>
        <v>144.50929910651493</v>
      </c>
      <c r="P613" s="141">
        <f t="shared" si="227"/>
        <v>141.20531375187684</v>
      </c>
      <c r="Q613" s="141">
        <f t="shared" si="227"/>
        <v>138.30710135934839</v>
      </c>
      <c r="R613" s="141">
        <f t="shared" si="227"/>
        <v>135.70527668635552</v>
      </c>
      <c r="S613" s="141">
        <f t="shared" si="227"/>
        <v>133.32943394703409</v>
      </c>
      <c r="T613" s="141">
        <f t="shared" si="227"/>
        <v>131.13158763666007</v>
      </c>
      <c r="U613" s="141">
        <f t="shared" si="227"/>
        <v>129.07756551259669</v>
      </c>
      <c r="V613" s="141">
        <f t="shared" si="227"/>
        <v>127.14217106423199</v>
      </c>
      <c r="W613" s="141">
        <f t="shared" si="227"/>
        <v>125.3062934598574</v>
      </c>
      <c r="X613" s="141">
        <f t="shared" si="227"/>
        <v>124.27473681683063</v>
      </c>
      <c r="Y613" s="141">
        <f t="shared" si="227"/>
        <v>123.3153967057164</v>
      </c>
      <c r="Z613" s="141">
        <f t="shared" si="227"/>
        <v>122.41887885790915</v>
      </c>
      <c r="AA613" s="141">
        <f t="shared" si="227"/>
        <v>121.57750722197422</v>
      </c>
      <c r="AB613" s="141">
        <f t="shared" si="227"/>
        <v>120.78492929404912</v>
      </c>
      <c r="AC613" s="141">
        <f t="shared" si="227"/>
        <v>120.03582857999763</v>
      </c>
      <c r="AD613" s="141">
        <f t="shared" si="227"/>
        <v>119.32571109390659</v>
      </c>
      <c r="AE613" s="141">
        <f t="shared" si="227"/>
        <v>118.65074414089315</v>
      </c>
      <c r="AF613" s="141">
        <f t="shared" si="227"/>
        <v>118.00763273960661</v>
      </c>
      <c r="AG613" s="141">
        <f t="shared" si="227"/>
        <v>117.39352361153379</v>
      </c>
      <c r="AH613" s="141">
        <f t="shared" si="227"/>
        <v>116.80592967454191</v>
      </c>
      <c r="AI613" s="141">
        <f t="shared" si="227"/>
        <v>116.24267000239453</v>
      </c>
      <c r="AJ613" s="141">
        <f t="shared" si="227"/>
        <v>115.70182159929558</v>
      </c>
      <c r="AK613" s="141">
        <f t="shared" si="227"/>
        <v>115.18168030580952</v>
      </c>
      <c r="AL613" s="141">
        <f t="shared" si="227"/>
        <v>114.68072883761353</v>
      </c>
      <c r="AM613" s="141">
        <f t="shared" si="227"/>
        <v>114.19761045081081</v>
      </c>
      <c r="AN613" s="141">
        <f t="shared" si="227"/>
        <v>113.73110708595362</v>
      </c>
      <c r="AO613" s="141">
        <f t="shared" si="227"/>
        <v>113.28012110708828</v>
      </c>
      <c r="AP613" s="141">
        <f t="shared" si="227"/>
        <v>112.84365994903976</v>
      </c>
      <c r="AQ613" s="141">
        <f t="shared" si="227"/>
        <v>112.42082313446851</v>
      </c>
    </row>
    <row r="614" spans="7:43" ht="14.1" hidden="1" customHeight="1" thickTop="1" x14ac:dyDescent="0.25">
      <c r="G614" s="106"/>
      <c r="H614" s="163"/>
      <c r="J614" s="211"/>
      <c r="K614" s="119" t="s">
        <v>131</v>
      </c>
      <c r="L614" s="142">
        <f t="shared" ref="L614:AQ614" si="228" xml:space="preserve"> ((L85 * L629 * $N$43 * (L348 * 1 + L525) +L435) * 1000 / (L129 * 8760)) + L479 + 0</f>
        <v>187.11084625185924</v>
      </c>
      <c r="M614" s="142">
        <f t="shared" si="228"/>
        <v>172.16589986915852</v>
      </c>
      <c r="N614" s="142">
        <f t="shared" si="228"/>
        <v>161.32401378996283</v>
      </c>
      <c r="O614" s="142">
        <f t="shared" si="228"/>
        <v>152.70741676320068</v>
      </c>
      <c r="P614" s="142">
        <f t="shared" si="228"/>
        <v>145.48778886281681</v>
      </c>
      <c r="Q614" s="142">
        <f t="shared" si="228"/>
        <v>139.22649240815448</v>
      </c>
      <c r="R614" s="142">
        <f t="shared" si="228"/>
        <v>133.66322922564061</v>
      </c>
      <c r="S614" s="142">
        <f t="shared" si="228"/>
        <v>128.63092069997137</v>
      </c>
      <c r="T614" s="142">
        <f t="shared" si="228"/>
        <v>124.01596375681426</v>
      </c>
      <c r="U614" s="142">
        <f t="shared" si="228"/>
        <v>119.73762589880768</v>
      </c>
      <c r="V614" s="142">
        <f t="shared" si="228"/>
        <v>115.73649014247272</v>
      </c>
      <c r="W614" s="142">
        <f t="shared" si="228"/>
        <v>111.96756541449946</v>
      </c>
      <c r="X614" s="142">
        <f t="shared" si="228"/>
        <v>109.62763049989613</v>
      </c>
      <c r="Y614" s="142">
        <f t="shared" si="228"/>
        <v>107.4545245980423</v>
      </c>
      <c r="Z614" s="142">
        <f t="shared" si="228"/>
        <v>105.42634970426286</v>
      </c>
      <c r="AA614" s="142">
        <f t="shared" si="228"/>
        <v>103.52523649737469</v>
      </c>
      <c r="AB614" s="142">
        <f t="shared" si="228"/>
        <v>101.73641498962255</v>
      </c>
      <c r="AC614" s="142">
        <f t="shared" si="228"/>
        <v>100.04753829056072</v>
      </c>
      <c r="AD614" s="142">
        <f t="shared" si="228"/>
        <v>98.448181079241365</v>
      </c>
      <c r="AE614" s="142">
        <f t="shared" si="228"/>
        <v>96.929461313752228</v>
      </c>
      <c r="AF614" s="142">
        <f t="shared" si="228"/>
        <v>95.483750563963497</v>
      </c>
      <c r="AG614" s="142">
        <f t="shared" si="228"/>
        <v>94.104449184297337</v>
      </c>
      <c r="AH614" s="142">
        <f t="shared" si="228"/>
        <v>92.785809667766941</v>
      </c>
      <c r="AI614" s="142">
        <f t="shared" si="228"/>
        <v>91.522796308653</v>
      </c>
      <c r="AJ614" s="142">
        <f t="shared" si="228"/>
        <v>90.310972578206815</v>
      </c>
      <c r="AK614" s="142">
        <f t="shared" si="228"/>
        <v>89.146409900596069</v>
      </c>
      <c r="AL614" s="142">
        <f t="shared" si="228"/>
        <v>88.025613131797797</v>
      </c>
      <c r="AM614" s="142">
        <f t="shared" si="228"/>
        <v>86.945459203975986</v>
      </c>
      <c r="AN614" s="142">
        <f t="shared" si="228"/>
        <v>85.903146241687864</v>
      </c>
      <c r="AO614" s="142">
        <f t="shared" si="228"/>
        <v>84.896151077697141</v>
      </c>
      <c r="AP614" s="142">
        <f t="shared" si="228"/>
        <v>83.922193559050527</v>
      </c>
      <c r="AQ614" s="142">
        <f t="shared" si="228"/>
        <v>82.979206382481252</v>
      </c>
    </row>
    <row r="615" spans="7:43" ht="14.1" hidden="1" customHeight="1" x14ac:dyDescent="0.25">
      <c r="G615" s="106"/>
      <c r="H615" s="163"/>
      <c r="J615" s="211"/>
      <c r="K615" s="7" t="s">
        <v>132</v>
      </c>
      <c r="L615" s="140">
        <f t="shared" ref="L615:AQ615" si="229" xml:space="preserve"> ((L86 * L630 * $N$43 * (L349 * 1 + L526) +L436) * 1000 / (L130 * 8760)) + L480 + 0</f>
        <v>194.23701748516109</v>
      </c>
      <c r="M615" s="140">
        <f t="shared" si="229"/>
        <v>181.08435065689332</v>
      </c>
      <c r="N615" s="140">
        <f t="shared" si="229"/>
        <v>171.51238449385366</v>
      </c>
      <c r="O615" s="140">
        <f t="shared" si="229"/>
        <v>163.88556482887694</v>
      </c>
      <c r="P615" s="140">
        <f t="shared" si="229"/>
        <v>157.48132312767544</v>
      </c>
      <c r="Q615" s="140">
        <f t="shared" si="229"/>
        <v>151.91658230382203</v>
      </c>
      <c r="R615" s="140">
        <f t="shared" si="229"/>
        <v>146.96380389768976</v>
      </c>
      <c r="S615" s="140">
        <f t="shared" si="229"/>
        <v>142.47682299271926</v>
      </c>
      <c r="T615" s="140">
        <f t="shared" si="229"/>
        <v>138.35618981122767</v>
      </c>
      <c r="U615" s="140">
        <f t="shared" si="229"/>
        <v>134.53118835694519</v>
      </c>
      <c r="V615" s="140">
        <f t="shared" si="229"/>
        <v>130.94974629043438</v>
      </c>
      <c r="W615" s="140">
        <f t="shared" si="229"/>
        <v>127.5724154196066</v>
      </c>
      <c r="X615" s="140">
        <f t="shared" si="229"/>
        <v>125.49878595518943</v>
      </c>
      <c r="Y615" s="140">
        <f t="shared" si="229"/>
        <v>123.57223446360793</v>
      </c>
      <c r="Z615" s="140">
        <f t="shared" si="229"/>
        <v>121.77350473478442</v>
      </c>
      <c r="AA615" s="140">
        <f t="shared" si="229"/>
        <v>120.08687733294809</v>
      </c>
      <c r="AB615" s="140">
        <f t="shared" si="229"/>
        <v>118.49935471277867</v>
      </c>
      <c r="AC615" s="140">
        <f t="shared" si="229"/>
        <v>117.00006806366284</v>
      </c>
      <c r="AD615" s="140">
        <f t="shared" si="229"/>
        <v>115.57983725155795</v>
      </c>
      <c r="AE615" s="140">
        <f t="shared" si="229"/>
        <v>114.23083878937673</v>
      </c>
      <c r="AF615" s="140">
        <f t="shared" si="229"/>
        <v>112.94635151736553</v>
      </c>
      <c r="AG615" s="140">
        <f t="shared" si="229"/>
        <v>111.72055915552289</v>
      </c>
      <c r="AH615" s="140">
        <f t="shared" si="229"/>
        <v>110.54839512811643</v>
      </c>
      <c r="AI615" s="140">
        <f t="shared" si="229"/>
        <v>109.42541925215667</v>
      </c>
      <c r="AJ615" s="140">
        <f t="shared" si="229"/>
        <v>108.34771875254202</v>
      </c>
      <c r="AK615" s="140">
        <f t="shared" si="229"/>
        <v>107.31182806698286</v>
      </c>
      <c r="AL615" s="140">
        <f t="shared" si="229"/>
        <v>106.31466331977187</v>
      </c>
      <c r="AM615" s="140">
        <f t="shared" si="229"/>
        <v>105.35346836028788</v>
      </c>
      <c r="AN615" s="140">
        <f t="shared" si="229"/>
        <v>104.42577000204257</v>
      </c>
      <c r="AO615" s="140">
        <f t="shared" si="229"/>
        <v>103.52934064312802</v>
      </c>
      <c r="AP615" s="140">
        <f t="shared" si="229"/>
        <v>102.66216685498193</v>
      </c>
      <c r="AQ615" s="140">
        <f t="shared" si="229"/>
        <v>101.82242283209486</v>
      </c>
    </row>
    <row r="616" spans="7:43" ht="14.1" hidden="1" customHeight="1" thickBot="1" x14ac:dyDescent="0.3">
      <c r="G616" s="106"/>
      <c r="H616" s="163"/>
      <c r="J616" s="211"/>
      <c r="K616" s="121" t="s">
        <v>133</v>
      </c>
      <c r="L616" s="141">
        <f t="shared" ref="L616:AQ616" si="230" xml:space="preserve"> ((L87 * L631 * $N$43 * (L350 * 1 + L527) +L437) * 1000 / (L131 * 8760)) + L481 + 0</f>
        <v>205.94885291038614</v>
      </c>
      <c r="M616" s="141">
        <f t="shared" si="230"/>
        <v>197.51435699227093</v>
      </c>
      <c r="N616" s="141">
        <f t="shared" si="230"/>
        <v>191.28938668121057</v>
      </c>
      <c r="O616" s="141">
        <f t="shared" si="230"/>
        <v>186.26968300399687</v>
      </c>
      <c r="P616" s="141">
        <f t="shared" si="230"/>
        <v>182.00985310069956</v>
      </c>
      <c r="Q616" s="141">
        <f t="shared" si="230"/>
        <v>178.27307423205144</v>
      </c>
      <c r="R616" s="141">
        <f t="shared" si="230"/>
        <v>174.91834634484275</v>
      </c>
      <c r="S616" s="141">
        <f t="shared" si="230"/>
        <v>171.85491477120112</v>
      </c>
      <c r="T616" s="141">
        <f t="shared" si="230"/>
        <v>169.02092508711002</v>
      </c>
      <c r="U616" s="141">
        <f t="shared" si="230"/>
        <v>166.37232847451924</v>
      </c>
      <c r="V616" s="141">
        <f t="shared" si="230"/>
        <v>163.87664603754095</v>
      </c>
      <c r="W616" s="141">
        <f t="shared" si="230"/>
        <v>161.50924345937688</v>
      </c>
      <c r="X616" s="141">
        <f t="shared" si="230"/>
        <v>160.17955149140477</v>
      </c>
      <c r="Y616" s="141">
        <f t="shared" si="230"/>
        <v>158.94294771177766</v>
      </c>
      <c r="Z616" s="141">
        <f t="shared" si="230"/>
        <v>157.78732276815546</v>
      </c>
      <c r="AA616" s="141">
        <f t="shared" si="230"/>
        <v>156.70278211573032</v>
      </c>
      <c r="AB616" s="141">
        <f t="shared" si="230"/>
        <v>155.68113728223895</v>
      </c>
      <c r="AC616" s="141">
        <f t="shared" si="230"/>
        <v>154.71553522739708</v>
      </c>
      <c r="AD616" s="141">
        <f t="shared" si="230"/>
        <v>153.80018313628261</v>
      </c>
      <c r="AE616" s="141">
        <f t="shared" si="230"/>
        <v>152.93014060797194</v>
      </c>
      <c r="AF616" s="141">
        <f t="shared" si="230"/>
        <v>152.10116036230394</v>
      </c>
      <c r="AG616" s="141">
        <f t="shared" si="230"/>
        <v>151.30956448066371</v>
      </c>
      <c r="AH616" s="141">
        <f t="shared" si="230"/>
        <v>150.55214707703385</v>
      </c>
      <c r="AI616" s="141">
        <f t="shared" si="230"/>
        <v>149.82609690491552</v>
      </c>
      <c r="AJ616" s="141">
        <f t="shared" si="230"/>
        <v>149.12893519399663</v>
      </c>
      <c r="AK616" s="141">
        <f t="shared" si="230"/>
        <v>148.45846525730016</v>
      </c>
      <c r="AL616" s="141">
        <f t="shared" si="230"/>
        <v>147.81273129265881</v>
      </c>
      <c r="AM616" s="141">
        <f t="shared" si="230"/>
        <v>147.18998443691137</v>
      </c>
      <c r="AN616" s="141">
        <f t="shared" si="230"/>
        <v>146.58865459322189</v>
      </c>
      <c r="AO616" s="141">
        <f t="shared" si="230"/>
        <v>146.00732689243654</v>
      </c>
      <c r="AP616" s="141">
        <f t="shared" si="230"/>
        <v>145.44472190320454</v>
      </c>
      <c r="AQ616" s="141">
        <f t="shared" si="230"/>
        <v>144.89967889677044</v>
      </c>
    </row>
    <row r="617" spans="7:43" ht="14.1" customHeight="1" thickTop="1" x14ac:dyDescent="0.25">
      <c r="G617" s="106"/>
      <c r="H617" s="163"/>
      <c r="J617" s="211"/>
      <c r="K617" s="119" t="s">
        <v>134</v>
      </c>
      <c r="L617" s="142">
        <f t="shared" ref="L617:AQ617" si="231" xml:space="preserve"> ((L85 * L629 * $N$43 * (L351 * 1 + L528) +L438) * 1000 / (L132 * 8760)) + L482 + 0</f>
        <v>308.48280347788688</v>
      </c>
      <c r="M617" s="142">
        <f t="shared" si="231"/>
        <v>285.15008493961295</v>
      </c>
      <c r="N617" s="142">
        <f t="shared" si="231"/>
        <v>268.2124539040862</v>
      </c>
      <c r="O617" s="142">
        <f t="shared" si="231"/>
        <v>254.74325795912983</v>
      </c>
      <c r="P617" s="142">
        <f t="shared" si="231"/>
        <v>243.45147897345603</v>
      </c>
      <c r="Q617" s="142">
        <f t="shared" si="231"/>
        <v>233.65344921379341</v>
      </c>
      <c r="R617" s="142">
        <f t="shared" si="231"/>
        <v>224.9434596191544</v>
      </c>
      <c r="S617" s="142">
        <f t="shared" si="231"/>
        <v>217.06109363297324</v>
      </c>
      <c r="T617" s="142">
        <f t="shared" si="231"/>
        <v>209.82928257972441</v>
      </c>
      <c r="U617" s="142">
        <f t="shared" si="231"/>
        <v>203.12219077432749</v>
      </c>
      <c r="V617" s="142">
        <f t="shared" si="231"/>
        <v>196.84720569937187</v>
      </c>
      <c r="W617" s="142">
        <f t="shared" si="231"/>
        <v>190.93419974936589</v>
      </c>
      <c r="X617" s="142">
        <f t="shared" si="231"/>
        <v>187.28775614297669</v>
      </c>
      <c r="Y617" s="142">
        <f t="shared" si="231"/>
        <v>183.90128682683417</v>
      </c>
      <c r="Z617" s="142">
        <f t="shared" si="231"/>
        <v>180.74066780481763</v>
      </c>
      <c r="AA617" s="142">
        <f t="shared" si="231"/>
        <v>177.77805300643814</v>
      </c>
      <c r="AB617" s="142">
        <f t="shared" si="231"/>
        <v>174.99042607993715</v>
      </c>
      <c r="AC617" s="142">
        <f t="shared" si="231"/>
        <v>172.35854661177788</v>
      </c>
      <c r="AD617" s="142">
        <f t="shared" si="231"/>
        <v>169.86616859367507</v>
      </c>
      <c r="AE617" s="142">
        <f t="shared" si="231"/>
        <v>167.4994509303082</v>
      </c>
      <c r="AF617" s="142">
        <f t="shared" si="231"/>
        <v>165.24650604866798</v>
      </c>
      <c r="AG617" s="142">
        <f t="shared" si="231"/>
        <v>163.09704954777192</v>
      </c>
      <c r="AH617" s="142">
        <f t="shared" si="231"/>
        <v>161.04212492944231</v>
      </c>
      <c r="AI617" s="142">
        <f t="shared" si="231"/>
        <v>159.07388490902622</v>
      </c>
      <c r="AJ617" s="142">
        <f t="shared" si="231"/>
        <v>157.18541591150742</v>
      </c>
      <c r="AK617" s="142">
        <f t="shared" si="231"/>
        <v>155.37059591578401</v>
      </c>
      <c r="AL617" s="142">
        <f t="shared" si="231"/>
        <v>153.62397832729917</v>
      </c>
      <c r="AM617" s="142">
        <f t="shared" si="231"/>
        <v>151.94069636657926</v>
      </c>
      <c r="AN617" s="142">
        <f t="shared" si="231"/>
        <v>150.31638377614001</v>
      </c>
      <c r="AO617" s="142">
        <f t="shared" si="231"/>
        <v>148.74710861660367</v>
      </c>
      <c r="AP617" s="142">
        <f t="shared" si="231"/>
        <v>147.2293176441714</v>
      </c>
      <c r="AQ617" s="142">
        <f t="shared" si="231"/>
        <v>145.75978930452675</v>
      </c>
    </row>
    <row r="618" spans="7:43" ht="14.1" customHeight="1" x14ac:dyDescent="0.25">
      <c r="G618" s="106"/>
      <c r="H618" s="163"/>
      <c r="J618" s="211"/>
      <c r="K618" s="7" t="s">
        <v>135</v>
      </c>
      <c r="L618" s="140">
        <f t="shared" ref="L618:AQ618" si="232" xml:space="preserve"> ((L86 * L630 * $N$43 * (L352 * 1 + L529) +L439) * 1000 / (L133 * 8760)) + L483 + 0</f>
        <v>319.55812570835445</v>
      </c>
      <c r="M618" s="140">
        <f t="shared" si="232"/>
        <v>299.02768472180111</v>
      </c>
      <c r="N618" s="140">
        <f t="shared" si="232"/>
        <v>284.07659660417841</v>
      </c>
      <c r="O618" s="140">
        <f t="shared" si="232"/>
        <v>272.15641927561666</v>
      </c>
      <c r="P618" s="140">
        <f t="shared" si="232"/>
        <v>262.14127431963954</v>
      </c>
      <c r="Q618" s="140">
        <f t="shared" si="232"/>
        <v>253.43426228329673</v>
      </c>
      <c r="R618" s="140">
        <f t="shared" si="232"/>
        <v>245.6808373642827</v>
      </c>
      <c r="S618" s="140">
        <f t="shared" si="232"/>
        <v>238.6532470434183</v>
      </c>
      <c r="T618" s="140">
        <f t="shared" si="232"/>
        <v>232.19652890984005</v>
      </c>
      <c r="U618" s="140">
        <f t="shared" si="232"/>
        <v>226.20049283096174</v>
      </c>
      <c r="V618" s="140">
        <f t="shared" si="232"/>
        <v>220.58399887865596</v>
      </c>
      <c r="W618" s="140">
        <f t="shared" si="232"/>
        <v>215.28557791582213</v>
      </c>
      <c r="X618" s="140">
        <f t="shared" si="232"/>
        <v>212.05511340614376</v>
      </c>
      <c r="Y618" s="140">
        <f t="shared" si="232"/>
        <v>209.05377863230018</v>
      </c>
      <c r="Z618" s="140">
        <f t="shared" si="232"/>
        <v>206.25157474236812</v>
      </c>
      <c r="AA618" s="140">
        <f t="shared" si="232"/>
        <v>203.62401275206111</v>
      </c>
      <c r="AB618" s="140">
        <f t="shared" si="232"/>
        <v>201.15084405400236</v>
      </c>
      <c r="AC618" s="140">
        <f t="shared" si="232"/>
        <v>198.81513635264378</v>
      </c>
      <c r="AD618" s="140">
        <f t="shared" si="232"/>
        <v>196.6025881067853</v>
      </c>
      <c r="AE618" s="140">
        <f t="shared" si="232"/>
        <v>194.50101126749607</v>
      </c>
      <c r="AF618" s="140">
        <f t="shared" si="232"/>
        <v>192.49993507882797</v>
      </c>
      <c r="AG618" s="140">
        <f t="shared" si="232"/>
        <v>190.59029847830809</v>
      </c>
      <c r="AH618" s="140">
        <f t="shared" si="232"/>
        <v>188.76420835225829</v>
      </c>
      <c r="AI618" s="140">
        <f t="shared" si="232"/>
        <v>187.01474743131567</v>
      </c>
      <c r="AJ618" s="140">
        <f t="shared" si="232"/>
        <v>185.33582008397195</v>
      </c>
      <c r="AK618" s="140">
        <f t="shared" si="232"/>
        <v>183.72202738232076</v>
      </c>
      <c r="AL618" s="140">
        <f t="shared" si="232"/>
        <v>182.16856502009838</v>
      </c>
      <c r="AM618" s="140">
        <f t="shared" si="232"/>
        <v>180.67113924718311</v>
      </c>
      <c r="AN618" s="140">
        <f t="shared" si="232"/>
        <v>179.22589713743105</v>
      </c>
      <c r="AO618" s="140">
        <f t="shared" si="232"/>
        <v>177.82936835584326</v>
      </c>
      <c r="AP618" s="140">
        <f t="shared" si="232"/>
        <v>176.47841622365183</v>
      </c>
      <c r="AQ618" s="140">
        <f t="shared" si="232"/>
        <v>175.17019635616759</v>
      </c>
    </row>
    <row r="619" spans="7:43" ht="14.1" customHeight="1" thickBot="1" x14ac:dyDescent="0.3">
      <c r="G619" s="106"/>
      <c r="H619" s="163"/>
      <c r="J619" s="211"/>
      <c r="K619" s="121" t="s">
        <v>136</v>
      </c>
      <c r="L619" s="141">
        <f t="shared" ref="L619:AQ619" si="233" xml:space="preserve"> ((L87 * L631 * $N$43 * (L353 * 1 + L530) +L440) * 1000 / (L134 * 8760)) + L484 + 0</f>
        <v>337.79372862541641</v>
      </c>
      <c r="M619" s="141">
        <f t="shared" si="233"/>
        <v>324.63504076476107</v>
      </c>
      <c r="N619" s="141">
        <f t="shared" si="233"/>
        <v>314.91527197006178</v>
      </c>
      <c r="O619" s="141">
        <f t="shared" si="233"/>
        <v>307.07137794078136</v>
      </c>
      <c r="P619" s="141">
        <f t="shared" si="233"/>
        <v>300.41014841503437</v>
      </c>
      <c r="Q619" s="141">
        <f t="shared" si="233"/>
        <v>294.56299396036769</v>
      </c>
      <c r="R619" s="141">
        <f t="shared" si="233"/>
        <v>289.31046367024931</v>
      </c>
      <c r="S619" s="141">
        <f t="shared" si="233"/>
        <v>284.51130826049814</v>
      </c>
      <c r="T619" s="141">
        <f t="shared" si="233"/>
        <v>280.06925847435321</v>
      </c>
      <c r="U619" s="141">
        <f t="shared" si="233"/>
        <v>275.91575744470333</v>
      </c>
      <c r="V619" s="141">
        <f t="shared" si="233"/>
        <v>272.00025553591655</v>
      </c>
      <c r="W619" s="141">
        <f t="shared" si="233"/>
        <v>268.28441226895109</v>
      </c>
      <c r="X619" s="141">
        <f t="shared" si="233"/>
        <v>266.2153281077276</v>
      </c>
      <c r="Y619" s="141">
        <f t="shared" si="233"/>
        <v>264.29109945587157</v>
      </c>
      <c r="Z619" s="141">
        <f t="shared" si="233"/>
        <v>262.49288252840023</v>
      </c>
      <c r="AA619" s="141">
        <f t="shared" si="233"/>
        <v>260.80528011561012</v>
      </c>
      <c r="AB619" s="141">
        <f t="shared" si="233"/>
        <v>259.21554990830134</v>
      </c>
      <c r="AC619" s="141">
        <f t="shared" si="233"/>
        <v>257.71302772184657</v>
      </c>
      <c r="AD619" s="141">
        <f t="shared" si="233"/>
        <v>256.28869923166718</v>
      </c>
      <c r="AE619" s="141">
        <f t="shared" si="233"/>
        <v>254.93487658692317</v>
      </c>
      <c r="AF619" s="141">
        <f t="shared" si="233"/>
        <v>253.64495052631685</v>
      </c>
      <c r="AG619" s="141">
        <f t="shared" si="233"/>
        <v>252.41319779051736</v>
      </c>
      <c r="AH619" s="141">
        <f t="shared" si="233"/>
        <v>251.23462966423418</v>
      </c>
      <c r="AI619" s="141">
        <f t="shared" si="233"/>
        <v>250.1048715415852</v>
      </c>
      <c r="AJ619" s="141">
        <f t="shared" si="233"/>
        <v>249.02006619126581</v>
      </c>
      <c r="AK619" s="141">
        <f t="shared" si="233"/>
        <v>247.97679533834457</v>
      </c>
      <c r="AL619" s="141">
        <f t="shared" si="233"/>
        <v>246.97201555378541</v>
      </c>
      <c r="AM619" s="141">
        <f t="shared" si="233"/>
        <v>246.00300543025682</v>
      </c>
      <c r="AN619" s="141">
        <f t="shared" si="233"/>
        <v>245.06732174174556</v>
      </c>
      <c r="AO619" s="141">
        <f t="shared" si="233"/>
        <v>244.16276281438633</v>
      </c>
      <c r="AP619" s="141">
        <f t="shared" si="233"/>
        <v>243.28733773088882</v>
      </c>
      <c r="AQ619" s="141">
        <f t="shared" si="233"/>
        <v>242.43924028845339</v>
      </c>
    </row>
    <row r="620" spans="7:43" ht="14.1" customHeight="1" thickTop="1" x14ac:dyDescent="0.25">
      <c r="G620" s="106"/>
      <c r="H620" s="161"/>
      <c r="I620" s="161"/>
      <c r="J620" s="161"/>
      <c r="K620" s="161"/>
      <c r="L620" s="164"/>
      <c r="M620" s="164"/>
      <c r="N620" s="164"/>
      <c r="O620" s="164"/>
      <c r="P620" s="164"/>
      <c r="Q620" s="164"/>
      <c r="R620" s="164"/>
      <c r="S620" s="161"/>
      <c r="T620" s="161"/>
      <c r="U620" s="161"/>
      <c r="V620" s="161"/>
      <c r="W620" s="161"/>
      <c r="X620" s="161"/>
      <c r="Y620" s="161"/>
      <c r="Z620" s="161"/>
      <c r="AA620" s="161"/>
      <c r="AB620" s="161"/>
      <c r="AC620" s="161"/>
      <c r="AD620" s="161"/>
      <c r="AE620" s="161"/>
      <c r="AF620" s="161"/>
      <c r="AG620" s="161"/>
      <c r="AH620" s="161"/>
      <c r="AI620" s="161"/>
      <c r="AJ620" s="161"/>
      <c r="AK620" s="161"/>
      <c r="AL620" s="161"/>
      <c r="AM620" s="161"/>
      <c r="AN620" s="161"/>
      <c r="AO620" s="161"/>
      <c r="AP620" s="161"/>
      <c r="AQ620" s="161"/>
    </row>
    <row r="621" spans="7:43" ht="14.1" customHeight="1" x14ac:dyDescent="0.25">
      <c r="G621" s="106"/>
      <c r="L621" s="107">
        <v>2019</v>
      </c>
      <c r="M621" s="107">
        <v>2020</v>
      </c>
      <c r="N621" s="107">
        <v>2021</v>
      </c>
      <c r="O621" s="107">
        <v>2022</v>
      </c>
      <c r="P621" s="107">
        <v>2023</v>
      </c>
      <c r="Q621" s="107">
        <v>2024</v>
      </c>
      <c r="R621" s="107">
        <v>2025</v>
      </c>
      <c r="S621" s="107">
        <v>2026</v>
      </c>
      <c r="T621" s="107">
        <v>2027</v>
      </c>
      <c r="U621" s="107">
        <v>2028</v>
      </c>
      <c r="V621" s="107">
        <v>2029</v>
      </c>
      <c r="W621" s="107">
        <v>2030</v>
      </c>
      <c r="X621" s="107">
        <v>2031</v>
      </c>
      <c r="Y621" s="107">
        <v>2032</v>
      </c>
      <c r="Z621" s="107">
        <v>2033</v>
      </c>
      <c r="AA621" s="107">
        <v>2034</v>
      </c>
      <c r="AB621" s="107">
        <v>2035</v>
      </c>
      <c r="AC621" s="107">
        <v>2036</v>
      </c>
      <c r="AD621" s="107">
        <v>2037</v>
      </c>
      <c r="AE621" s="107">
        <v>2038</v>
      </c>
      <c r="AF621" s="107">
        <v>2039</v>
      </c>
      <c r="AG621" s="107">
        <v>2040</v>
      </c>
      <c r="AH621" s="107">
        <v>2041</v>
      </c>
      <c r="AI621" s="107">
        <v>2042</v>
      </c>
      <c r="AJ621" s="107">
        <v>2043</v>
      </c>
      <c r="AK621" s="107">
        <v>2044</v>
      </c>
      <c r="AL621" s="107">
        <v>2045</v>
      </c>
      <c r="AM621" s="107">
        <v>2046</v>
      </c>
      <c r="AN621" s="107">
        <v>2047</v>
      </c>
      <c r="AO621" s="107">
        <v>2048</v>
      </c>
      <c r="AP621" s="107">
        <v>2049</v>
      </c>
      <c r="AQ621" s="107">
        <v>2050</v>
      </c>
    </row>
    <row r="622" spans="7:43" ht="14.1" customHeight="1" x14ac:dyDescent="0.25">
      <c r="G622" s="106"/>
      <c r="H622" s="220" t="s">
        <v>148</v>
      </c>
      <c r="J622" s="215" t="s">
        <v>149</v>
      </c>
      <c r="K622" s="7" t="s">
        <v>150</v>
      </c>
      <c r="L622" s="164">
        <v>0.116085097876559</v>
      </c>
      <c r="M622" s="164">
        <v>0.116085097876559</v>
      </c>
      <c r="N622" s="164">
        <v>0.116085097876559</v>
      </c>
      <c r="O622" s="164">
        <v>0.116085097876559</v>
      </c>
      <c r="P622" s="164">
        <v>0.116085097876559</v>
      </c>
      <c r="Q622" s="164">
        <v>0.116085097876559</v>
      </c>
      <c r="R622" s="164">
        <v>0.116085097876559</v>
      </c>
      <c r="S622" s="164">
        <v>0.116085097876559</v>
      </c>
      <c r="T622" s="164">
        <v>0.116085097876559</v>
      </c>
      <c r="U622" s="164">
        <v>0.116085097876559</v>
      </c>
      <c r="V622" s="164">
        <v>0.116085097876559</v>
      </c>
      <c r="W622" s="164">
        <v>0.116085097876559</v>
      </c>
      <c r="X622" s="164">
        <v>0.116085097876559</v>
      </c>
      <c r="Y622" s="164">
        <v>0.116085097876559</v>
      </c>
      <c r="Z622" s="164">
        <v>0.116085097876559</v>
      </c>
      <c r="AA622" s="164">
        <v>0.116085097876559</v>
      </c>
      <c r="AB622" s="164">
        <v>0.116085097876559</v>
      </c>
      <c r="AC622" s="164">
        <v>0.116085097876559</v>
      </c>
      <c r="AD622" s="164">
        <v>0.116085097876559</v>
      </c>
      <c r="AE622" s="164">
        <v>0.116085097876559</v>
      </c>
      <c r="AF622" s="164">
        <v>0.116085097876559</v>
      </c>
      <c r="AG622" s="164">
        <v>0.116085097876559</v>
      </c>
      <c r="AH622" s="164">
        <v>0.116085097876559</v>
      </c>
      <c r="AI622" s="164">
        <v>0.116085097876559</v>
      </c>
      <c r="AJ622" s="164">
        <v>0.116085097876559</v>
      </c>
      <c r="AK622" s="164">
        <v>0.116085097876559</v>
      </c>
      <c r="AL622" s="164">
        <v>0.116085097876559</v>
      </c>
      <c r="AM622" s="164">
        <v>0.116085097876559</v>
      </c>
      <c r="AN622" s="164">
        <v>0.116085097876559</v>
      </c>
      <c r="AO622" s="164">
        <v>0.116085097876559</v>
      </c>
      <c r="AP622" s="164">
        <v>0.116085097876559</v>
      </c>
      <c r="AQ622" s="164">
        <v>0.116085097876559</v>
      </c>
    </row>
    <row r="623" spans="7:43" ht="14.1" customHeight="1" x14ac:dyDescent="0.25">
      <c r="G623" s="106"/>
      <c r="H623" s="220"/>
      <c r="J623" s="216"/>
      <c r="K623" s="7" t="s">
        <v>151</v>
      </c>
      <c r="L623" s="164">
        <v>0.116085097876559</v>
      </c>
      <c r="M623" s="164">
        <v>0.116085097876559</v>
      </c>
      <c r="N623" s="164">
        <v>0.116085097876559</v>
      </c>
      <c r="O623" s="164">
        <v>0.116085097876559</v>
      </c>
      <c r="P623" s="164">
        <v>0.116085097876559</v>
      </c>
      <c r="Q623" s="164">
        <v>0.116085097876559</v>
      </c>
      <c r="R623" s="164">
        <v>0.116085097876559</v>
      </c>
      <c r="S623" s="164">
        <v>0.116085097876559</v>
      </c>
      <c r="T623" s="164">
        <v>0.116085097876559</v>
      </c>
      <c r="U623" s="164">
        <v>0.116085097876559</v>
      </c>
      <c r="V623" s="164">
        <v>0.116085097876559</v>
      </c>
      <c r="W623" s="164">
        <v>0.116085097876559</v>
      </c>
      <c r="X623" s="164">
        <v>0.116085097876559</v>
      </c>
      <c r="Y623" s="164">
        <v>0.116085097876559</v>
      </c>
      <c r="Z623" s="164">
        <v>0.116085097876559</v>
      </c>
      <c r="AA623" s="164">
        <v>0.116085097876559</v>
      </c>
      <c r="AB623" s="164">
        <v>0.116085097876559</v>
      </c>
      <c r="AC623" s="164">
        <v>0.116085097876559</v>
      </c>
      <c r="AD623" s="164">
        <v>0.116085097876559</v>
      </c>
      <c r="AE623" s="164">
        <v>0.116085097876559</v>
      </c>
      <c r="AF623" s="164">
        <v>0.116085097876559</v>
      </c>
      <c r="AG623" s="164">
        <v>0.116085097876559</v>
      </c>
      <c r="AH623" s="164">
        <v>0.116085097876559</v>
      </c>
      <c r="AI623" s="164">
        <v>0.116085097876559</v>
      </c>
      <c r="AJ623" s="164">
        <v>0.116085097876559</v>
      </c>
      <c r="AK623" s="164">
        <v>0.116085097876559</v>
      </c>
      <c r="AL623" s="164">
        <v>0.116085097876559</v>
      </c>
      <c r="AM623" s="164">
        <v>0.116085097876559</v>
      </c>
      <c r="AN623" s="164">
        <v>0.116085097876559</v>
      </c>
      <c r="AO623" s="164">
        <v>0.116085097876559</v>
      </c>
      <c r="AP623" s="164">
        <v>0.116085097876559</v>
      </c>
      <c r="AQ623" s="164">
        <v>0.116085097876559</v>
      </c>
    </row>
    <row r="624" spans="7:43" ht="14.1" customHeight="1" x14ac:dyDescent="0.25">
      <c r="G624" s="106"/>
      <c r="H624" s="220"/>
      <c r="J624" s="216"/>
      <c r="K624" s="7" t="s">
        <v>152</v>
      </c>
      <c r="L624" s="164">
        <v>0.116085097876559</v>
      </c>
      <c r="M624" s="164">
        <v>0.116085097876559</v>
      </c>
      <c r="N624" s="164">
        <v>0.116085097876559</v>
      </c>
      <c r="O624" s="164">
        <v>0.116085097876559</v>
      </c>
      <c r="P624" s="164">
        <v>0.116085097876559</v>
      </c>
      <c r="Q624" s="164">
        <v>0.116085097876559</v>
      </c>
      <c r="R624" s="164">
        <v>0.116085097876559</v>
      </c>
      <c r="S624" s="164">
        <v>0.116085097876559</v>
      </c>
      <c r="T624" s="164">
        <v>0.116085097876559</v>
      </c>
      <c r="U624" s="164">
        <v>0.116085097876559</v>
      </c>
      <c r="V624" s="164">
        <v>0.116085097876559</v>
      </c>
      <c r="W624" s="164">
        <v>0.116085097876559</v>
      </c>
      <c r="X624" s="164">
        <v>0.116085097876559</v>
      </c>
      <c r="Y624" s="164">
        <v>0.116085097876559</v>
      </c>
      <c r="Z624" s="164">
        <v>0.116085097876559</v>
      </c>
      <c r="AA624" s="164">
        <v>0.116085097876559</v>
      </c>
      <c r="AB624" s="164">
        <v>0.116085097876559</v>
      </c>
      <c r="AC624" s="164">
        <v>0.116085097876559</v>
      </c>
      <c r="AD624" s="164">
        <v>0.116085097876559</v>
      </c>
      <c r="AE624" s="164">
        <v>0.116085097876559</v>
      </c>
      <c r="AF624" s="164">
        <v>0.116085097876559</v>
      </c>
      <c r="AG624" s="164">
        <v>0.116085097876559</v>
      </c>
      <c r="AH624" s="164">
        <v>0.116085097876559</v>
      </c>
      <c r="AI624" s="164">
        <v>0.116085097876559</v>
      </c>
      <c r="AJ624" s="164">
        <v>0.116085097876559</v>
      </c>
      <c r="AK624" s="164">
        <v>0.116085097876559</v>
      </c>
      <c r="AL624" s="164">
        <v>0.116085097876559</v>
      </c>
      <c r="AM624" s="164">
        <v>0.116085097876559</v>
      </c>
      <c r="AN624" s="164">
        <v>0.116085097876559</v>
      </c>
      <c r="AO624" s="164">
        <v>0.116085097876559</v>
      </c>
      <c r="AP624" s="164">
        <v>0.116085097876559</v>
      </c>
      <c r="AQ624" s="164">
        <v>0.116085097876559</v>
      </c>
    </row>
    <row r="625" spans="7:43" ht="14.1" customHeight="1" x14ac:dyDescent="0.25">
      <c r="G625" s="106"/>
      <c r="H625" s="220"/>
      <c r="J625" s="216"/>
      <c r="K625" s="7" t="s">
        <v>153</v>
      </c>
      <c r="L625" s="164">
        <v>0</v>
      </c>
      <c r="M625" s="164">
        <v>0</v>
      </c>
      <c r="N625" s="164">
        <v>0</v>
      </c>
      <c r="O625" s="164">
        <v>0</v>
      </c>
      <c r="P625" s="164">
        <v>0</v>
      </c>
      <c r="Q625" s="164">
        <v>0</v>
      </c>
      <c r="R625" s="164">
        <v>0</v>
      </c>
      <c r="S625" s="164">
        <v>0</v>
      </c>
      <c r="T625" s="164">
        <v>0</v>
      </c>
      <c r="U625" s="164">
        <v>0</v>
      </c>
      <c r="V625" s="164">
        <v>0</v>
      </c>
      <c r="W625" s="164">
        <v>0</v>
      </c>
      <c r="X625" s="164">
        <v>0</v>
      </c>
      <c r="Y625" s="164">
        <v>0</v>
      </c>
      <c r="Z625" s="164">
        <v>0</v>
      </c>
      <c r="AA625" s="164">
        <v>0</v>
      </c>
      <c r="AB625" s="164">
        <v>0</v>
      </c>
      <c r="AC625" s="164">
        <v>0</v>
      </c>
      <c r="AD625" s="164">
        <v>0</v>
      </c>
      <c r="AE625" s="164">
        <v>0</v>
      </c>
      <c r="AF625" s="164">
        <v>0</v>
      </c>
      <c r="AG625" s="164">
        <v>0</v>
      </c>
      <c r="AH625" s="164">
        <v>0</v>
      </c>
      <c r="AI625" s="164">
        <v>0</v>
      </c>
      <c r="AJ625" s="164">
        <v>0</v>
      </c>
      <c r="AK625" s="164">
        <v>0</v>
      </c>
      <c r="AL625" s="164">
        <v>0</v>
      </c>
      <c r="AM625" s="164">
        <v>0</v>
      </c>
      <c r="AN625" s="164">
        <v>0</v>
      </c>
      <c r="AO625" s="164">
        <v>0</v>
      </c>
      <c r="AP625" s="164">
        <v>0</v>
      </c>
      <c r="AQ625" s="164">
        <v>0</v>
      </c>
    </row>
    <row r="626" spans="7:43" ht="14.1" customHeight="1" x14ac:dyDescent="0.25">
      <c r="G626" s="106"/>
      <c r="H626" s="220"/>
      <c r="J626" s="216"/>
      <c r="K626" s="7" t="s">
        <v>154</v>
      </c>
      <c r="L626" s="165">
        <f t="shared" ref="L626:AQ626" si="234">SUMPRODUCT($I$633:$I$638,L633:L638)</f>
        <v>0.8704718640870559</v>
      </c>
      <c r="M626" s="165">
        <f t="shared" si="234"/>
        <v>0.8704718640870559</v>
      </c>
      <c r="N626" s="165">
        <f t="shared" si="234"/>
        <v>0.8704718640870559</v>
      </c>
      <c r="O626" s="165">
        <f t="shared" si="234"/>
        <v>0.8704718640870559</v>
      </c>
      <c r="P626" s="165">
        <f t="shared" si="234"/>
        <v>0.8704718640870559</v>
      </c>
      <c r="Q626" s="165">
        <f t="shared" si="234"/>
        <v>0.8704718640870559</v>
      </c>
      <c r="R626" s="165">
        <f t="shared" si="234"/>
        <v>0.8704718640870559</v>
      </c>
      <c r="S626" s="165">
        <f t="shared" si="234"/>
        <v>0.8704718640870559</v>
      </c>
      <c r="T626" s="165">
        <f t="shared" si="234"/>
        <v>0.8704718640870559</v>
      </c>
      <c r="U626" s="165">
        <f t="shared" si="234"/>
        <v>0.8704718640870559</v>
      </c>
      <c r="V626" s="165">
        <f t="shared" si="234"/>
        <v>0.8704718640870559</v>
      </c>
      <c r="W626" s="165">
        <f t="shared" si="234"/>
        <v>0.8704718640870559</v>
      </c>
      <c r="X626" s="165">
        <f t="shared" si="234"/>
        <v>0.8704718640870559</v>
      </c>
      <c r="Y626" s="165">
        <f t="shared" si="234"/>
        <v>0.8704718640870559</v>
      </c>
      <c r="Z626" s="165">
        <f t="shared" si="234"/>
        <v>0.8704718640870559</v>
      </c>
      <c r="AA626" s="165">
        <f t="shared" si="234"/>
        <v>0.8704718640870559</v>
      </c>
      <c r="AB626" s="165">
        <f t="shared" si="234"/>
        <v>0.8704718640870559</v>
      </c>
      <c r="AC626" s="165">
        <f t="shared" si="234"/>
        <v>0.8704718640870559</v>
      </c>
      <c r="AD626" s="165">
        <f t="shared" si="234"/>
        <v>0.8704718640870559</v>
      </c>
      <c r="AE626" s="165">
        <f t="shared" si="234"/>
        <v>0.8704718640870559</v>
      </c>
      <c r="AF626" s="165">
        <f t="shared" si="234"/>
        <v>0.8704718640870559</v>
      </c>
      <c r="AG626" s="165">
        <f t="shared" si="234"/>
        <v>0.8704718640870559</v>
      </c>
      <c r="AH626" s="165">
        <f t="shared" si="234"/>
        <v>0.8704718640870559</v>
      </c>
      <c r="AI626" s="165">
        <f t="shared" si="234"/>
        <v>0.8704718640870559</v>
      </c>
      <c r="AJ626" s="165">
        <f t="shared" si="234"/>
        <v>0.8704718640870559</v>
      </c>
      <c r="AK626" s="165">
        <f t="shared" si="234"/>
        <v>0.8704718640870559</v>
      </c>
      <c r="AL626" s="165">
        <f t="shared" si="234"/>
        <v>0.8704718640870559</v>
      </c>
      <c r="AM626" s="165">
        <f t="shared" si="234"/>
        <v>0.8704718640870559</v>
      </c>
      <c r="AN626" s="165">
        <f t="shared" si="234"/>
        <v>0.8704718640870559</v>
      </c>
      <c r="AO626" s="165">
        <f t="shared" si="234"/>
        <v>0.8704718640870559</v>
      </c>
      <c r="AP626" s="165">
        <f t="shared" si="234"/>
        <v>0.8704718640870559</v>
      </c>
      <c r="AQ626" s="165">
        <f t="shared" si="234"/>
        <v>0.8704718640870559</v>
      </c>
    </row>
    <row r="627" spans="7:43" ht="14.1" customHeight="1" x14ac:dyDescent="0.25">
      <c r="G627" s="106"/>
      <c r="H627" s="220"/>
      <c r="J627" s="216"/>
      <c r="K627" s="7" t="s">
        <v>155</v>
      </c>
      <c r="L627" s="165">
        <f t="shared" ref="L627:AQ627" si="235">SUMPRODUCT($I$633:$I$638,L640:L645)</f>
        <v>0.8704718640870559</v>
      </c>
      <c r="M627" s="165">
        <f t="shared" si="235"/>
        <v>0.8704718640870559</v>
      </c>
      <c r="N627" s="165">
        <f t="shared" si="235"/>
        <v>0.8704718640870559</v>
      </c>
      <c r="O627" s="165">
        <f t="shared" si="235"/>
        <v>0.8704718640870559</v>
      </c>
      <c r="P627" s="165">
        <f t="shared" si="235"/>
        <v>0.8704718640870559</v>
      </c>
      <c r="Q627" s="165">
        <f t="shared" si="235"/>
        <v>0.8704718640870559</v>
      </c>
      <c r="R627" s="165">
        <f t="shared" si="235"/>
        <v>0.8704718640870559</v>
      </c>
      <c r="S627" s="165">
        <f t="shared" si="235"/>
        <v>0.8704718640870559</v>
      </c>
      <c r="T627" s="165">
        <f t="shared" si="235"/>
        <v>0.8704718640870559</v>
      </c>
      <c r="U627" s="165">
        <f t="shared" si="235"/>
        <v>0.8704718640870559</v>
      </c>
      <c r="V627" s="165">
        <f t="shared" si="235"/>
        <v>0.8704718640870559</v>
      </c>
      <c r="W627" s="165">
        <f t="shared" si="235"/>
        <v>0.8704718640870559</v>
      </c>
      <c r="X627" s="165">
        <f t="shared" si="235"/>
        <v>0.8704718640870559</v>
      </c>
      <c r="Y627" s="165">
        <f t="shared" si="235"/>
        <v>0.8704718640870559</v>
      </c>
      <c r="Z627" s="165">
        <f t="shared" si="235"/>
        <v>0.8704718640870559</v>
      </c>
      <c r="AA627" s="165">
        <f t="shared" si="235"/>
        <v>0.8704718640870559</v>
      </c>
      <c r="AB627" s="165">
        <f t="shared" si="235"/>
        <v>0.8704718640870559</v>
      </c>
      <c r="AC627" s="165">
        <f t="shared" si="235"/>
        <v>0.8704718640870559</v>
      </c>
      <c r="AD627" s="165">
        <f t="shared" si="235"/>
        <v>0.8704718640870559</v>
      </c>
      <c r="AE627" s="165">
        <f t="shared" si="235"/>
        <v>0.8704718640870559</v>
      </c>
      <c r="AF627" s="165">
        <f t="shared" si="235"/>
        <v>0.8704718640870559</v>
      </c>
      <c r="AG627" s="165">
        <f t="shared" si="235"/>
        <v>0.8704718640870559</v>
      </c>
      <c r="AH627" s="165">
        <f t="shared" si="235"/>
        <v>0.8704718640870559</v>
      </c>
      <c r="AI627" s="165">
        <f t="shared" si="235"/>
        <v>0.8704718640870559</v>
      </c>
      <c r="AJ627" s="165">
        <f t="shared" si="235"/>
        <v>0.8704718640870559</v>
      </c>
      <c r="AK627" s="165">
        <f t="shared" si="235"/>
        <v>0.8704718640870559</v>
      </c>
      <c r="AL627" s="165">
        <f t="shared" si="235"/>
        <v>0.8704718640870559</v>
      </c>
      <c r="AM627" s="165">
        <f t="shared" si="235"/>
        <v>0.8704718640870559</v>
      </c>
      <c r="AN627" s="165">
        <f t="shared" si="235"/>
        <v>0.8704718640870559</v>
      </c>
      <c r="AO627" s="165">
        <f t="shared" si="235"/>
        <v>0.8704718640870559</v>
      </c>
      <c r="AP627" s="165">
        <f t="shared" si="235"/>
        <v>0.8704718640870559</v>
      </c>
      <c r="AQ627" s="165">
        <f t="shared" si="235"/>
        <v>0.8704718640870559</v>
      </c>
    </row>
    <row r="628" spans="7:43" ht="14.1" customHeight="1" x14ac:dyDescent="0.25">
      <c r="G628" s="106"/>
      <c r="H628" s="220"/>
      <c r="J628" s="216"/>
      <c r="K628" s="7" t="s">
        <v>156</v>
      </c>
      <c r="L628" s="165">
        <f t="shared" ref="L628:AQ628" si="236">SUMPRODUCT($I$633:$I$638,L647:L652)</f>
        <v>0.8704718640870559</v>
      </c>
      <c r="M628" s="165">
        <f t="shared" si="236"/>
        <v>0.8704718640870559</v>
      </c>
      <c r="N628" s="165">
        <f t="shared" si="236"/>
        <v>0.8704718640870559</v>
      </c>
      <c r="O628" s="165">
        <f t="shared" si="236"/>
        <v>0.8704718640870559</v>
      </c>
      <c r="P628" s="165">
        <f t="shared" si="236"/>
        <v>0.8704718640870559</v>
      </c>
      <c r="Q628" s="165">
        <f t="shared" si="236"/>
        <v>0.8704718640870559</v>
      </c>
      <c r="R628" s="165">
        <f t="shared" si="236"/>
        <v>0.8704718640870559</v>
      </c>
      <c r="S628" s="165">
        <f t="shared" si="236"/>
        <v>0.8704718640870559</v>
      </c>
      <c r="T628" s="165">
        <f t="shared" si="236"/>
        <v>0.8704718640870559</v>
      </c>
      <c r="U628" s="165">
        <f t="shared" si="236"/>
        <v>0.8704718640870559</v>
      </c>
      <c r="V628" s="165">
        <f t="shared" si="236"/>
        <v>0.8704718640870559</v>
      </c>
      <c r="W628" s="165">
        <f t="shared" si="236"/>
        <v>0.8704718640870559</v>
      </c>
      <c r="X628" s="165">
        <f t="shared" si="236"/>
        <v>0.8704718640870559</v>
      </c>
      <c r="Y628" s="165">
        <f t="shared" si="236"/>
        <v>0.8704718640870559</v>
      </c>
      <c r="Z628" s="165">
        <f t="shared" si="236"/>
        <v>0.8704718640870559</v>
      </c>
      <c r="AA628" s="165">
        <f t="shared" si="236"/>
        <v>0.8704718640870559</v>
      </c>
      <c r="AB628" s="165">
        <f t="shared" si="236"/>
        <v>0.8704718640870559</v>
      </c>
      <c r="AC628" s="165">
        <f t="shared" si="236"/>
        <v>0.8704718640870559</v>
      </c>
      <c r="AD628" s="165">
        <f t="shared" si="236"/>
        <v>0.8704718640870559</v>
      </c>
      <c r="AE628" s="165">
        <f t="shared" si="236"/>
        <v>0.8704718640870559</v>
      </c>
      <c r="AF628" s="165">
        <f t="shared" si="236"/>
        <v>0.8704718640870559</v>
      </c>
      <c r="AG628" s="165">
        <f t="shared" si="236"/>
        <v>0.8704718640870559</v>
      </c>
      <c r="AH628" s="165">
        <f t="shared" si="236"/>
        <v>0.8704718640870559</v>
      </c>
      <c r="AI628" s="165">
        <f t="shared" si="236"/>
        <v>0.8704718640870559</v>
      </c>
      <c r="AJ628" s="165">
        <f t="shared" si="236"/>
        <v>0.8704718640870559</v>
      </c>
      <c r="AK628" s="165">
        <f t="shared" si="236"/>
        <v>0.8704718640870559</v>
      </c>
      <c r="AL628" s="165">
        <f t="shared" si="236"/>
        <v>0.8704718640870559</v>
      </c>
      <c r="AM628" s="165">
        <f t="shared" si="236"/>
        <v>0.8704718640870559</v>
      </c>
      <c r="AN628" s="165">
        <f t="shared" si="236"/>
        <v>0.8704718640870559</v>
      </c>
      <c r="AO628" s="165">
        <f t="shared" si="236"/>
        <v>0.8704718640870559</v>
      </c>
      <c r="AP628" s="165">
        <f t="shared" si="236"/>
        <v>0.8704718640870559</v>
      </c>
      <c r="AQ628" s="165">
        <f t="shared" si="236"/>
        <v>0.8704718640870559</v>
      </c>
    </row>
    <row r="629" spans="7:43" ht="14.1" customHeight="1" x14ac:dyDescent="0.25">
      <c r="G629" s="106"/>
      <c r="H629" s="220"/>
      <c r="J629" s="216"/>
      <c r="K629" s="7" t="s">
        <v>157</v>
      </c>
      <c r="L629" s="165">
        <f t="shared" ref="L629:AQ629" si="237">(1-L$75*L626*(1-L$625/2)-L$625)/(1-L$75)</f>
        <v>1.0448970403770426</v>
      </c>
      <c r="M629" s="165">
        <f t="shared" si="237"/>
        <v>1.0448970403770426</v>
      </c>
      <c r="N629" s="165">
        <f t="shared" si="237"/>
        <v>1.0448970403770426</v>
      </c>
      <c r="O629" s="165">
        <f t="shared" si="237"/>
        <v>1.0448970403770426</v>
      </c>
      <c r="P629" s="165">
        <f t="shared" si="237"/>
        <v>1.0448970403770426</v>
      </c>
      <c r="Q629" s="165">
        <f t="shared" si="237"/>
        <v>1.0448970403770426</v>
      </c>
      <c r="R629" s="165">
        <f t="shared" si="237"/>
        <v>1.0448970403770426</v>
      </c>
      <c r="S629" s="165">
        <f t="shared" si="237"/>
        <v>1.0448970403770426</v>
      </c>
      <c r="T629" s="165">
        <f t="shared" si="237"/>
        <v>1.0448970403770426</v>
      </c>
      <c r="U629" s="165">
        <f t="shared" si="237"/>
        <v>1.0448970403770426</v>
      </c>
      <c r="V629" s="165">
        <f t="shared" si="237"/>
        <v>1.0448970403770426</v>
      </c>
      <c r="W629" s="165">
        <f t="shared" si="237"/>
        <v>1.0448970403770426</v>
      </c>
      <c r="X629" s="165">
        <f t="shared" si="237"/>
        <v>1.0448970403770426</v>
      </c>
      <c r="Y629" s="165">
        <f t="shared" si="237"/>
        <v>1.0448970403770426</v>
      </c>
      <c r="Z629" s="165">
        <f t="shared" si="237"/>
        <v>1.0448970403770426</v>
      </c>
      <c r="AA629" s="165">
        <f t="shared" si="237"/>
        <v>1.0448970403770426</v>
      </c>
      <c r="AB629" s="165">
        <f t="shared" si="237"/>
        <v>1.0448970403770426</v>
      </c>
      <c r="AC629" s="165">
        <f t="shared" si="237"/>
        <v>1.0448970403770426</v>
      </c>
      <c r="AD629" s="165">
        <f t="shared" si="237"/>
        <v>1.0448970403770426</v>
      </c>
      <c r="AE629" s="165">
        <f t="shared" si="237"/>
        <v>1.0448970403770426</v>
      </c>
      <c r="AF629" s="165">
        <f t="shared" si="237"/>
        <v>1.0448970403770426</v>
      </c>
      <c r="AG629" s="165">
        <f t="shared" si="237"/>
        <v>1.0448970403770426</v>
      </c>
      <c r="AH629" s="165">
        <f t="shared" si="237"/>
        <v>1.0448970403770426</v>
      </c>
      <c r="AI629" s="165">
        <f t="shared" si="237"/>
        <v>1.0448970403770426</v>
      </c>
      <c r="AJ629" s="165">
        <f t="shared" si="237"/>
        <v>1.0448970403770426</v>
      </c>
      <c r="AK629" s="165">
        <f t="shared" si="237"/>
        <v>1.0448970403770426</v>
      </c>
      <c r="AL629" s="165">
        <f t="shared" si="237"/>
        <v>1.0448970403770426</v>
      </c>
      <c r="AM629" s="165">
        <f t="shared" si="237"/>
        <v>1.0448970403770426</v>
      </c>
      <c r="AN629" s="165">
        <f t="shared" si="237"/>
        <v>1.0448970403770426</v>
      </c>
      <c r="AO629" s="165">
        <f t="shared" si="237"/>
        <v>1.0448970403770426</v>
      </c>
      <c r="AP629" s="165">
        <f t="shared" si="237"/>
        <v>1.0448970403770426</v>
      </c>
      <c r="AQ629" s="165">
        <f t="shared" si="237"/>
        <v>1.0448970403770426</v>
      </c>
    </row>
    <row r="630" spans="7:43" ht="14.1" customHeight="1" x14ac:dyDescent="0.25">
      <c r="G630" s="106"/>
      <c r="H630" s="220"/>
      <c r="J630" s="216"/>
      <c r="K630" s="7" t="s">
        <v>158</v>
      </c>
      <c r="L630" s="165">
        <f t="shared" ref="L630:AQ630" si="238">(1-L$75*L627*(1-L$625/2)-L$625)/(1-L$75)</f>
        <v>1.0448970403770426</v>
      </c>
      <c r="M630" s="165">
        <f t="shared" si="238"/>
        <v>1.0448970403770426</v>
      </c>
      <c r="N630" s="165">
        <f t="shared" si="238"/>
        <v>1.0448970403770426</v>
      </c>
      <c r="O630" s="165">
        <f t="shared" si="238"/>
        <v>1.0448970403770426</v>
      </c>
      <c r="P630" s="165">
        <f t="shared" si="238"/>
        <v>1.0448970403770426</v>
      </c>
      <c r="Q630" s="165">
        <f t="shared" si="238"/>
        <v>1.0448970403770426</v>
      </c>
      <c r="R630" s="165">
        <f t="shared" si="238"/>
        <v>1.0448970403770426</v>
      </c>
      <c r="S630" s="165">
        <f t="shared" si="238"/>
        <v>1.0448970403770426</v>
      </c>
      <c r="T630" s="165">
        <f t="shared" si="238"/>
        <v>1.0448970403770426</v>
      </c>
      <c r="U630" s="165">
        <f t="shared" si="238"/>
        <v>1.0448970403770426</v>
      </c>
      <c r="V630" s="165">
        <f t="shared" si="238"/>
        <v>1.0448970403770426</v>
      </c>
      <c r="W630" s="165">
        <f t="shared" si="238"/>
        <v>1.0448970403770426</v>
      </c>
      <c r="X630" s="165">
        <f t="shared" si="238"/>
        <v>1.0448970403770426</v>
      </c>
      <c r="Y630" s="165">
        <f t="shared" si="238"/>
        <v>1.0448970403770426</v>
      </c>
      <c r="Z630" s="165">
        <f t="shared" si="238"/>
        <v>1.0448970403770426</v>
      </c>
      <c r="AA630" s="165">
        <f t="shared" si="238"/>
        <v>1.0448970403770426</v>
      </c>
      <c r="AB630" s="165">
        <f t="shared" si="238"/>
        <v>1.0448970403770426</v>
      </c>
      <c r="AC630" s="165">
        <f t="shared" si="238"/>
        <v>1.0448970403770426</v>
      </c>
      <c r="AD630" s="165">
        <f t="shared" si="238"/>
        <v>1.0448970403770426</v>
      </c>
      <c r="AE630" s="165">
        <f t="shared" si="238"/>
        <v>1.0448970403770426</v>
      </c>
      <c r="AF630" s="165">
        <f t="shared" si="238"/>
        <v>1.0448970403770426</v>
      </c>
      <c r="AG630" s="165">
        <f t="shared" si="238"/>
        <v>1.0448970403770426</v>
      </c>
      <c r="AH630" s="165">
        <f t="shared" si="238"/>
        <v>1.0448970403770426</v>
      </c>
      <c r="AI630" s="165">
        <f t="shared" si="238"/>
        <v>1.0448970403770426</v>
      </c>
      <c r="AJ630" s="165">
        <f t="shared" si="238"/>
        <v>1.0448970403770426</v>
      </c>
      <c r="AK630" s="165">
        <f t="shared" si="238"/>
        <v>1.0448970403770426</v>
      </c>
      <c r="AL630" s="165">
        <f t="shared" si="238"/>
        <v>1.0448970403770426</v>
      </c>
      <c r="AM630" s="165">
        <f t="shared" si="238"/>
        <v>1.0448970403770426</v>
      </c>
      <c r="AN630" s="165">
        <f t="shared" si="238"/>
        <v>1.0448970403770426</v>
      </c>
      <c r="AO630" s="165">
        <f t="shared" si="238"/>
        <v>1.0448970403770426</v>
      </c>
      <c r="AP630" s="165">
        <f t="shared" si="238"/>
        <v>1.0448970403770426</v>
      </c>
      <c r="AQ630" s="165">
        <f t="shared" si="238"/>
        <v>1.0448970403770426</v>
      </c>
    </row>
    <row r="631" spans="7:43" ht="14.1" customHeight="1" x14ac:dyDescent="0.25">
      <c r="G631" s="106"/>
      <c r="H631" s="220"/>
      <c r="J631" s="216"/>
      <c r="K631" s="7" t="s">
        <v>159</v>
      </c>
      <c r="L631" s="165">
        <f t="shared" ref="L631:AQ631" si="239">(1-L$75*L628*(1-L$625/2)-L$625)/(1-L$75)</f>
        <v>1.0448970403770426</v>
      </c>
      <c r="M631" s="165">
        <f t="shared" si="239"/>
        <v>1.0448970403770426</v>
      </c>
      <c r="N631" s="165">
        <f t="shared" si="239"/>
        <v>1.0448970403770426</v>
      </c>
      <c r="O631" s="165">
        <f t="shared" si="239"/>
        <v>1.0448970403770426</v>
      </c>
      <c r="P631" s="165">
        <f t="shared" si="239"/>
        <v>1.0448970403770426</v>
      </c>
      <c r="Q631" s="165">
        <f t="shared" si="239"/>
        <v>1.0448970403770426</v>
      </c>
      <c r="R631" s="165">
        <f t="shared" si="239"/>
        <v>1.0448970403770426</v>
      </c>
      <c r="S631" s="165">
        <f t="shared" si="239"/>
        <v>1.0448970403770426</v>
      </c>
      <c r="T631" s="165">
        <f t="shared" si="239"/>
        <v>1.0448970403770426</v>
      </c>
      <c r="U631" s="165">
        <f t="shared" si="239"/>
        <v>1.0448970403770426</v>
      </c>
      <c r="V631" s="165">
        <f t="shared" si="239"/>
        <v>1.0448970403770426</v>
      </c>
      <c r="W631" s="165">
        <f t="shared" si="239"/>
        <v>1.0448970403770426</v>
      </c>
      <c r="X631" s="165">
        <f t="shared" si="239"/>
        <v>1.0448970403770426</v>
      </c>
      <c r="Y631" s="165">
        <f t="shared" si="239"/>
        <v>1.0448970403770426</v>
      </c>
      <c r="Z631" s="165">
        <f t="shared" si="239"/>
        <v>1.0448970403770426</v>
      </c>
      <c r="AA631" s="165">
        <f t="shared" si="239"/>
        <v>1.0448970403770426</v>
      </c>
      <c r="AB631" s="165">
        <f t="shared" si="239"/>
        <v>1.0448970403770426</v>
      </c>
      <c r="AC631" s="165">
        <f t="shared" si="239"/>
        <v>1.0448970403770426</v>
      </c>
      <c r="AD631" s="165">
        <f t="shared" si="239"/>
        <v>1.0448970403770426</v>
      </c>
      <c r="AE631" s="165">
        <f t="shared" si="239"/>
        <v>1.0448970403770426</v>
      </c>
      <c r="AF631" s="165">
        <f t="shared" si="239"/>
        <v>1.0448970403770426</v>
      </c>
      <c r="AG631" s="165">
        <f t="shared" si="239"/>
        <v>1.0448970403770426</v>
      </c>
      <c r="AH631" s="165">
        <f t="shared" si="239"/>
        <v>1.0448970403770426</v>
      </c>
      <c r="AI631" s="165">
        <f t="shared" si="239"/>
        <v>1.0448970403770426</v>
      </c>
      <c r="AJ631" s="165">
        <f t="shared" si="239"/>
        <v>1.0448970403770426</v>
      </c>
      <c r="AK631" s="165">
        <f t="shared" si="239"/>
        <v>1.0448970403770426</v>
      </c>
      <c r="AL631" s="165">
        <f t="shared" si="239"/>
        <v>1.0448970403770426</v>
      </c>
      <c r="AM631" s="165">
        <f t="shared" si="239"/>
        <v>1.0448970403770426</v>
      </c>
      <c r="AN631" s="165">
        <f t="shared" si="239"/>
        <v>1.0448970403770426</v>
      </c>
      <c r="AO631" s="165">
        <f t="shared" si="239"/>
        <v>1.0448970403770426</v>
      </c>
      <c r="AP631" s="165">
        <f t="shared" si="239"/>
        <v>1.0448970403770426</v>
      </c>
      <c r="AQ631" s="165">
        <f t="shared" si="239"/>
        <v>1.0448970403770426</v>
      </c>
    </row>
    <row r="632" spans="7:43" ht="14.1" customHeight="1" x14ac:dyDescent="0.25">
      <c r="G632" s="106"/>
      <c r="H632" s="166"/>
      <c r="I632" s="167" t="s">
        <v>160</v>
      </c>
      <c r="J632" s="168"/>
      <c r="K632" s="169" t="s">
        <v>161</v>
      </c>
      <c r="L632" s="107">
        <v>2019</v>
      </c>
      <c r="M632" s="107">
        <v>2020</v>
      </c>
      <c r="N632" s="107">
        <v>2021</v>
      </c>
      <c r="O632" s="107">
        <v>2022</v>
      </c>
      <c r="P632" s="107">
        <v>2023</v>
      </c>
      <c r="Q632" s="107">
        <v>2024</v>
      </c>
      <c r="R632" s="107">
        <v>2025</v>
      </c>
      <c r="S632" s="107">
        <v>2026</v>
      </c>
      <c r="T632" s="107">
        <v>2027</v>
      </c>
      <c r="U632" s="107">
        <v>2028</v>
      </c>
      <c r="V632" s="107">
        <v>2029</v>
      </c>
      <c r="W632" s="107">
        <v>2030</v>
      </c>
      <c r="X632" s="107">
        <v>2031</v>
      </c>
      <c r="Y632" s="107">
        <v>2032</v>
      </c>
      <c r="Z632" s="107">
        <v>2033</v>
      </c>
      <c r="AA632" s="107">
        <v>2034</v>
      </c>
      <c r="AB632" s="107">
        <v>2035</v>
      </c>
      <c r="AC632" s="107">
        <v>2036</v>
      </c>
      <c r="AD632" s="107">
        <v>2037</v>
      </c>
      <c r="AE632" s="107">
        <v>2038</v>
      </c>
      <c r="AF632" s="107">
        <v>2039</v>
      </c>
      <c r="AG632" s="107">
        <v>2040</v>
      </c>
      <c r="AH632" s="107">
        <v>2041</v>
      </c>
      <c r="AI632" s="107">
        <v>2042</v>
      </c>
      <c r="AJ632" s="107">
        <v>2043</v>
      </c>
      <c r="AK632" s="107">
        <v>2044</v>
      </c>
      <c r="AL632" s="107">
        <v>2045</v>
      </c>
      <c r="AM632" s="107">
        <v>2046</v>
      </c>
      <c r="AN632" s="107">
        <v>2047</v>
      </c>
      <c r="AO632" s="107">
        <v>2048</v>
      </c>
      <c r="AP632" s="107">
        <v>2049</v>
      </c>
      <c r="AQ632" s="107">
        <v>2050</v>
      </c>
    </row>
    <row r="633" spans="7:43" ht="14.1" customHeight="1" x14ac:dyDescent="0.25">
      <c r="G633" s="106"/>
      <c r="H633" s="166"/>
      <c r="I633" s="3">
        <v>0.2</v>
      </c>
      <c r="J633" s="170" t="s">
        <v>162</v>
      </c>
      <c r="K633" s="171">
        <v>1</v>
      </c>
      <c r="L633" s="172">
        <f t="shared" ref="L633:AA638" si="240">1/((1+L$79)*(1+L$58))^$K633</f>
        <v>0.95070839373976013</v>
      </c>
      <c r="M633" s="172">
        <f t="shared" si="240"/>
        <v>0.95070839373976013</v>
      </c>
      <c r="N633" s="172">
        <f t="shared" si="240"/>
        <v>0.95070839373976013</v>
      </c>
      <c r="O633" s="172">
        <f t="shared" si="240"/>
        <v>0.95070839373976013</v>
      </c>
      <c r="P633" s="172">
        <f t="shared" si="240"/>
        <v>0.95070839373976013</v>
      </c>
      <c r="Q633" s="172">
        <f t="shared" si="240"/>
        <v>0.95070839373976013</v>
      </c>
      <c r="R633" s="172">
        <f t="shared" si="240"/>
        <v>0.95070839373976013</v>
      </c>
      <c r="S633" s="172">
        <f t="shared" si="240"/>
        <v>0.95070839373976013</v>
      </c>
      <c r="T633" s="172">
        <f t="shared" si="240"/>
        <v>0.95070839373976013</v>
      </c>
      <c r="U633" s="172">
        <f t="shared" si="240"/>
        <v>0.95070839373976013</v>
      </c>
      <c r="V633" s="172">
        <f t="shared" si="240"/>
        <v>0.95070839373976013</v>
      </c>
      <c r="W633" s="172">
        <f t="shared" si="240"/>
        <v>0.95070839373976013</v>
      </c>
      <c r="X633" s="172">
        <f t="shared" si="240"/>
        <v>0.95070839373976013</v>
      </c>
      <c r="Y633" s="172">
        <f t="shared" si="240"/>
        <v>0.95070839373976013</v>
      </c>
      <c r="Z633" s="172">
        <f t="shared" si="240"/>
        <v>0.95070839373976013</v>
      </c>
      <c r="AA633" s="172">
        <f t="shared" si="240"/>
        <v>0.95070839373976013</v>
      </c>
      <c r="AB633" s="172">
        <f t="shared" ref="AB633:AQ638" si="241">1/((1+AB$79)*(1+AB$58))^$K633</f>
        <v>0.95070839373976013</v>
      </c>
      <c r="AC633" s="172">
        <f t="shared" si="241"/>
        <v>0.95070839373976013</v>
      </c>
      <c r="AD633" s="172">
        <f t="shared" si="241"/>
        <v>0.95070839373976013</v>
      </c>
      <c r="AE633" s="172">
        <f t="shared" si="241"/>
        <v>0.95070839373976013</v>
      </c>
      <c r="AF633" s="172">
        <f t="shared" si="241"/>
        <v>0.95070839373976013</v>
      </c>
      <c r="AG633" s="172">
        <f t="shared" si="241"/>
        <v>0.95070839373976013</v>
      </c>
      <c r="AH633" s="172">
        <f t="shared" si="241"/>
        <v>0.95070839373976013</v>
      </c>
      <c r="AI633" s="172">
        <f t="shared" si="241"/>
        <v>0.95070839373976013</v>
      </c>
      <c r="AJ633" s="172">
        <f t="shared" si="241"/>
        <v>0.95070839373976013</v>
      </c>
      <c r="AK633" s="172">
        <f t="shared" si="241"/>
        <v>0.95070839373976013</v>
      </c>
      <c r="AL633" s="172">
        <f t="shared" si="241"/>
        <v>0.95070839373976013</v>
      </c>
      <c r="AM633" s="172">
        <f t="shared" si="241"/>
        <v>0.95070839373976013</v>
      </c>
      <c r="AN633" s="172">
        <f t="shared" si="241"/>
        <v>0.95070839373976013</v>
      </c>
      <c r="AO633" s="172">
        <f t="shared" si="241"/>
        <v>0.95070839373976013</v>
      </c>
      <c r="AP633" s="172">
        <f t="shared" si="241"/>
        <v>0.95070839373976013</v>
      </c>
      <c r="AQ633" s="172">
        <f t="shared" si="241"/>
        <v>0.95070839373976013</v>
      </c>
    </row>
    <row r="634" spans="7:43" ht="14.1" customHeight="1" x14ac:dyDescent="0.25">
      <c r="G634" s="106"/>
      <c r="H634" s="166"/>
      <c r="I634" s="3">
        <v>0.32</v>
      </c>
      <c r="J634" s="170"/>
      <c r="K634" s="171">
        <f>K633+1</f>
        <v>2</v>
      </c>
      <c r="L634" s="172">
        <f t="shared" si="240"/>
        <v>0.90384644992723462</v>
      </c>
      <c r="M634" s="172">
        <f t="shared" si="240"/>
        <v>0.90384644992723462</v>
      </c>
      <c r="N634" s="172">
        <f t="shared" si="240"/>
        <v>0.90384644992723462</v>
      </c>
      <c r="O634" s="172">
        <f t="shared" si="240"/>
        <v>0.90384644992723462</v>
      </c>
      <c r="P634" s="172">
        <f t="shared" si="240"/>
        <v>0.90384644992723462</v>
      </c>
      <c r="Q634" s="172">
        <f t="shared" si="240"/>
        <v>0.90384644992723462</v>
      </c>
      <c r="R634" s="172">
        <f t="shared" si="240"/>
        <v>0.90384644992723462</v>
      </c>
      <c r="S634" s="172">
        <f t="shared" si="240"/>
        <v>0.90384644992723462</v>
      </c>
      <c r="T634" s="172">
        <f t="shared" si="240"/>
        <v>0.90384644992723462</v>
      </c>
      <c r="U634" s="172">
        <f t="shared" si="240"/>
        <v>0.90384644992723462</v>
      </c>
      <c r="V634" s="172">
        <f t="shared" si="240"/>
        <v>0.90384644992723462</v>
      </c>
      <c r="W634" s="172">
        <f t="shared" si="240"/>
        <v>0.90384644992723462</v>
      </c>
      <c r="X634" s="172">
        <f t="shared" si="240"/>
        <v>0.90384644992723462</v>
      </c>
      <c r="Y634" s="172">
        <f t="shared" si="240"/>
        <v>0.90384644992723462</v>
      </c>
      <c r="Z634" s="172">
        <f t="shared" si="240"/>
        <v>0.90384644992723462</v>
      </c>
      <c r="AA634" s="172">
        <f t="shared" si="240"/>
        <v>0.90384644992723462</v>
      </c>
      <c r="AB634" s="172">
        <f t="shared" si="241"/>
        <v>0.90384644992723462</v>
      </c>
      <c r="AC634" s="172">
        <f t="shared" si="241"/>
        <v>0.90384644992723462</v>
      </c>
      <c r="AD634" s="172">
        <f t="shared" si="241"/>
        <v>0.90384644992723462</v>
      </c>
      <c r="AE634" s="172">
        <f t="shared" si="241"/>
        <v>0.90384644992723462</v>
      </c>
      <c r="AF634" s="172">
        <f t="shared" si="241"/>
        <v>0.90384644992723462</v>
      </c>
      <c r="AG634" s="172">
        <f t="shared" si="241"/>
        <v>0.90384644992723462</v>
      </c>
      <c r="AH634" s="172">
        <f t="shared" si="241"/>
        <v>0.90384644992723462</v>
      </c>
      <c r="AI634" s="172">
        <f t="shared" si="241"/>
        <v>0.90384644992723462</v>
      </c>
      <c r="AJ634" s="172">
        <f t="shared" si="241"/>
        <v>0.90384644992723462</v>
      </c>
      <c r="AK634" s="172">
        <f t="shared" si="241"/>
        <v>0.90384644992723462</v>
      </c>
      <c r="AL634" s="172">
        <f t="shared" si="241"/>
        <v>0.90384644992723462</v>
      </c>
      <c r="AM634" s="172">
        <f t="shared" si="241"/>
        <v>0.90384644992723462</v>
      </c>
      <c r="AN634" s="172">
        <f t="shared" si="241"/>
        <v>0.90384644992723462</v>
      </c>
      <c r="AO634" s="172">
        <f t="shared" si="241"/>
        <v>0.90384644992723462</v>
      </c>
      <c r="AP634" s="172">
        <f t="shared" si="241"/>
        <v>0.90384644992723462</v>
      </c>
      <c r="AQ634" s="172">
        <f t="shared" si="241"/>
        <v>0.90384644992723462</v>
      </c>
    </row>
    <row r="635" spans="7:43" ht="14.1" customHeight="1" x14ac:dyDescent="0.25">
      <c r="G635" s="106"/>
      <c r="H635" s="166"/>
      <c r="I635" s="3">
        <v>0.192</v>
      </c>
      <c r="J635" s="170"/>
      <c r="K635" s="171">
        <f>K634+1</f>
        <v>3</v>
      </c>
      <c r="L635" s="172">
        <f t="shared" si="240"/>
        <v>0.85929440659770573</v>
      </c>
      <c r="M635" s="172">
        <f t="shared" si="240"/>
        <v>0.85929440659770573</v>
      </c>
      <c r="N635" s="172">
        <f t="shared" si="240"/>
        <v>0.85929440659770573</v>
      </c>
      <c r="O635" s="172">
        <f t="shared" si="240"/>
        <v>0.85929440659770573</v>
      </c>
      <c r="P635" s="172">
        <f t="shared" si="240"/>
        <v>0.85929440659770573</v>
      </c>
      <c r="Q635" s="172">
        <f t="shared" si="240"/>
        <v>0.85929440659770573</v>
      </c>
      <c r="R635" s="172">
        <f t="shared" si="240"/>
        <v>0.85929440659770573</v>
      </c>
      <c r="S635" s="172">
        <f t="shared" si="240"/>
        <v>0.85929440659770573</v>
      </c>
      <c r="T635" s="172">
        <f t="shared" si="240"/>
        <v>0.85929440659770573</v>
      </c>
      <c r="U635" s="172">
        <f t="shared" si="240"/>
        <v>0.85929440659770573</v>
      </c>
      <c r="V635" s="172">
        <f t="shared" si="240"/>
        <v>0.85929440659770573</v>
      </c>
      <c r="W635" s="172">
        <f t="shared" si="240"/>
        <v>0.85929440659770573</v>
      </c>
      <c r="X635" s="172">
        <f t="shared" si="240"/>
        <v>0.85929440659770573</v>
      </c>
      <c r="Y635" s="172">
        <f t="shared" si="240"/>
        <v>0.85929440659770573</v>
      </c>
      <c r="Z635" s="172">
        <f t="shared" si="240"/>
        <v>0.85929440659770573</v>
      </c>
      <c r="AA635" s="172">
        <f t="shared" si="240"/>
        <v>0.85929440659770573</v>
      </c>
      <c r="AB635" s="172">
        <f t="shared" si="241"/>
        <v>0.85929440659770573</v>
      </c>
      <c r="AC635" s="172">
        <f t="shared" si="241"/>
        <v>0.85929440659770573</v>
      </c>
      <c r="AD635" s="172">
        <f t="shared" si="241"/>
        <v>0.85929440659770573</v>
      </c>
      <c r="AE635" s="172">
        <f t="shared" si="241"/>
        <v>0.85929440659770573</v>
      </c>
      <c r="AF635" s="172">
        <f t="shared" si="241"/>
        <v>0.85929440659770573</v>
      </c>
      <c r="AG635" s="172">
        <f t="shared" si="241"/>
        <v>0.85929440659770573</v>
      </c>
      <c r="AH635" s="172">
        <f t="shared" si="241"/>
        <v>0.85929440659770573</v>
      </c>
      <c r="AI635" s="172">
        <f t="shared" si="241"/>
        <v>0.85929440659770573</v>
      </c>
      <c r="AJ635" s="172">
        <f t="shared" si="241"/>
        <v>0.85929440659770573</v>
      </c>
      <c r="AK635" s="172">
        <f t="shared" si="241"/>
        <v>0.85929440659770573</v>
      </c>
      <c r="AL635" s="172">
        <f t="shared" si="241"/>
        <v>0.85929440659770573</v>
      </c>
      <c r="AM635" s="172">
        <f t="shared" si="241"/>
        <v>0.85929440659770573</v>
      </c>
      <c r="AN635" s="172">
        <f t="shared" si="241"/>
        <v>0.85929440659770573</v>
      </c>
      <c r="AO635" s="172">
        <f t="shared" si="241"/>
        <v>0.85929440659770573</v>
      </c>
      <c r="AP635" s="172">
        <f t="shared" si="241"/>
        <v>0.85929440659770573</v>
      </c>
      <c r="AQ635" s="172">
        <f t="shared" si="241"/>
        <v>0.85929440659770573</v>
      </c>
    </row>
    <row r="636" spans="7:43" ht="14.1" customHeight="1" x14ac:dyDescent="0.25">
      <c r="G636" s="106"/>
      <c r="H636" s="166"/>
      <c r="I636" s="3">
        <v>0.1152</v>
      </c>
      <c r="J636" s="170"/>
      <c r="K636" s="171">
        <f>K635+1</f>
        <v>4</v>
      </c>
      <c r="L636" s="172">
        <f t="shared" si="240"/>
        <v>0.81693840504606507</v>
      </c>
      <c r="M636" s="172">
        <f t="shared" si="240"/>
        <v>0.81693840504606507</v>
      </c>
      <c r="N636" s="172">
        <f t="shared" si="240"/>
        <v>0.81693840504606507</v>
      </c>
      <c r="O636" s="172">
        <f t="shared" si="240"/>
        <v>0.81693840504606507</v>
      </c>
      <c r="P636" s="172">
        <f t="shared" si="240"/>
        <v>0.81693840504606507</v>
      </c>
      <c r="Q636" s="172">
        <f t="shared" si="240"/>
        <v>0.81693840504606507</v>
      </c>
      <c r="R636" s="172">
        <f t="shared" si="240"/>
        <v>0.81693840504606507</v>
      </c>
      <c r="S636" s="172">
        <f t="shared" si="240"/>
        <v>0.81693840504606507</v>
      </c>
      <c r="T636" s="172">
        <f t="shared" si="240"/>
        <v>0.81693840504606507</v>
      </c>
      <c r="U636" s="172">
        <f t="shared" si="240"/>
        <v>0.81693840504606507</v>
      </c>
      <c r="V636" s="172">
        <f t="shared" si="240"/>
        <v>0.81693840504606507</v>
      </c>
      <c r="W636" s="172">
        <f t="shared" si="240"/>
        <v>0.81693840504606507</v>
      </c>
      <c r="X636" s="172">
        <f t="shared" si="240"/>
        <v>0.81693840504606507</v>
      </c>
      <c r="Y636" s="172">
        <f t="shared" si="240"/>
        <v>0.81693840504606507</v>
      </c>
      <c r="Z636" s="172">
        <f t="shared" si="240"/>
        <v>0.81693840504606507</v>
      </c>
      <c r="AA636" s="172">
        <f t="shared" si="240"/>
        <v>0.81693840504606507</v>
      </c>
      <c r="AB636" s="172">
        <f t="shared" si="241"/>
        <v>0.81693840504606507</v>
      </c>
      <c r="AC636" s="172">
        <f t="shared" si="241"/>
        <v>0.81693840504606507</v>
      </c>
      <c r="AD636" s="172">
        <f t="shared" si="241"/>
        <v>0.81693840504606507</v>
      </c>
      <c r="AE636" s="172">
        <f t="shared" si="241"/>
        <v>0.81693840504606507</v>
      </c>
      <c r="AF636" s="172">
        <f t="shared" si="241"/>
        <v>0.81693840504606507</v>
      </c>
      <c r="AG636" s="172">
        <f t="shared" si="241"/>
        <v>0.81693840504606507</v>
      </c>
      <c r="AH636" s="172">
        <f t="shared" si="241"/>
        <v>0.81693840504606507</v>
      </c>
      <c r="AI636" s="172">
        <f t="shared" si="241"/>
        <v>0.81693840504606507</v>
      </c>
      <c r="AJ636" s="172">
        <f t="shared" si="241"/>
        <v>0.81693840504606507</v>
      </c>
      <c r="AK636" s="172">
        <f t="shared" si="241"/>
        <v>0.81693840504606507</v>
      </c>
      <c r="AL636" s="172">
        <f t="shared" si="241"/>
        <v>0.81693840504606507</v>
      </c>
      <c r="AM636" s="172">
        <f t="shared" si="241"/>
        <v>0.81693840504606507</v>
      </c>
      <c r="AN636" s="172">
        <f t="shared" si="241"/>
        <v>0.81693840504606507</v>
      </c>
      <c r="AO636" s="172">
        <f t="shared" si="241"/>
        <v>0.81693840504606507</v>
      </c>
      <c r="AP636" s="172">
        <f t="shared" si="241"/>
        <v>0.81693840504606507</v>
      </c>
      <c r="AQ636" s="172">
        <f t="shared" si="241"/>
        <v>0.81693840504606507</v>
      </c>
    </row>
    <row r="637" spans="7:43" ht="14.1" customHeight="1" x14ac:dyDescent="0.25">
      <c r="G637" s="106"/>
      <c r="H637" s="166"/>
      <c r="I637" s="3">
        <v>0.1152</v>
      </c>
      <c r="J637" s="170"/>
      <c r="K637" s="171">
        <f>K636+1</f>
        <v>5</v>
      </c>
      <c r="L637" s="172">
        <f t="shared" si="240"/>
        <v>0.77667019884566602</v>
      </c>
      <c r="M637" s="172">
        <f t="shared" si="240"/>
        <v>0.77667019884566602</v>
      </c>
      <c r="N637" s="172">
        <f t="shared" si="240"/>
        <v>0.77667019884566602</v>
      </c>
      <c r="O637" s="172">
        <f t="shared" si="240"/>
        <v>0.77667019884566602</v>
      </c>
      <c r="P637" s="172">
        <f t="shared" si="240"/>
        <v>0.77667019884566602</v>
      </c>
      <c r="Q637" s="172">
        <f t="shared" si="240"/>
        <v>0.77667019884566602</v>
      </c>
      <c r="R637" s="172">
        <f t="shared" si="240"/>
        <v>0.77667019884566602</v>
      </c>
      <c r="S637" s="172">
        <f t="shared" si="240"/>
        <v>0.77667019884566602</v>
      </c>
      <c r="T637" s="172">
        <f t="shared" si="240"/>
        <v>0.77667019884566602</v>
      </c>
      <c r="U637" s="172">
        <f t="shared" si="240"/>
        <v>0.77667019884566602</v>
      </c>
      <c r="V637" s="172">
        <f t="shared" si="240"/>
        <v>0.77667019884566602</v>
      </c>
      <c r="W637" s="172">
        <f t="shared" si="240"/>
        <v>0.77667019884566602</v>
      </c>
      <c r="X637" s="172">
        <f t="shared" si="240"/>
        <v>0.77667019884566602</v>
      </c>
      <c r="Y637" s="172">
        <f t="shared" si="240"/>
        <v>0.77667019884566602</v>
      </c>
      <c r="Z637" s="172">
        <f t="shared" si="240"/>
        <v>0.77667019884566602</v>
      </c>
      <c r="AA637" s="172">
        <f t="shared" si="240"/>
        <v>0.77667019884566602</v>
      </c>
      <c r="AB637" s="172">
        <f t="shared" si="241"/>
        <v>0.77667019884566602</v>
      </c>
      <c r="AC637" s="172">
        <f t="shared" si="241"/>
        <v>0.77667019884566602</v>
      </c>
      <c r="AD637" s="172">
        <f t="shared" si="241"/>
        <v>0.77667019884566602</v>
      </c>
      <c r="AE637" s="172">
        <f t="shared" si="241"/>
        <v>0.77667019884566602</v>
      </c>
      <c r="AF637" s="172">
        <f t="shared" si="241"/>
        <v>0.77667019884566602</v>
      </c>
      <c r="AG637" s="172">
        <f t="shared" si="241"/>
        <v>0.77667019884566602</v>
      </c>
      <c r="AH637" s="172">
        <f t="shared" si="241"/>
        <v>0.77667019884566602</v>
      </c>
      <c r="AI637" s="172">
        <f t="shared" si="241"/>
        <v>0.77667019884566602</v>
      </c>
      <c r="AJ637" s="172">
        <f t="shared" si="241"/>
        <v>0.77667019884566602</v>
      </c>
      <c r="AK637" s="172">
        <f t="shared" si="241"/>
        <v>0.77667019884566602</v>
      </c>
      <c r="AL637" s="172">
        <f t="shared" si="241"/>
        <v>0.77667019884566602</v>
      </c>
      <c r="AM637" s="172">
        <f t="shared" si="241"/>
        <v>0.77667019884566602</v>
      </c>
      <c r="AN637" s="172">
        <f t="shared" si="241"/>
        <v>0.77667019884566602</v>
      </c>
      <c r="AO637" s="172">
        <f t="shared" si="241"/>
        <v>0.77667019884566602</v>
      </c>
      <c r="AP637" s="172">
        <f t="shared" si="241"/>
        <v>0.77667019884566602</v>
      </c>
      <c r="AQ637" s="172">
        <f t="shared" si="241"/>
        <v>0.77667019884566602</v>
      </c>
    </row>
    <row r="638" spans="7:43" ht="14.1" customHeight="1" x14ac:dyDescent="0.25">
      <c r="G638" s="106"/>
      <c r="H638" s="166"/>
      <c r="I638" s="3">
        <v>5.7599999999999998E-2</v>
      </c>
      <c r="J638" s="170"/>
      <c r="K638" s="171">
        <f>K637+1</f>
        <v>6</v>
      </c>
      <c r="L638" s="172">
        <f t="shared" si="240"/>
        <v>0.73838687721010321</v>
      </c>
      <c r="M638" s="172">
        <f t="shared" si="240"/>
        <v>0.73838687721010321</v>
      </c>
      <c r="N638" s="172">
        <f t="shared" si="240"/>
        <v>0.73838687721010321</v>
      </c>
      <c r="O638" s="172">
        <f t="shared" si="240"/>
        <v>0.73838687721010321</v>
      </c>
      <c r="P638" s="172">
        <f t="shared" si="240"/>
        <v>0.73838687721010321</v>
      </c>
      <c r="Q638" s="172">
        <f t="shared" si="240"/>
        <v>0.73838687721010321</v>
      </c>
      <c r="R638" s="172">
        <f t="shared" si="240"/>
        <v>0.73838687721010321</v>
      </c>
      <c r="S638" s="172">
        <f t="shared" si="240"/>
        <v>0.73838687721010321</v>
      </c>
      <c r="T638" s="172">
        <f t="shared" si="240"/>
        <v>0.73838687721010321</v>
      </c>
      <c r="U638" s="172">
        <f t="shared" si="240"/>
        <v>0.73838687721010321</v>
      </c>
      <c r="V638" s="172">
        <f t="shared" si="240"/>
        <v>0.73838687721010321</v>
      </c>
      <c r="W638" s="172">
        <f t="shared" si="240"/>
        <v>0.73838687721010321</v>
      </c>
      <c r="X638" s="172">
        <f t="shared" si="240"/>
        <v>0.73838687721010321</v>
      </c>
      <c r="Y638" s="172">
        <f t="shared" si="240"/>
        <v>0.73838687721010321</v>
      </c>
      <c r="Z638" s="172">
        <f t="shared" si="240"/>
        <v>0.73838687721010321</v>
      </c>
      <c r="AA638" s="172">
        <f t="shared" si="240"/>
        <v>0.73838687721010321</v>
      </c>
      <c r="AB638" s="172">
        <f t="shared" si="241"/>
        <v>0.73838687721010321</v>
      </c>
      <c r="AC638" s="172">
        <f t="shared" si="241"/>
        <v>0.73838687721010321</v>
      </c>
      <c r="AD638" s="172">
        <f t="shared" si="241"/>
        <v>0.73838687721010321</v>
      </c>
      <c r="AE638" s="172">
        <f t="shared" si="241"/>
        <v>0.73838687721010321</v>
      </c>
      <c r="AF638" s="172">
        <f t="shared" si="241"/>
        <v>0.73838687721010321</v>
      </c>
      <c r="AG638" s="172">
        <f t="shared" si="241"/>
        <v>0.73838687721010321</v>
      </c>
      <c r="AH638" s="172">
        <f t="shared" si="241"/>
        <v>0.73838687721010321</v>
      </c>
      <c r="AI638" s="172">
        <f t="shared" si="241"/>
        <v>0.73838687721010321</v>
      </c>
      <c r="AJ638" s="172">
        <f t="shared" si="241"/>
        <v>0.73838687721010321</v>
      </c>
      <c r="AK638" s="172">
        <f t="shared" si="241"/>
        <v>0.73838687721010321</v>
      </c>
      <c r="AL638" s="172">
        <f t="shared" si="241"/>
        <v>0.73838687721010321</v>
      </c>
      <c r="AM638" s="172">
        <f t="shared" si="241"/>
        <v>0.73838687721010321</v>
      </c>
      <c r="AN638" s="172">
        <f t="shared" si="241"/>
        <v>0.73838687721010321</v>
      </c>
      <c r="AO638" s="172">
        <f t="shared" si="241"/>
        <v>0.73838687721010321</v>
      </c>
      <c r="AP638" s="172">
        <f t="shared" si="241"/>
        <v>0.73838687721010321</v>
      </c>
      <c r="AQ638" s="172">
        <f t="shared" si="241"/>
        <v>0.73838687721010321</v>
      </c>
    </row>
    <row r="639" spans="7:43" ht="14.1" customHeight="1" x14ac:dyDescent="0.25">
      <c r="G639" s="106"/>
      <c r="H639" s="166"/>
      <c r="J639" s="170"/>
      <c r="K639" s="169" t="s">
        <v>163</v>
      </c>
      <c r="L639" s="107">
        <v>2019</v>
      </c>
      <c r="M639" s="107">
        <v>2020</v>
      </c>
      <c r="N639" s="107">
        <v>2021</v>
      </c>
      <c r="O639" s="107">
        <v>2022</v>
      </c>
      <c r="P639" s="107">
        <v>2023</v>
      </c>
      <c r="Q639" s="107">
        <v>2024</v>
      </c>
      <c r="R639" s="107">
        <v>2025</v>
      </c>
      <c r="S639" s="107">
        <v>2026</v>
      </c>
      <c r="T639" s="107">
        <v>2027</v>
      </c>
      <c r="U639" s="107">
        <v>2028</v>
      </c>
      <c r="V639" s="107">
        <v>2029</v>
      </c>
      <c r="W639" s="107">
        <v>2030</v>
      </c>
      <c r="X639" s="107">
        <v>2031</v>
      </c>
      <c r="Y639" s="107">
        <v>2032</v>
      </c>
      <c r="Z639" s="107">
        <v>2033</v>
      </c>
      <c r="AA639" s="107">
        <v>2034</v>
      </c>
      <c r="AB639" s="107">
        <v>2035</v>
      </c>
      <c r="AC639" s="107">
        <v>2036</v>
      </c>
      <c r="AD639" s="107">
        <v>2037</v>
      </c>
      <c r="AE639" s="107">
        <v>2038</v>
      </c>
      <c r="AF639" s="107">
        <v>2039</v>
      </c>
      <c r="AG639" s="107">
        <v>2040</v>
      </c>
      <c r="AH639" s="107">
        <v>2041</v>
      </c>
      <c r="AI639" s="107">
        <v>2042</v>
      </c>
      <c r="AJ639" s="107">
        <v>2043</v>
      </c>
      <c r="AK639" s="107">
        <v>2044</v>
      </c>
      <c r="AL639" s="107">
        <v>2045</v>
      </c>
      <c r="AM639" s="107">
        <v>2046</v>
      </c>
      <c r="AN639" s="107">
        <v>2047</v>
      </c>
      <c r="AO639" s="107">
        <v>2048</v>
      </c>
      <c r="AP639" s="107">
        <v>2049</v>
      </c>
      <c r="AQ639" s="107">
        <v>2050</v>
      </c>
    </row>
    <row r="640" spans="7:43" ht="14.1" customHeight="1" x14ac:dyDescent="0.25">
      <c r="G640" s="106"/>
      <c r="H640" s="166"/>
      <c r="J640" s="170"/>
      <c r="K640" s="171">
        <v>1</v>
      </c>
      <c r="L640" s="172">
        <f t="shared" ref="L640:AA645" si="242">1/((1+L$80)*(1+L$58))^$K640</f>
        <v>0.95070839373976013</v>
      </c>
      <c r="M640" s="172">
        <f t="shared" si="242"/>
        <v>0.95070839373976013</v>
      </c>
      <c r="N640" s="172">
        <f t="shared" si="242"/>
        <v>0.95070839373976013</v>
      </c>
      <c r="O640" s="172">
        <f t="shared" si="242"/>
        <v>0.95070839373976013</v>
      </c>
      <c r="P640" s="172">
        <f t="shared" si="242"/>
        <v>0.95070839373976013</v>
      </c>
      <c r="Q640" s="172">
        <f t="shared" si="242"/>
        <v>0.95070839373976013</v>
      </c>
      <c r="R640" s="172">
        <f t="shared" si="242"/>
        <v>0.95070839373976013</v>
      </c>
      <c r="S640" s="172">
        <f t="shared" si="242"/>
        <v>0.95070839373976013</v>
      </c>
      <c r="T640" s="172">
        <f t="shared" si="242"/>
        <v>0.95070839373976013</v>
      </c>
      <c r="U640" s="172">
        <f t="shared" si="242"/>
        <v>0.95070839373976013</v>
      </c>
      <c r="V640" s="172">
        <f t="shared" si="242"/>
        <v>0.95070839373976013</v>
      </c>
      <c r="W640" s="172">
        <f t="shared" si="242"/>
        <v>0.95070839373976013</v>
      </c>
      <c r="X640" s="172">
        <f t="shared" si="242"/>
        <v>0.95070839373976013</v>
      </c>
      <c r="Y640" s="172">
        <f t="shared" si="242"/>
        <v>0.95070839373976013</v>
      </c>
      <c r="Z640" s="172">
        <f t="shared" si="242"/>
        <v>0.95070839373976013</v>
      </c>
      <c r="AA640" s="172">
        <f t="shared" si="242"/>
        <v>0.95070839373976013</v>
      </c>
      <c r="AB640" s="172">
        <f t="shared" ref="AB640:AQ645" si="243">1/((1+AB$80)*(1+AB$58))^$K640</f>
        <v>0.95070839373976013</v>
      </c>
      <c r="AC640" s="172">
        <f t="shared" si="243"/>
        <v>0.95070839373976013</v>
      </c>
      <c r="AD640" s="172">
        <f t="shared" si="243"/>
        <v>0.95070839373976013</v>
      </c>
      <c r="AE640" s="172">
        <f t="shared" si="243"/>
        <v>0.95070839373976013</v>
      </c>
      <c r="AF640" s="172">
        <f t="shared" si="243"/>
        <v>0.95070839373976013</v>
      </c>
      <c r="AG640" s="172">
        <f t="shared" si="243"/>
        <v>0.95070839373976013</v>
      </c>
      <c r="AH640" s="172">
        <f t="shared" si="243"/>
        <v>0.95070839373976013</v>
      </c>
      <c r="AI640" s="172">
        <f t="shared" si="243"/>
        <v>0.95070839373976013</v>
      </c>
      <c r="AJ640" s="172">
        <f t="shared" si="243"/>
        <v>0.95070839373976013</v>
      </c>
      <c r="AK640" s="172">
        <f t="shared" si="243"/>
        <v>0.95070839373976013</v>
      </c>
      <c r="AL640" s="172">
        <f t="shared" si="243"/>
        <v>0.95070839373976013</v>
      </c>
      <c r="AM640" s="172">
        <f t="shared" si="243"/>
        <v>0.95070839373976013</v>
      </c>
      <c r="AN640" s="172">
        <f t="shared" si="243"/>
        <v>0.95070839373976013</v>
      </c>
      <c r="AO640" s="172">
        <f t="shared" si="243"/>
        <v>0.95070839373976013</v>
      </c>
      <c r="AP640" s="172">
        <f t="shared" si="243"/>
        <v>0.95070839373976013</v>
      </c>
      <c r="AQ640" s="172">
        <f t="shared" si="243"/>
        <v>0.95070839373976013</v>
      </c>
    </row>
    <row r="641" spans="3:43" ht="14.1" customHeight="1" x14ac:dyDescent="0.25">
      <c r="G641" s="106"/>
      <c r="H641" s="166"/>
      <c r="J641" s="170"/>
      <c r="K641" s="171">
        <v>2</v>
      </c>
      <c r="L641" s="172">
        <f t="shared" si="242"/>
        <v>0.90384644992723462</v>
      </c>
      <c r="M641" s="172">
        <f t="shared" si="242"/>
        <v>0.90384644992723462</v>
      </c>
      <c r="N641" s="172">
        <f t="shared" si="242"/>
        <v>0.90384644992723462</v>
      </c>
      <c r="O641" s="172">
        <f t="shared" si="242"/>
        <v>0.90384644992723462</v>
      </c>
      <c r="P641" s="172">
        <f t="shared" si="242"/>
        <v>0.90384644992723462</v>
      </c>
      <c r="Q641" s="172">
        <f t="shared" si="242"/>
        <v>0.90384644992723462</v>
      </c>
      <c r="R641" s="172">
        <f t="shared" si="242"/>
        <v>0.90384644992723462</v>
      </c>
      <c r="S641" s="172">
        <f t="shared" si="242"/>
        <v>0.90384644992723462</v>
      </c>
      <c r="T641" s="172">
        <f t="shared" si="242"/>
        <v>0.90384644992723462</v>
      </c>
      <c r="U641" s="172">
        <f t="shared" si="242"/>
        <v>0.90384644992723462</v>
      </c>
      <c r="V641" s="172">
        <f t="shared" si="242"/>
        <v>0.90384644992723462</v>
      </c>
      <c r="W641" s="172">
        <f t="shared" si="242"/>
        <v>0.90384644992723462</v>
      </c>
      <c r="X641" s="172">
        <f t="shared" si="242"/>
        <v>0.90384644992723462</v>
      </c>
      <c r="Y641" s="172">
        <f t="shared" si="242"/>
        <v>0.90384644992723462</v>
      </c>
      <c r="Z641" s="172">
        <f t="shared" si="242"/>
        <v>0.90384644992723462</v>
      </c>
      <c r="AA641" s="172">
        <f t="shared" si="242"/>
        <v>0.90384644992723462</v>
      </c>
      <c r="AB641" s="172">
        <f t="shared" si="243"/>
        <v>0.90384644992723462</v>
      </c>
      <c r="AC641" s="172">
        <f t="shared" si="243"/>
        <v>0.90384644992723462</v>
      </c>
      <c r="AD641" s="172">
        <f t="shared" si="243"/>
        <v>0.90384644992723462</v>
      </c>
      <c r="AE641" s="172">
        <f t="shared" si="243"/>
        <v>0.90384644992723462</v>
      </c>
      <c r="AF641" s="172">
        <f t="shared" si="243"/>
        <v>0.90384644992723462</v>
      </c>
      <c r="AG641" s="172">
        <f t="shared" si="243"/>
        <v>0.90384644992723462</v>
      </c>
      <c r="AH641" s="172">
        <f t="shared" si="243"/>
        <v>0.90384644992723462</v>
      </c>
      <c r="AI641" s="172">
        <f t="shared" si="243"/>
        <v>0.90384644992723462</v>
      </c>
      <c r="AJ641" s="172">
        <f t="shared" si="243"/>
        <v>0.90384644992723462</v>
      </c>
      <c r="AK641" s="172">
        <f t="shared" si="243"/>
        <v>0.90384644992723462</v>
      </c>
      <c r="AL641" s="172">
        <f t="shared" si="243"/>
        <v>0.90384644992723462</v>
      </c>
      <c r="AM641" s="172">
        <f t="shared" si="243"/>
        <v>0.90384644992723462</v>
      </c>
      <c r="AN641" s="172">
        <f t="shared" si="243"/>
        <v>0.90384644992723462</v>
      </c>
      <c r="AO641" s="172">
        <f t="shared" si="243"/>
        <v>0.90384644992723462</v>
      </c>
      <c r="AP641" s="172">
        <f t="shared" si="243"/>
        <v>0.90384644992723462</v>
      </c>
      <c r="AQ641" s="172">
        <f t="shared" si="243"/>
        <v>0.90384644992723462</v>
      </c>
    </row>
    <row r="642" spans="3:43" ht="14.1" customHeight="1" x14ac:dyDescent="0.25">
      <c r="G642" s="106"/>
      <c r="H642" s="166"/>
      <c r="J642" s="170"/>
      <c r="K642" s="171">
        <v>3</v>
      </c>
      <c r="L642" s="172">
        <f t="shared" si="242"/>
        <v>0.85929440659770573</v>
      </c>
      <c r="M642" s="172">
        <f t="shared" si="242"/>
        <v>0.85929440659770573</v>
      </c>
      <c r="N642" s="172">
        <f t="shared" si="242"/>
        <v>0.85929440659770573</v>
      </c>
      <c r="O642" s="172">
        <f t="shared" si="242"/>
        <v>0.85929440659770573</v>
      </c>
      <c r="P642" s="172">
        <f t="shared" si="242"/>
        <v>0.85929440659770573</v>
      </c>
      <c r="Q642" s="172">
        <f t="shared" si="242"/>
        <v>0.85929440659770573</v>
      </c>
      <c r="R642" s="172">
        <f t="shared" si="242"/>
        <v>0.85929440659770573</v>
      </c>
      <c r="S642" s="172">
        <f t="shared" si="242"/>
        <v>0.85929440659770573</v>
      </c>
      <c r="T642" s="172">
        <f t="shared" si="242"/>
        <v>0.85929440659770573</v>
      </c>
      <c r="U642" s="172">
        <f t="shared" si="242"/>
        <v>0.85929440659770573</v>
      </c>
      <c r="V642" s="172">
        <f t="shared" si="242"/>
        <v>0.85929440659770573</v>
      </c>
      <c r="W642" s="172">
        <f t="shared" si="242"/>
        <v>0.85929440659770573</v>
      </c>
      <c r="X642" s="172">
        <f t="shared" si="242"/>
        <v>0.85929440659770573</v>
      </c>
      <c r="Y642" s="172">
        <f t="shared" si="242"/>
        <v>0.85929440659770573</v>
      </c>
      <c r="Z642" s="172">
        <f t="shared" si="242"/>
        <v>0.85929440659770573</v>
      </c>
      <c r="AA642" s="172">
        <f t="shared" si="242"/>
        <v>0.85929440659770573</v>
      </c>
      <c r="AB642" s="172">
        <f t="shared" si="243"/>
        <v>0.85929440659770573</v>
      </c>
      <c r="AC642" s="172">
        <f t="shared" si="243"/>
        <v>0.85929440659770573</v>
      </c>
      <c r="AD642" s="172">
        <f t="shared" si="243"/>
        <v>0.85929440659770573</v>
      </c>
      <c r="AE642" s="172">
        <f t="shared" si="243"/>
        <v>0.85929440659770573</v>
      </c>
      <c r="AF642" s="172">
        <f t="shared" si="243"/>
        <v>0.85929440659770573</v>
      </c>
      <c r="AG642" s="172">
        <f t="shared" si="243"/>
        <v>0.85929440659770573</v>
      </c>
      <c r="AH642" s="172">
        <f t="shared" si="243"/>
        <v>0.85929440659770573</v>
      </c>
      <c r="AI642" s="172">
        <f t="shared" si="243"/>
        <v>0.85929440659770573</v>
      </c>
      <c r="AJ642" s="172">
        <f t="shared" si="243"/>
        <v>0.85929440659770573</v>
      </c>
      <c r="AK642" s="172">
        <f t="shared" si="243"/>
        <v>0.85929440659770573</v>
      </c>
      <c r="AL642" s="172">
        <f t="shared" si="243"/>
        <v>0.85929440659770573</v>
      </c>
      <c r="AM642" s="172">
        <f t="shared" si="243"/>
        <v>0.85929440659770573</v>
      </c>
      <c r="AN642" s="172">
        <f t="shared" si="243"/>
        <v>0.85929440659770573</v>
      </c>
      <c r="AO642" s="172">
        <f t="shared" si="243"/>
        <v>0.85929440659770573</v>
      </c>
      <c r="AP642" s="172">
        <f t="shared" si="243"/>
        <v>0.85929440659770573</v>
      </c>
      <c r="AQ642" s="172">
        <f t="shared" si="243"/>
        <v>0.85929440659770573</v>
      </c>
    </row>
    <row r="643" spans="3:43" ht="14.1" customHeight="1" x14ac:dyDescent="0.25">
      <c r="G643" s="106"/>
      <c r="H643" s="166"/>
      <c r="J643" s="170"/>
      <c r="K643" s="171">
        <v>4</v>
      </c>
      <c r="L643" s="172">
        <f t="shared" si="242"/>
        <v>0.81693840504606507</v>
      </c>
      <c r="M643" s="172">
        <f t="shared" si="242"/>
        <v>0.81693840504606507</v>
      </c>
      <c r="N643" s="172">
        <f t="shared" si="242"/>
        <v>0.81693840504606507</v>
      </c>
      <c r="O643" s="172">
        <f t="shared" si="242"/>
        <v>0.81693840504606507</v>
      </c>
      <c r="P643" s="172">
        <f t="shared" si="242"/>
        <v>0.81693840504606507</v>
      </c>
      <c r="Q643" s="172">
        <f t="shared" si="242"/>
        <v>0.81693840504606507</v>
      </c>
      <c r="R643" s="172">
        <f t="shared" si="242"/>
        <v>0.81693840504606507</v>
      </c>
      <c r="S643" s="172">
        <f t="shared" si="242"/>
        <v>0.81693840504606507</v>
      </c>
      <c r="T643" s="172">
        <f t="shared" si="242"/>
        <v>0.81693840504606507</v>
      </c>
      <c r="U643" s="172">
        <f t="shared" si="242"/>
        <v>0.81693840504606507</v>
      </c>
      <c r="V643" s="172">
        <f t="shared" si="242"/>
        <v>0.81693840504606507</v>
      </c>
      <c r="W643" s="172">
        <f t="shared" si="242"/>
        <v>0.81693840504606507</v>
      </c>
      <c r="X643" s="172">
        <f t="shared" si="242"/>
        <v>0.81693840504606507</v>
      </c>
      <c r="Y643" s="172">
        <f t="shared" si="242"/>
        <v>0.81693840504606507</v>
      </c>
      <c r="Z643" s="172">
        <f t="shared" si="242"/>
        <v>0.81693840504606507</v>
      </c>
      <c r="AA643" s="172">
        <f t="shared" si="242"/>
        <v>0.81693840504606507</v>
      </c>
      <c r="AB643" s="172">
        <f t="shared" si="243"/>
        <v>0.81693840504606507</v>
      </c>
      <c r="AC643" s="172">
        <f t="shared" si="243"/>
        <v>0.81693840504606507</v>
      </c>
      <c r="AD643" s="172">
        <f t="shared" si="243"/>
        <v>0.81693840504606507</v>
      </c>
      <c r="AE643" s="172">
        <f t="shared" si="243"/>
        <v>0.81693840504606507</v>
      </c>
      <c r="AF643" s="172">
        <f t="shared" si="243"/>
        <v>0.81693840504606507</v>
      </c>
      <c r="AG643" s="172">
        <f t="shared" si="243"/>
        <v>0.81693840504606507</v>
      </c>
      <c r="AH643" s="172">
        <f t="shared" si="243"/>
        <v>0.81693840504606507</v>
      </c>
      <c r="AI643" s="172">
        <f t="shared" si="243"/>
        <v>0.81693840504606507</v>
      </c>
      <c r="AJ643" s="172">
        <f t="shared" si="243"/>
        <v>0.81693840504606507</v>
      </c>
      <c r="AK643" s="172">
        <f t="shared" si="243"/>
        <v>0.81693840504606507</v>
      </c>
      <c r="AL643" s="172">
        <f t="shared" si="243"/>
        <v>0.81693840504606507</v>
      </c>
      <c r="AM643" s="172">
        <f t="shared" si="243"/>
        <v>0.81693840504606507</v>
      </c>
      <c r="AN643" s="172">
        <f t="shared" si="243"/>
        <v>0.81693840504606507</v>
      </c>
      <c r="AO643" s="172">
        <f t="shared" si="243"/>
        <v>0.81693840504606507</v>
      </c>
      <c r="AP643" s="172">
        <f t="shared" si="243"/>
        <v>0.81693840504606507</v>
      </c>
      <c r="AQ643" s="172">
        <f t="shared" si="243"/>
        <v>0.81693840504606507</v>
      </c>
    </row>
    <row r="644" spans="3:43" ht="14.1" customHeight="1" x14ac:dyDescent="0.25">
      <c r="G644" s="106"/>
      <c r="H644" s="166"/>
      <c r="J644" s="170"/>
      <c r="K644" s="171">
        <v>5</v>
      </c>
      <c r="L644" s="172">
        <f t="shared" si="242"/>
        <v>0.77667019884566602</v>
      </c>
      <c r="M644" s="172">
        <f t="shared" si="242"/>
        <v>0.77667019884566602</v>
      </c>
      <c r="N644" s="172">
        <f t="shared" si="242"/>
        <v>0.77667019884566602</v>
      </c>
      <c r="O644" s="172">
        <f t="shared" si="242"/>
        <v>0.77667019884566602</v>
      </c>
      <c r="P644" s="172">
        <f t="shared" si="242"/>
        <v>0.77667019884566602</v>
      </c>
      <c r="Q644" s="172">
        <f t="shared" si="242"/>
        <v>0.77667019884566602</v>
      </c>
      <c r="R644" s="172">
        <f t="shared" si="242"/>
        <v>0.77667019884566602</v>
      </c>
      <c r="S644" s="172">
        <f t="shared" si="242"/>
        <v>0.77667019884566602</v>
      </c>
      <c r="T644" s="172">
        <f t="shared" si="242"/>
        <v>0.77667019884566602</v>
      </c>
      <c r="U644" s="172">
        <f t="shared" si="242"/>
        <v>0.77667019884566602</v>
      </c>
      <c r="V644" s="172">
        <f t="shared" si="242"/>
        <v>0.77667019884566602</v>
      </c>
      <c r="W644" s="172">
        <f t="shared" si="242"/>
        <v>0.77667019884566602</v>
      </c>
      <c r="X644" s="172">
        <f t="shared" si="242"/>
        <v>0.77667019884566602</v>
      </c>
      <c r="Y644" s="172">
        <f t="shared" si="242"/>
        <v>0.77667019884566602</v>
      </c>
      <c r="Z644" s="172">
        <f t="shared" si="242"/>
        <v>0.77667019884566602</v>
      </c>
      <c r="AA644" s="172">
        <f t="shared" si="242"/>
        <v>0.77667019884566602</v>
      </c>
      <c r="AB644" s="172">
        <f t="shared" si="243"/>
        <v>0.77667019884566602</v>
      </c>
      <c r="AC644" s="172">
        <f t="shared" si="243"/>
        <v>0.77667019884566602</v>
      </c>
      <c r="AD644" s="172">
        <f t="shared" si="243"/>
        <v>0.77667019884566602</v>
      </c>
      <c r="AE644" s="172">
        <f t="shared" si="243"/>
        <v>0.77667019884566602</v>
      </c>
      <c r="AF644" s="172">
        <f t="shared" si="243"/>
        <v>0.77667019884566602</v>
      </c>
      <c r="AG644" s="172">
        <f t="shared" si="243"/>
        <v>0.77667019884566602</v>
      </c>
      <c r="AH644" s="172">
        <f t="shared" si="243"/>
        <v>0.77667019884566602</v>
      </c>
      <c r="AI644" s="172">
        <f t="shared" si="243"/>
        <v>0.77667019884566602</v>
      </c>
      <c r="AJ644" s="172">
        <f t="shared" si="243"/>
        <v>0.77667019884566602</v>
      </c>
      <c r="AK644" s="172">
        <f t="shared" si="243"/>
        <v>0.77667019884566602</v>
      </c>
      <c r="AL644" s="172">
        <f t="shared" si="243"/>
        <v>0.77667019884566602</v>
      </c>
      <c r="AM644" s="172">
        <f t="shared" si="243"/>
        <v>0.77667019884566602</v>
      </c>
      <c r="AN644" s="172">
        <f t="shared" si="243"/>
        <v>0.77667019884566602</v>
      </c>
      <c r="AO644" s="172">
        <f t="shared" si="243"/>
        <v>0.77667019884566602</v>
      </c>
      <c r="AP644" s="172">
        <f t="shared" si="243"/>
        <v>0.77667019884566602</v>
      </c>
      <c r="AQ644" s="172">
        <f t="shared" si="243"/>
        <v>0.77667019884566602</v>
      </c>
    </row>
    <row r="645" spans="3:43" ht="14.1" customHeight="1" x14ac:dyDescent="0.25">
      <c r="G645" s="106"/>
      <c r="H645" s="166"/>
      <c r="J645" s="170"/>
      <c r="K645" s="171">
        <v>6</v>
      </c>
      <c r="L645" s="172">
        <f t="shared" si="242"/>
        <v>0.73838687721010321</v>
      </c>
      <c r="M645" s="172">
        <f t="shared" si="242"/>
        <v>0.73838687721010321</v>
      </c>
      <c r="N645" s="172">
        <f t="shared" si="242"/>
        <v>0.73838687721010321</v>
      </c>
      <c r="O645" s="172">
        <f t="shared" si="242"/>
        <v>0.73838687721010321</v>
      </c>
      <c r="P645" s="172">
        <f t="shared" si="242"/>
        <v>0.73838687721010321</v>
      </c>
      <c r="Q645" s="172">
        <f t="shared" si="242"/>
        <v>0.73838687721010321</v>
      </c>
      <c r="R645" s="172">
        <f t="shared" si="242"/>
        <v>0.73838687721010321</v>
      </c>
      <c r="S645" s="172">
        <f t="shared" si="242"/>
        <v>0.73838687721010321</v>
      </c>
      <c r="T645" s="172">
        <f t="shared" si="242"/>
        <v>0.73838687721010321</v>
      </c>
      <c r="U645" s="172">
        <f t="shared" si="242"/>
        <v>0.73838687721010321</v>
      </c>
      <c r="V645" s="172">
        <f t="shared" si="242"/>
        <v>0.73838687721010321</v>
      </c>
      <c r="W645" s="172">
        <f t="shared" si="242"/>
        <v>0.73838687721010321</v>
      </c>
      <c r="X645" s="172">
        <f t="shared" si="242"/>
        <v>0.73838687721010321</v>
      </c>
      <c r="Y645" s="172">
        <f t="shared" si="242"/>
        <v>0.73838687721010321</v>
      </c>
      <c r="Z645" s="172">
        <f t="shared" si="242"/>
        <v>0.73838687721010321</v>
      </c>
      <c r="AA645" s="172">
        <f t="shared" si="242"/>
        <v>0.73838687721010321</v>
      </c>
      <c r="AB645" s="172">
        <f t="shared" si="243"/>
        <v>0.73838687721010321</v>
      </c>
      <c r="AC645" s="172">
        <f t="shared" si="243"/>
        <v>0.73838687721010321</v>
      </c>
      <c r="AD645" s="172">
        <f t="shared" si="243"/>
        <v>0.73838687721010321</v>
      </c>
      <c r="AE645" s="172">
        <f t="shared" si="243"/>
        <v>0.73838687721010321</v>
      </c>
      <c r="AF645" s="172">
        <f t="shared" si="243"/>
        <v>0.73838687721010321</v>
      </c>
      <c r="AG645" s="172">
        <f t="shared" si="243"/>
        <v>0.73838687721010321</v>
      </c>
      <c r="AH645" s="172">
        <f t="shared" si="243"/>
        <v>0.73838687721010321</v>
      </c>
      <c r="AI645" s="172">
        <f t="shared" si="243"/>
        <v>0.73838687721010321</v>
      </c>
      <c r="AJ645" s="172">
        <f t="shared" si="243"/>
        <v>0.73838687721010321</v>
      </c>
      <c r="AK645" s="172">
        <f t="shared" si="243"/>
        <v>0.73838687721010321</v>
      </c>
      <c r="AL645" s="172">
        <f t="shared" si="243"/>
        <v>0.73838687721010321</v>
      </c>
      <c r="AM645" s="172">
        <f t="shared" si="243"/>
        <v>0.73838687721010321</v>
      </c>
      <c r="AN645" s="172">
        <f t="shared" si="243"/>
        <v>0.73838687721010321</v>
      </c>
      <c r="AO645" s="172">
        <f t="shared" si="243"/>
        <v>0.73838687721010321</v>
      </c>
      <c r="AP645" s="172">
        <f t="shared" si="243"/>
        <v>0.73838687721010321</v>
      </c>
      <c r="AQ645" s="172">
        <f t="shared" si="243"/>
        <v>0.73838687721010321</v>
      </c>
    </row>
    <row r="646" spans="3:43" ht="14.1" customHeight="1" x14ac:dyDescent="0.25">
      <c r="G646" s="106"/>
      <c r="H646" s="166"/>
      <c r="J646" s="170"/>
      <c r="K646" s="171" t="s">
        <v>164</v>
      </c>
      <c r="L646" s="107">
        <v>2019</v>
      </c>
      <c r="M646" s="107">
        <v>2020</v>
      </c>
      <c r="N646" s="107">
        <v>2021</v>
      </c>
      <c r="O646" s="107">
        <v>2022</v>
      </c>
      <c r="P646" s="107">
        <v>2023</v>
      </c>
      <c r="Q646" s="107">
        <v>2024</v>
      </c>
      <c r="R646" s="107">
        <v>2025</v>
      </c>
      <c r="S646" s="107">
        <v>2026</v>
      </c>
      <c r="T646" s="107">
        <v>2027</v>
      </c>
      <c r="U646" s="107">
        <v>2028</v>
      </c>
      <c r="V646" s="107">
        <v>2029</v>
      </c>
      <c r="W646" s="107">
        <v>2030</v>
      </c>
      <c r="X646" s="107">
        <v>2031</v>
      </c>
      <c r="Y646" s="107">
        <v>2032</v>
      </c>
      <c r="Z646" s="107">
        <v>2033</v>
      </c>
      <c r="AA646" s="107">
        <v>2034</v>
      </c>
      <c r="AB646" s="107">
        <v>2035</v>
      </c>
      <c r="AC646" s="107">
        <v>2036</v>
      </c>
      <c r="AD646" s="107">
        <v>2037</v>
      </c>
      <c r="AE646" s="107">
        <v>2038</v>
      </c>
      <c r="AF646" s="107">
        <v>2039</v>
      </c>
      <c r="AG646" s="107">
        <v>2040</v>
      </c>
      <c r="AH646" s="107">
        <v>2041</v>
      </c>
      <c r="AI646" s="107">
        <v>2042</v>
      </c>
      <c r="AJ646" s="107">
        <v>2043</v>
      </c>
      <c r="AK646" s="107">
        <v>2044</v>
      </c>
      <c r="AL646" s="107">
        <v>2045</v>
      </c>
      <c r="AM646" s="107">
        <v>2046</v>
      </c>
      <c r="AN646" s="107">
        <v>2047</v>
      </c>
      <c r="AO646" s="107">
        <v>2048</v>
      </c>
      <c r="AP646" s="107">
        <v>2049</v>
      </c>
      <c r="AQ646" s="107">
        <v>2050</v>
      </c>
    </row>
    <row r="647" spans="3:43" ht="14.1" customHeight="1" x14ac:dyDescent="0.25">
      <c r="G647" s="106"/>
      <c r="H647" s="166"/>
      <c r="J647" s="170"/>
      <c r="K647" s="171">
        <v>1</v>
      </c>
      <c r="L647" s="172">
        <f t="shared" ref="L647:AA652" si="244">1/((1+L$81)*(1+L$58))^$K647</f>
        <v>0.95070839373976013</v>
      </c>
      <c r="M647" s="172">
        <f t="shared" si="244"/>
        <v>0.95070839373976013</v>
      </c>
      <c r="N647" s="172">
        <f t="shared" si="244"/>
        <v>0.95070839373976013</v>
      </c>
      <c r="O647" s="172">
        <f t="shared" si="244"/>
        <v>0.95070839373976013</v>
      </c>
      <c r="P647" s="172">
        <f t="shared" si="244"/>
        <v>0.95070839373976013</v>
      </c>
      <c r="Q647" s="172">
        <f t="shared" si="244"/>
        <v>0.95070839373976013</v>
      </c>
      <c r="R647" s="172">
        <f t="shared" si="244"/>
        <v>0.95070839373976013</v>
      </c>
      <c r="S647" s="172">
        <f t="shared" si="244"/>
        <v>0.95070839373976013</v>
      </c>
      <c r="T647" s="172">
        <f t="shared" si="244"/>
        <v>0.95070839373976013</v>
      </c>
      <c r="U647" s="172">
        <f t="shared" si="244"/>
        <v>0.95070839373976013</v>
      </c>
      <c r="V647" s="172">
        <f t="shared" si="244"/>
        <v>0.95070839373976013</v>
      </c>
      <c r="W647" s="172">
        <f t="shared" si="244"/>
        <v>0.95070839373976013</v>
      </c>
      <c r="X647" s="172">
        <f t="shared" si="244"/>
        <v>0.95070839373976013</v>
      </c>
      <c r="Y647" s="172">
        <f t="shared" si="244"/>
        <v>0.95070839373976013</v>
      </c>
      <c r="Z647" s="172">
        <f t="shared" si="244"/>
        <v>0.95070839373976013</v>
      </c>
      <c r="AA647" s="172">
        <f t="shared" si="244"/>
        <v>0.95070839373976013</v>
      </c>
      <c r="AB647" s="172">
        <f t="shared" ref="AB647:AQ652" si="245">1/((1+AB$81)*(1+AB$58))^$K647</f>
        <v>0.95070839373976013</v>
      </c>
      <c r="AC647" s="172">
        <f t="shared" si="245"/>
        <v>0.95070839373976013</v>
      </c>
      <c r="AD647" s="172">
        <f t="shared" si="245"/>
        <v>0.95070839373976013</v>
      </c>
      <c r="AE647" s="172">
        <f t="shared" si="245"/>
        <v>0.95070839373976013</v>
      </c>
      <c r="AF647" s="172">
        <f t="shared" si="245"/>
        <v>0.95070839373976013</v>
      </c>
      <c r="AG647" s="172">
        <f t="shared" si="245"/>
        <v>0.95070839373976013</v>
      </c>
      <c r="AH647" s="172">
        <f t="shared" si="245"/>
        <v>0.95070839373976013</v>
      </c>
      <c r="AI647" s="172">
        <f t="shared" si="245"/>
        <v>0.95070839373976013</v>
      </c>
      <c r="AJ647" s="172">
        <f t="shared" si="245"/>
        <v>0.95070839373976013</v>
      </c>
      <c r="AK647" s="172">
        <f t="shared" si="245"/>
        <v>0.95070839373976013</v>
      </c>
      <c r="AL647" s="172">
        <f t="shared" si="245"/>
        <v>0.95070839373976013</v>
      </c>
      <c r="AM647" s="172">
        <f t="shared" si="245"/>
        <v>0.95070839373976013</v>
      </c>
      <c r="AN647" s="172">
        <f t="shared" si="245"/>
        <v>0.95070839373976013</v>
      </c>
      <c r="AO647" s="172">
        <f t="shared" si="245"/>
        <v>0.95070839373976013</v>
      </c>
      <c r="AP647" s="172">
        <f t="shared" si="245"/>
        <v>0.95070839373976013</v>
      </c>
      <c r="AQ647" s="172">
        <f t="shared" si="245"/>
        <v>0.95070839373976013</v>
      </c>
    </row>
    <row r="648" spans="3:43" ht="14.1" customHeight="1" x14ac:dyDescent="0.25">
      <c r="G648" s="106"/>
      <c r="H648" s="166"/>
      <c r="J648" s="170"/>
      <c r="K648" s="171">
        <v>2</v>
      </c>
      <c r="L648" s="172">
        <f t="shared" si="244"/>
        <v>0.90384644992723462</v>
      </c>
      <c r="M648" s="172">
        <f t="shared" si="244"/>
        <v>0.90384644992723462</v>
      </c>
      <c r="N648" s="172">
        <f t="shared" si="244"/>
        <v>0.90384644992723462</v>
      </c>
      <c r="O648" s="172">
        <f t="shared" si="244"/>
        <v>0.90384644992723462</v>
      </c>
      <c r="P648" s="172">
        <f t="shared" si="244"/>
        <v>0.90384644992723462</v>
      </c>
      <c r="Q648" s="172">
        <f t="shared" si="244"/>
        <v>0.90384644992723462</v>
      </c>
      <c r="R648" s="172">
        <f t="shared" si="244"/>
        <v>0.90384644992723462</v>
      </c>
      <c r="S648" s="172">
        <f t="shared" si="244"/>
        <v>0.90384644992723462</v>
      </c>
      <c r="T648" s="172">
        <f t="shared" si="244"/>
        <v>0.90384644992723462</v>
      </c>
      <c r="U648" s="172">
        <f t="shared" si="244"/>
        <v>0.90384644992723462</v>
      </c>
      <c r="V648" s="172">
        <f t="shared" si="244"/>
        <v>0.90384644992723462</v>
      </c>
      <c r="W648" s="172">
        <f t="shared" si="244"/>
        <v>0.90384644992723462</v>
      </c>
      <c r="X648" s="172">
        <f t="shared" si="244"/>
        <v>0.90384644992723462</v>
      </c>
      <c r="Y648" s="172">
        <f t="shared" si="244"/>
        <v>0.90384644992723462</v>
      </c>
      <c r="Z648" s="172">
        <f t="shared" si="244"/>
        <v>0.90384644992723462</v>
      </c>
      <c r="AA648" s="172">
        <f t="shared" si="244"/>
        <v>0.90384644992723462</v>
      </c>
      <c r="AB648" s="172">
        <f t="shared" si="245"/>
        <v>0.90384644992723462</v>
      </c>
      <c r="AC648" s="172">
        <f t="shared" si="245"/>
        <v>0.90384644992723462</v>
      </c>
      <c r="AD648" s="172">
        <f t="shared" si="245"/>
        <v>0.90384644992723462</v>
      </c>
      <c r="AE648" s="172">
        <f t="shared" si="245"/>
        <v>0.90384644992723462</v>
      </c>
      <c r="AF648" s="172">
        <f t="shared" si="245"/>
        <v>0.90384644992723462</v>
      </c>
      <c r="AG648" s="172">
        <f t="shared" si="245"/>
        <v>0.90384644992723462</v>
      </c>
      <c r="AH648" s="172">
        <f t="shared" si="245"/>
        <v>0.90384644992723462</v>
      </c>
      <c r="AI648" s="172">
        <f t="shared" si="245"/>
        <v>0.90384644992723462</v>
      </c>
      <c r="AJ648" s="172">
        <f t="shared" si="245"/>
        <v>0.90384644992723462</v>
      </c>
      <c r="AK648" s="172">
        <f t="shared" si="245"/>
        <v>0.90384644992723462</v>
      </c>
      <c r="AL648" s="172">
        <f t="shared" si="245"/>
        <v>0.90384644992723462</v>
      </c>
      <c r="AM648" s="172">
        <f t="shared" si="245"/>
        <v>0.90384644992723462</v>
      </c>
      <c r="AN648" s="172">
        <f t="shared" si="245"/>
        <v>0.90384644992723462</v>
      </c>
      <c r="AO648" s="172">
        <f t="shared" si="245"/>
        <v>0.90384644992723462</v>
      </c>
      <c r="AP648" s="172">
        <f t="shared" si="245"/>
        <v>0.90384644992723462</v>
      </c>
      <c r="AQ648" s="172">
        <f t="shared" si="245"/>
        <v>0.90384644992723462</v>
      </c>
    </row>
    <row r="649" spans="3:43" ht="14.1" customHeight="1" x14ac:dyDescent="0.25">
      <c r="G649" s="106"/>
      <c r="H649" s="166"/>
      <c r="J649" s="170"/>
      <c r="K649" s="171">
        <v>3</v>
      </c>
      <c r="L649" s="172">
        <f t="shared" si="244"/>
        <v>0.85929440659770573</v>
      </c>
      <c r="M649" s="172">
        <f t="shared" si="244"/>
        <v>0.85929440659770573</v>
      </c>
      <c r="N649" s="172">
        <f t="shared" si="244"/>
        <v>0.85929440659770573</v>
      </c>
      <c r="O649" s="172">
        <f t="shared" si="244"/>
        <v>0.85929440659770573</v>
      </c>
      <c r="P649" s="172">
        <f t="shared" si="244"/>
        <v>0.85929440659770573</v>
      </c>
      <c r="Q649" s="172">
        <f t="shared" si="244"/>
        <v>0.85929440659770573</v>
      </c>
      <c r="R649" s="172">
        <f t="shared" si="244"/>
        <v>0.85929440659770573</v>
      </c>
      <c r="S649" s="172">
        <f t="shared" si="244"/>
        <v>0.85929440659770573</v>
      </c>
      <c r="T649" s="172">
        <f t="shared" si="244"/>
        <v>0.85929440659770573</v>
      </c>
      <c r="U649" s="172">
        <f t="shared" si="244"/>
        <v>0.85929440659770573</v>
      </c>
      <c r="V649" s="172">
        <f t="shared" si="244"/>
        <v>0.85929440659770573</v>
      </c>
      <c r="W649" s="172">
        <f t="shared" si="244"/>
        <v>0.85929440659770573</v>
      </c>
      <c r="X649" s="172">
        <f t="shared" si="244"/>
        <v>0.85929440659770573</v>
      </c>
      <c r="Y649" s="172">
        <f t="shared" si="244"/>
        <v>0.85929440659770573</v>
      </c>
      <c r="Z649" s="172">
        <f t="shared" si="244"/>
        <v>0.85929440659770573</v>
      </c>
      <c r="AA649" s="172">
        <f t="shared" si="244"/>
        <v>0.85929440659770573</v>
      </c>
      <c r="AB649" s="172">
        <f t="shared" si="245"/>
        <v>0.85929440659770573</v>
      </c>
      <c r="AC649" s="172">
        <f t="shared" si="245"/>
        <v>0.85929440659770573</v>
      </c>
      <c r="AD649" s="172">
        <f t="shared" si="245"/>
        <v>0.85929440659770573</v>
      </c>
      <c r="AE649" s="172">
        <f t="shared" si="245"/>
        <v>0.85929440659770573</v>
      </c>
      <c r="AF649" s="172">
        <f t="shared" si="245"/>
        <v>0.85929440659770573</v>
      </c>
      <c r="AG649" s="172">
        <f t="shared" si="245"/>
        <v>0.85929440659770573</v>
      </c>
      <c r="AH649" s="172">
        <f t="shared" si="245"/>
        <v>0.85929440659770573</v>
      </c>
      <c r="AI649" s="172">
        <f t="shared" si="245"/>
        <v>0.85929440659770573</v>
      </c>
      <c r="AJ649" s="172">
        <f t="shared" si="245"/>
        <v>0.85929440659770573</v>
      </c>
      <c r="AK649" s="172">
        <f t="shared" si="245"/>
        <v>0.85929440659770573</v>
      </c>
      <c r="AL649" s="172">
        <f t="shared" si="245"/>
        <v>0.85929440659770573</v>
      </c>
      <c r="AM649" s="172">
        <f t="shared" si="245"/>
        <v>0.85929440659770573</v>
      </c>
      <c r="AN649" s="172">
        <f t="shared" si="245"/>
        <v>0.85929440659770573</v>
      </c>
      <c r="AO649" s="172">
        <f t="shared" si="245"/>
        <v>0.85929440659770573</v>
      </c>
      <c r="AP649" s="172">
        <f t="shared" si="245"/>
        <v>0.85929440659770573</v>
      </c>
      <c r="AQ649" s="172">
        <f t="shared" si="245"/>
        <v>0.85929440659770573</v>
      </c>
    </row>
    <row r="650" spans="3:43" ht="14.1" customHeight="1" x14ac:dyDescent="0.25">
      <c r="G650" s="106"/>
      <c r="H650" s="166"/>
      <c r="J650" s="170"/>
      <c r="K650" s="171">
        <v>4</v>
      </c>
      <c r="L650" s="172">
        <f t="shared" si="244"/>
        <v>0.81693840504606507</v>
      </c>
      <c r="M650" s="172">
        <f t="shared" si="244"/>
        <v>0.81693840504606507</v>
      </c>
      <c r="N650" s="172">
        <f t="shared" si="244"/>
        <v>0.81693840504606507</v>
      </c>
      <c r="O650" s="172">
        <f t="shared" si="244"/>
        <v>0.81693840504606507</v>
      </c>
      <c r="P650" s="172">
        <f t="shared" si="244"/>
        <v>0.81693840504606507</v>
      </c>
      <c r="Q650" s="172">
        <f t="shared" si="244"/>
        <v>0.81693840504606507</v>
      </c>
      <c r="R650" s="172">
        <f t="shared" si="244"/>
        <v>0.81693840504606507</v>
      </c>
      <c r="S650" s="172">
        <f t="shared" si="244"/>
        <v>0.81693840504606507</v>
      </c>
      <c r="T650" s="172">
        <f t="shared" si="244"/>
        <v>0.81693840504606507</v>
      </c>
      <c r="U650" s="172">
        <f t="shared" si="244"/>
        <v>0.81693840504606507</v>
      </c>
      <c r="V650" s="172">
        <f t="shared" si="244"/>
        <v>0.81693840504606507</v>
      </c>
      <c r="W650" s="172">
        <f t="shared" si="244"/>
        <v>0.81693840504606507</v>
      </c>
      <c r="X650" s="172">
        <f t="shared" si="244"/>
        <v>0.81693840504606507</v>
      </c>
      <c r="Y650" s="172">
        <f t="shared" si="244"/>
        <v>0.81693840504606507</v>
      </c>
      <c r="Z650" s="172">
        <f t="shared" si="244"/>
        <v>0.81693840504606507</v>
      </c>
      <c r="AA650" s="172">
        <f t="shared" si="244"/>
        <v>0.81693840504606507</v>
      </c>
      <c r="AB650" s="172">
        <f t="shared" si="245"/>
        <v>0.81693840504606507</v>
      </c>
      <c r="AC650" s="172">
        <f t="shared" si="245"/>
        <v>0.81693840504606507</v>
      </c>
      <c r="AD650" s="172">
        <f t="shared" si="245"/>
        <v>0.81693840504606507</v>
      </c>
      <c r="AE650" s="172">
        <f t="shared" si="245"/>
        <v>0.81693840504606507</v>
      </c>
      <c r="AF650" s="172">
        <f t="shared" si="245"/>
        <v>0.81693840504606507</v>
      </c>
      <c r="AG650" s="172">
        <f t="shared" si="245"/>
        <v>0.81693840504606507</v>
      </c>
      <c r="AH650" s="172">
        <f t="shared" si="245"/>
        <v>0.81693840504606507</v>
      </c>
      <c r="AI650" s="172">
        <f t="shared" si="245"/>
        <v>0.81693840504606507</v>
      </c>
      <c r="AJ650" s="172">
        <f t="shared" si="245"/>
        <v>0.81693840504606507</v>
      </c>
      <c r="AK650" s="172">
        <f t="shared" si="245"/>
        <v>0.81693840504606507</v>
      </c>
      <c r="AL650" s="172">
        <f t="shared" si="245"/>
        <v>0.81693840504606507</v>
      </c>
      <c r="AM650" s="172">
        <f t="shared" si="245"/>
        <v>0.81693840504606507</v>
      </c>
      <c r="AN650" s="172">
        <f t="shared" si="245"/>
        <v>0.81693840504606507</v>
      </c>
      <c r="AO650" s="172">
        <f t="shared" si="245"/>
        <v>0.81693840504606507</v>
      </c>
      <c r="AP650" s="172">
        <f t="shared" si="245"/>
        <v>0.81693840504606507</v>
      </c>
      <c r="AQ650" s="172">
        <f t="shared" si="245"/>
        <v>0.81693840504606507</v>
      </c>
    </row>
    <row r="651" spans="3:43" ht="14.1" customHeight="1" x14ac:dyDescent="0.25">
      <c r="G651" s="106"/>
      <c r="H651" s="166"/>
      <c r="J651" s="170"/>
      <c r="K651" s="171">
        <v>5</v>
      </c>
      <c r="L651" s="172">
        <f t="shared" si="244"/>
        <v>0.77667019884566602</v>
      </c>
      <c r="M651" s="172">
        <f t="shared" si="244"/>
        <v>0.77667019884566602</v>
      </c>
      <c r="N651" s="172">
        <f t="shared" si="244"/>
        <v>0.77667019884566602</v>
      </c>
      <c r="O651" s="172">
        <f t="shared" si="244"/>
        <v>0.77667019884566602</v>
      </c>
      <c r="P651" s="172">
        <f t="shared" si="244"/>
        <v>0.77667019884566602</v>
      </c>
      <c r="Q651" s="172">
        <f t="shared" si="244"/>
        <v>0.77667019884566602</v>
      </c>
      <c r="R651" s="172">
        <f t="shared" si="244"/>
        <v>0.77667019884566602</v>
      </c>
      <c r="S651" s="172">
        <f t="shared" si="244"/>
        <v>0.77667019884566602</v>
      </c>
      <c r="T651" s="172">
        <f t="shared" si="244"/>
        <v>0.77667019884566602</v>
      </c>
      <c r="U651" s="172">
        <f t="shared" si="244"/>
        <v>0.77667019884566602</v>
      </c>
      <c r="V651" s="172">
        <f t="shared" si="244"/>
        <v>0.77667019884566602</v>
      </c>
      <c r="W651" s="172">
        <f t="shared" si="244"/>
        <v>0.77667019884566602</v>
      </c>
      <c r="X651" s="172">
        <f t="shared" si="244"/>
        <v>0.77667019884566602</v>
      </c>
      <c r="Y651" s="172">
        <f t="shared" si="244"/>
        <v>0.77667019884566602</v>
      </c>
      <c r="Z651" s="172">
        <f t="shared" si="244"/>
        <v>0.77667019884566602</v>
      </c>
      <c r="AA651" s="172">
        <f t="shared" si="244"/>
        <v>0.77667019884566602</v>
      </c>
      <c r="AB651" s="172">
        <f t="shared" si="245"/>
        <v>0.77667019884566602</v>
      </c>
      <c r="AC651" s="172">
        <f t="shared" si="245"/>
        <v>0.77667019884566602</v>
      </c>
      <c r="AD651" s="172">
        <f t="shared" si="245"/>
        <v>0.77667019884566602</v>
      </c>
      <c r="AE651" s="172">
        <f t="shared" si="245"/>
        <v>0.77667019884566602</v>
      </c>
      <c r="AF651" s="172">
        <f t="shared" si="245"/>
        <v>0.77667019884566602</v>
      </c>
      <c r="AG651" s="172">
        <f t="shared" si="245"/>
        <v>0.77667019884566602</v>
      </c>
      <c r="AH651" s="172">
        <f t="shared" si="245"/>
        <v>0.77667019884566602</v>
      </c>
      <c r="AI651" s="172">
        <f t="shared" si="245"/>
        <v>0.77667019884566602</v>
      </c>
      <c r="AJ651" s="172">
        <f t="shared" si="245"/>
        <v>0.77667019884566602</v>
      </c>
      <c r="AK651" s="172">
        <f t="shared" si="245"/>
        <v>0.77667019884566602</v>
      </c>
      <c r="AL651" s="172">
        <f t="shared" si="245"/>
        <v>0.77667019884566602</v>
      </c>
      <c r="AM651" s="172">
        <f t="shared" si="245"/>
        <v>0.77667019884566602</v>
      </c>
      <c r="AN651" s="172">
        <f t="shared" si="245"/>
        <v>0.77667019884566602</v>
      </c>
      <c r="AO651" s="172">
        <f t="shared" si="245"/>
        <v>0.77667019884566602</v>
      </c>
      <c r="AP651" s="172">
        <f t="shared" si="245"/>
        <v>0.77667019884566602</v>
      </c>
      <c r="AQ651" s="172">
        <f t="shared" si="245"/>
        <v>0.77667019884566602</v>
      </c>
    </row>
    <row r="652" spans="3:43" ht="14.1" customHeight="1" x14ac:dyDescent="0.25">
      <c r="G652" s="173"/>
      <c r="H652" s="174"/>
      <c r="I652" s="174"/>
      <c r="J652" s="175"/>
      <c r="K652" s="171">
        <v>6</v>
      </c>
      <c r="L652" s="172">
        <f t="shared" si="244"/>
        <v>0.73838687721010321</v>
      </c>
      <c r="M652" s="172">
        <f t="shared" si="244"/>
        <v>0.73838687721010321</v>
      </c>
      <c r="N652" s="172">
        <f t="shared" si="244"/>
        <v>0.73838687721010321</v>
      </c>
      <c r="O652" s="172">
        <f t="shared" si="244"/>
        <v>0.73838687721010321</v>
      </c>
      <c r="P652" s="172">
        <f t="shared" si="244"/>
        <v>0.73838687721010321</v>
      </c>
      <c r="Q652" s="172">
        <f t="shared" si="244"/>
        <v>0.73838687721010321</v>
      </c>
      <c r="R652" s="172">
        <f t="shared" si="244"/>
        <v>0.73838687721010321</v>
      </c>
      <c r="S652" s="172">
        <f t="shared" si="244"/>
        <v>0.73838687721010321</v>
      </c>
      <c r="T652" s="172">
        <f t="shared" si="244"/>
        <v>0.73838687721010321</v>
      </c>
      <c r="U652" s="172">
        <f t="shared" si="244"/>
        <v>0.73838687721010321</v>
      </c>
      <c r="V652" s="172">
        <f t="shared" si="244"/>
        <v>0.73838687721010321</v>
      </c>
      <c r="W652" s="172">
        <f t="shared" si="244"/>
        <v>0.73838687721010321</v>
      </c>
      <c r="X652" s="172">
        <f t="shared" si="244"/>
        <v>0.73838687721010321</v>
      </c>
      <c r="Y652" s="172">
        <f t="shared" si="244"/>
        <v>0.73838687721010321</v>
      </c>
      <c r="Z652" s="172">
        <f t="shared" si="244"/>
        <v>0.73838687721010321</v>
      </c>
      <c r="AA652" s="172">
        <f t="shared" si="244"/>
        <v>0.73838687721010321</v>
      </c>
      <c r="AB652" s="172">
        <f t="shared" si="245"/>
        <v>0.73838687721010321</v>
      </c>
      <c r="AC652" s="172">
        <f t="shared" si="245"/>
        <v>0.73838687721010321</v>
      </c>
      <c r="AD652" s="172">
        <f t="shared" si="245"/>
        <v>0.73838687721010321</v>
      </c>
      <c r="AE652" s="172">
        <f t="shared" si="245"/>
        <v>0.73838687721010321</v>
      </c>
      <c r="AF652" s="172">
        <f t="shared" si="245"/>
        <v>0.73838687721010321</v>
      </c>
      <c r="AG652" s="172">
        <f t="shared" si="245"/>
        <v>0.73838687721010321</v>
      </c>
      <c r="AH652" s="172">
        <f t="shared" si="245"/>
        <v>0.73838687721010321</v>
      </c>
      <c r="AI652" s="172">
        <f t="shared" si="245"/>
        <v>0.73838687721010321</v>
      </c>
      <c r="AJ652" s="172">
        <f t="shared" si="245"/>
        <v>0.73838687721010321</v>
      </c>
      <c r="AK652" s="172">
        <f t="shared" si="245"/>
        <v>0.73838687721010321</v>
      </c>
      <c r="AL652" s="172">
        <f t="shared" si="245"/>
        <v>0.73838687721010321</v>
      </c>
      <c r="AM652" s="172">
        <f t="shared" si="245"/>
        <v>0.73838687721010321</v>
      </c>
      <c r="AN652" s="172">
        <f t="shared" si="245"/>
        <v>0.73838687721010321</v>
      </c>
      <c r="AO652" s="172">
        <f t="shared" si="245"/>
        <v>0.73838687721010321</v>
      </c>
      <c r="AP652" s="172">
        <f t="shared" si="245"/>
        <v>0.73838687721010321</v>
      </c>
      <c r="AQ652" s="172">
        <f t="shared" si="245"/>
        <v>0.73838687721010321</v>
      </c>
    </row>
    <row r="653" spans="3:43" ht="14.1" customHeight="1" x14ac:dyDescent="0.25">
      <c r="G653" s="173"/>
      <c r="H653" s="174"/>
      <c r="I653" s="174"/>
      <c r="J653" s="174"/>
      <c r="K653" s="174"/>
      <c r="L653" s="174"/>
      <c r="M653" s="174"/>
      <c r="N653" s="174"/>
      <c r="O653" s="174"/>
      <c r="P653" s="174"/>
      <c r="Q653" s="174"/>
      <c r="R653" s="174"/>
      <c r="S653" s="174"/>
      <c r="T653" s="174"/>
      <c r="U653" s="174"/>
      <c r="V653" s="174"/>
      <c r="W653" s="174"/>
      <c r="X653" s="174"/>
      <c r="Y653" s="174"/>
      <c r="Z653" s="174"/>
      <c r="AA653" s="174"/>
      <c r="AB653" s="174"/>
      <c r="AC653" s="174"/>
      <c r="AD653" s="174"/>
      <c r="AE653" s="174"/>
      <c r="AF653" s="174"/>
      <c r="AG653" s="174"/>
      <c r="AH653" s="174"/>
      <c r="AI653" s="174"/>
      <c r="AJ653" s="174"/>
      <c r="AK653" s="174"/>
      <c r="AL653" s="174"/>
      <c r="AM653" s="174"/>
      <c r="AN653" s="174"/>
      <c r="AO653" s="174"/>
      <c r="AP653" s="174"/>
      <c r="AQ653" s="174"/>
    </row>
    <row r="656" spans="3:43" ht="14.1" customHeight="1" x14ac:dyDescent="0.25">
      <c r="C656" s="115" t="s">
        <v>5</v>
      </c>
      <c r="G656" s="176" t="s">
        <v>165</v>
      </c>
      <c r="H656" s="117"/>
      <c r="I656" s="117"/>
      <c r="J656" s="117"/>
      <c r="K656" s="117"/>
      <c r="L656" s="117"/>
      <c r="M656" s="117"/>
      <c r="N656" s="117"/>
      <c r="O656" s="117"/>
      <c r="P656" s="117"/>
      <c r="Q656" s="117"/>
      <c r="R656" s="117"/>
      <c r="S656" s="117"/>
      <c r="T656" s="117"/>
      <c r="U656" s="117"/>
      <c r="V656" s="117"/>
      <c r="W656" s="117"/>
      <c r="X656" s="117"/>
      <c r="Y656" s="117"/>
      <c r="Z656" s="117"/>
      <c r="AA656" s="117"/>
      <c r="AB656" s="117"/>
      <c r="AC656" s="117"/>
      <c r="AD656" s="117"/>
      <c r="AE656" s="117"/>
      <c r="AF656" s="117"/>
      <c r="AG656" s="117"/>
      <c r="AH656" s="117"/>
      <c r="AI656" s="117"/>
      <c r="AJ656" s="117"/>
      <c r="AK656" s="117"/>
      <c r="AL656" s="117"/>
      <c r="AM656" s="117"/>
      <c r="AN656" s="117"/>
      <c r="AO656" s="117"/>
      <c r="AP656" s="117"/>
      <c r="AQ656" s="117"/>
    </row>
    <row r="658" spans="8:27" ht="14.1" customHeight="1" x14ac:dyDescent="0.25">
      <c r="H658" s="213" t="s">
        <v>166</v>
      </c>
      <c r="I658" s="213"/>
      <c r="J658" s="213"/>
      <c r="K658" s="213"/>
      <c r="L658" s="213"/>
      <c r="M658" s="177"/>
      <c r="N658" s="177"/>
      <c r="O658" s="177"/>
      <c r="P658" s="177"/>
      <c r="Q658" s="177"/>
      <c r="R658" s="177"/>
      <c r="S658" s="177"/>
      <c r="T658" s="177"/>
      <c r="U658" s="177"/>
      <c r="V658" s="177"/>
      <c r="W658" s="177"/>
      <c r="X658" s="177"/>
      <c r="Y658" s="177"/>
      <c r="Z658" s="177"/>
      <c r="AA658" s="177"/>
    </row>
    <row r="659" spans="8:27" ht="14.1" customHeight="1" x14ac:dyDescent="0.3">
      <c r="H659" s="214" t="s">
        <v>167</v>
      </c>
      <c r="I659" s="214"/>
      <c r="J659" s="214"/>
      <c r="K659" s="214"/>
      <c r="L659" s="214"/>
      <c r="M659" s="178" t="s">
        <v>168</v>
      </c>
      <c r="N659" s="75"/>
      <c r="O659" s="75"/>
      <c r="P659" s="75"/>
      <c r="Q659" s="75"/>
      <c r="R659" s="75"/>
      <c r="S659" s="75"/>
      <c r="T659" s="75"/>
      <c r="U659" s="75"/>
      <c r="V659" s="75"/>
      <c r="W659" s="75"/>
      <c r="X659" s="75"/>
      <c r="Y659" s="75"/>
      <c r="Z659" s="75"/>
      <c r="AA659" s="179"/>
    </row>
    <row r="660" spans="8:27" ht="14.1" customHeight="1" x14ac:dyDescent="0.3">
      <c r="H660" s="214" t="s">
        <v>94</v>
      </c>
      <c r="I660" s="214"/>
      <c r="J660" s="214"/>
      <c r="K660" s="214"/>
      <c r="L660" s="214"/>
      <c r="M660" s="178" t="s">
        <v>168</v>
      </c>
      <c r="N660" s="75"/>
      <c r="O660" s="75"/>
      <c r="P660" s="75"/>
      <c r="Q660" s="75"/>
      <c r="R660" s="75"/>
      <c r="S660" s="75"/>
      <c r="T660" s="75"/>
      <c r="U660" s="75"/>
      <c r="V660" s="75"/>
      <c r="W660" s="75"/>
      <c r="X660" s="75"/>
      <c r="Y660" s="75"/>
      <c r="Z660" s="75"/>
      <c r="AA660" s="179"/>
    </row>
    <row r="661" spans="8:27" ht="14.1" customHeight="1" x14ac:dyDescent="0.3">
      <c r="H661" s="214" t="s">
        <v>140</v>
      </c>
      <c r="I661" s="214"/>
      <c r="J661" s="214"/>
      <c r="K661" s="214"/>
      <c r="L661" s="214"/>
      <c r="M661" s="178" t="s">
        <v>169</v>
      </c>
      <c r="N661" s="180" t="s">
        <v>170</v>
      </c>
      <c r="O661" s="180" t="s">
        <v>171</v>
      </c>
      <c r="P661" s="75"/>
      <c r="Q661" s="75"/>
      <c r="R661" s="75"/>
      <c r="S661" s="75"/>
      <c r="T661" s="75"/>
      <c r="U661" s="75"/>
      <c r="V661" s="75"/>
      <c r="W661" s="75"/>
      <c r="X661" s="75"/>
      <c r="Y661" s="75"/>
      <c r="Z661" s="75"/>
      <c r="AA661" s="179"/>
    </row>
    <row r="662" spans="8:27" ht="14.1" customHeight="1" x14ac:dyDescent="0.3">
      <c r="H662" s="214" t="s">
        <v>172</v>
      </c>
      <c r="I662" s="214"/>
      <c r="J662" s="214"/>
      <c r="K662" s="214"/>
      <c r="L662" s="214"/>
      <c r="M662" s="178" t="s">
        <v>169</v>
      </c>
      <c r="N662" s="180" t="s">
        <v>170</v>
      </c>
      <c r="O662" s="180" t="s">
        <v>171</v>
      </c>
      <c r="P662" s="75"/>
      <c r="Q662" s="75"/>
      <c r="R662" s="75"/>
      <c r="S662" s="75"/>
      <c r="T662" s="75"/>
      <c r="U662" s="75"/>
      <c r="V662" s="75"/>
      <c r="W662" s="75"/>
      <c r="X662" s="75"/>
      <c r="Y662" s="75"/>
      <c r="Z662" s="75"/>
      <c r="AA662" s="179"/>
    </row>
    <row r="663" spans="8:27" ht="14.1" customHeight="1" x14ac:dyDescent="0.25">
      <c r="H663" s="214" t="s">
        <v>173</v>
      </c>
      <c r="I663" s="214"/>
      <c r="J663" s="214"/>
      <c r="K663" s="214"/>
      <c r="L663" s="214"/>
      <c r="M663" s="181" t="s">
        <v>174</v>
      </c>
      <c r="N663" s="75"/>
      <c r="O663" s="75"/>
      <c r="P663" s="75"/>
      <c r="Q663" s="75"/>
      <c r="R663" s="75"/>
      <c r="S663" s="75"/>
      <c r="T663" s="75"/>
      <c r="U663" s="75"/>
      <c r="V663" s="75"/>
      <c r="W663" s="75"/>
      <c r="X663" s="75"/>
      <c r="Y663" s="75"/>
      <c r="Z663" s="75"/>
      <c r="AA663" s="179"/>
    </row>
    <row r="664" spans="8:27" ht="14.1" customHeight="1" x14ac:dyDescent="0.25">
      <c r="H664" s="214" t="s">
        <v>175</v>
      </c>
      <c r="I664" s="214"/>
      <c r="J664" s="214"/>
      <c r="K664" s="214"/>
      <c r="L664" s="214"/>
      <c r="M664" s="181" t="s">
        <v>174</v>
      </c>
      <c r="N664" s="75" t="s">
        <v>176</v>
      </c>
      <c r="O664" s="75"/>
      <c r="P664" s="75"/>
      <c r="Q664" s="75"/>
      <c r="R664" s="75"/>
      <c r="S664" s="75"/>
      <c r="T664" s="75"/>
      <c r="U664" s="75"/>
      <c r="V664" s="75"/>
      <c r="W664" s="75"/>
      <c r="X664" s="75"/>
      <c r="Y664" s="75"/>
      <c r="Z664" s="75"/>
      <c r="AA664" s="179"/>
    </row>
    <row r="665" spans="8:27" ht="14.1" customHeight="1" x14ac:dyDescent="0.3">
      <c r="H665" s="214" t="s">
        <v>177</v>
      </c>
      <c r="I665" s="214"/>
      <c r="J665" s="214"/>
      <c r="K665" s="214"/>
      <c r="L665" s="214"/>
      <c r="M665" s="178" t="s">
        <v>169</v>
      </c>
      <c r="N665" s="180" t="s">
        <v>170</v>
      </c>
      <c r="O665" s="180" t="s">
        <v>171</v>
      </c>
      <c r="P665" s="75"/>
      <c r="Q665" s="75"/>
      <c r="R665" s="75"/>
      <c r="S665" s="75"/>
      <c r="T665" s="75"/>
      <c r="U665" s="75"/>
      <c r="V665" s="75"/>
      <c r="W665" s="75"/>
      <c r="X665" s="75"/>
      <c r="Y665" s="75"/>
      <c r="Z665" s="75"/>
      <c r="AA665" s="179"/>
    </row>
    <row r="666" spans="8:27" ht="14.1" customHeight="1" x14ac:dyDescent="0.25">
      <c r="H666" s="212"/>
      <c r="I666" s="212"/>
      <c r="J666" s="212"/>
      <c r="K666" s="212"/>
      <c r="L666" s="212"/>
      <c r="M666" s="5"/>
      <c r="N666" s="5"/>
      <c r="O666" s="5"/>
      <c r="P666" s="5"/>
      <c r="Q666" s="5"/>
      <c r="R666" s="5"/>
      <c r="S666" s="5"/>
      <c r="T666" s="5"/>
      <c r="U666" s="5"/>
      <c r="V666" s="5"/>
      <c r="W666" s="5"/>
      <c r="X666" s="5"/>
      <c r="Y666" s="5"/>
      <c r="Z666" s="5"/>
      <c r="AA666" s="5"/>
    </row>
    <row r="667" spans="8:27" ht="14.1" customHeight="1" x14ac:dyDescent="0.25">
      <c r="H667" s="213" t="s">
        <v>178</v>
      </c>
      <c r="I667" s="213"/>
      <c r="J667" s="213"/>
      <c r="K667" s="213"/>
      <c r="L667" s="213"/>
      <c r="M667" s="177"/>
      <c r="N667" s="177"/>
      <c r="O667" s="177"/>
      <c r="P667" s="177"/>
      <c r="Q667" s="177"/>
      <c r="R667" s="177"/>
      <c r="S667" s="177"/>
      <c r="T667" s="177"/>
      <c r="U667" s="177"/>
      <c r="V667" s="177"/>
      <c r="W667" s="177"/>
      <c r="X667" s="177"/>
      <c r="Y667" s="177"/>
      <c r="Z667" s="177"/>
      <c r="AA667" s="177"/>
    </row>
    <row r="668" spans="8:27" ht="14.1" customHeight="1" x14ac:dyDescent="0.3">
      <c r="H668" s="214" t="s">
        <v>94</v>
      </c>
      <c r="I668" s="214"/>
      <c r="J668" s="214"/>
      <c r="K668" s="214"/>
      <c r="L668" s="214"/>
      <c r="M668" s="178" t="s">
        <v>179</v>
      </c>
      <c r="N668" s="180" t="s">
        <v>180</v>
      </c>
      <c r="O668" s="180" t="s">
        <v>171</v>
      </c>
      <c r="P668" s="75"/>
      <c r="Q668" s="75"/>
      <c r="R668" s="75"/>
      <c r="S668" s="75"/>
      <c r="T668" s="75"/>
      <c r="U668" s="75"/>
      <c r="V668" s="75"/>
      <c r="W668" s="75"/>
      <c r="X668" s="75"/>
      <c r="Y668" s="75"/>
      <c r="Z668" s="75"/>
      <c r="AA668" s="179"/>
    </row>
    <row r="669" spans="8:27" ht="14.1" customHeight="1" x14ac:dyDescent="0.3">
      <c r="H669" s="214" t="s">
        <v>140</v>
      </c>
      <c r="I669" s="214"/>
      <c r="J669" s="214"/>
      <c r="K669" s="214"/>
      <c r="L669" s="214"/>
      <c r="M669" s="178" t="s">
        <v>181</v>
      </c>
      <c r="N669" s="180" t="s">
        <v>180</v>
      </c>
      <c r="O669" s="180" t="s">
        <v>182</v>
      </c>
      <c r="P669" s="75"/>
      <c r="Q669" s="75"/>
      <c r="R669" s="75"/>
      <c r="S669" s="75"/>
      <c r="T669" s="75"/>
      <c r="U669" s="75"/>
      <c r="V669" s="75"/>
      <c r="W669" s="75"/>
      <c r="X669" s="75"/>
      <c r="Y669" s="75"/>
      <c r="Z669" s="75"/>
      <c r="AA669" s="179"/>
    </row>
    <row r="670" spans="8:27" ht="14.1" customHeight="1" x14ac:dyDescent="0.3">
      <c r="H670" s="214" t="s">
        <v>172</v>
      </c>
      <c r="I670" s="214"/>
      <c r="J670" s="214"/>
      <c r="K670" s="214"/>
      <c r="L670" s="214"/>
      <c r="M670" s="178" t="s">
        <v>181</v>
      </c>
      <c r="N670" s="180" t="s">
        <v>183</v>
      </c>
      <c r="O670" s="180" t="s">
        <v>182</v>
      </c>
      <c r="P670" s="75"/>
      <c r="Q670" s="75"/>
      <c r="R670" s="75"/>
      <c r="S670" s="75"/>
      <c r="T670" s="75"/>
      <c r="U670" s="75"/>
      <c r="V670" s="75"/>
      <c r="W670" s="75"/>
      <c r="X670" s="75"/>
      <c r="Y670" s="75"/>
      <c r="Z670" s="75"/>
      <c r="AA670" s="179"/>
    </row>
    <row r="671" spans="8:27" ht="14.1" customHeight="1" x14ac:dyDescent="0.25">
      <c r="H671" s="214" t="s">
        <v>173</v>
      </c>
      <c r="I671" s="214"/>
      <c r="J671" s="214"/>
      <c r="K671" s="214"/>
      <c r="L671" s="214"/>
      <c r="M671" s="181" t="s">
        <v>174</v>
      </c>
      <c r="N671" s="75"/>
      <c r="O671" s="75"/>
      <c r="P671" s="75"/>
      <c r="Q671" s="75"/>
      <c r="R671" s="75"/>
      <c r="S671" s="75"/>
      <c r="T671" s="75"/>
      <c r="U671" s="75"/>
      <c r="V671" s="75"/>
      <c r="W671" s="75"/>
      <c r="X671" s="75"/>
      <c r="Y671" s="75"/>
      <c r="Z671" s="75"/>
      <c r="AA671" s="179"/>
    </row>
    <row r="672" spans="8:27" ht="14.1" customHeight="1" x14ac:dyDescent="0.25">
      <c r="H672" s="214" t="s">
        <v>184</v>
      </c>
      <c r="I672" s="214"/>
      <c r="J672" s="214"/>
      <c r="K672" s="214"/>
      <c r="L672" s="214"/>
      <c r="M672" s="181" t="s">
        <v>174</v>
      </c>
      <c r="N672" s="75"/>
      <c r="O672" s="75"/>
      <c r="P672" s="75"/>
      <c r="Q672" s="75"/>
      <c r="R672" s="75"/>
      <c r="S672" s="75"/>
      <c r="T672" s="75"/>
      <c r="U672" s="75"/>
      <c r="V672" s="75"/>
      <c r="W672" s="75"/>
      <c r="X672" s="75"/>
      <c r="Y672" s="75"/>
      <c r="Z672" s="75"/>
      <c r="AA672" s="179"/>
    </row>
    <row r="673" spans="8:27" ht="14.1" customHeight="1" x14ac:dyDescent="0.3">
      <c r="H673" s="214" t="s">
        <v>177</v>
      </c>
      <c r="I673" s="214"/>
      <c r="J673" s="214"/>
      <c r="K673" s="214"/>
      <c r="L673" s="214"/>
      <c r="M673" s="178" t="s">
        <v>185</v>
      </c>
      <c r="N673" s="180" t="s">
        <v>171</v>
      </c>
      <c r="O673" s="182"/>
      <c r="P673" s="182"/>
      <c r="Q673" s="182"/>
      <c r="R673" s="182"/>
      <c r="S673" s="182"/>
      <c r="T673" s="182"/>
      <c r="U673" s="182"/>
      <c r="V673" s="182"/>
      <c r="W673" s="182"/>
      <c r="X673" s="182"/>
      <c r="Y673" s="182"/>
      <c r="Z673" s="182"/>
      <c r="AA673" s="183"/>
    </row>
    <row r="856" spans="12:46" ht="14.1" customHeight="1" x14ac:dyDescent="0.25">
      <c r="L856" s="3">
        <v>0</v>
      </c>
      <c r="M856" s="3">
        <v>0</v>
      </c>
      <c r="N856" s="3">
        <v>0</v>
      </c>
      <c r="O856" s="3">
        <v>0</v>
      </c>
      <c r="P856" s="3">
        <v>0</v>
      </c>
      <c r="Q856" s="3">
        <v>0</v>
      </c>
      <c r="R856" s="3">
        <v>0</v>
      </c>
      <c r="S856" s="3">
        <v>0</v>
      </c>
      <c r="T856" s="3">
        <v>0</v>
      </c>
      <c r="U856" s="3">
        <v>0</v>
      </c>
      <c r="V856" s="3">
        <v>0</v>
      </c>
      <c r="W856" s="3">
        <v>0</v>
      </c>
      <c r="X856" s="3">
        <v>0</v>
      </c>
      <c r="Y856" s="3">
        <v>0</v>
      </c>
      <c r="Z856" s="3">
        <v>0</v>
      </c>
      <c r="AA856" s="3">
        <v>0</v>
      </c>
      <c r="AB856" s="3">
        <v>0</v>
      </c>
      <c r="AC856" s="3">
        <v>0</v>
      </c>
      <c r="AD856" s="3">
        <v>0</v>
      </c>
      <c r="AE856" s="3">
        <v>0</v>
      </c>
      <c r="AF856" s="3">
        <v>0</v>
      </c>
      <c r="AG856" s="3">
        <v>0</v>
      </c>
      <c r="AH856" s="3">
        <v>0</v>
      </c>
      <c r="AI856" s="3">
        <v>0</v>
      </c>
      <c r="AJ856" s="3">
        <v>0</v>
      </c>
      <c r="AK856" s="3">
        <v>0</v>
      </c>
      <c r="AL856" s="3">
        <v>0</v>
      </c>
      <c r="AM856" s="3">
        <v>0</v>
      </c>
      <c r="AN856" s="3">
        <v>0</v>
      </c>
      <c r="AO856" s="3">
        <v>0</v>
      </c>
      <c r="AP856" s="3">
        <v>0</v>
      </c>
      <c r="AQ856" s="3">
        <v>0</v>
      </c>
      <c r="AR856" s="3">
        <v>0</v>
      </c>
      <c r="AS856" s="3">
        <v>0</v>
      </c>
      <c r="AT856" s="3">
        <v>0</v>
      </c>
    </row>
  </sheetData>
  <mergeCells count="60">
    <mergeCell ref="G7:AD7"/>
    <mergeCell ref="H9:H27"/>
    <mergeCell ref="H30:H87"/>
    <mergeCell ref="J30:N30"/>
    <mergeCell ref="J31:M31"/>
    <mergeCell ref="J32:M32"/>
    <mergeCell ref="J33:M33"/>
    <mergeCell ref="J34:M34"/>
    <mergeCell ref="J35:M35"/>
    <mergeCell ref="J36:M36"/>
    <mergeCell ref="J48:M48"/>
    <mergeCell ref="J37:M37"/>
    <mergeCell ref="J38:M38"/>
    <mergeCell ref="J39:M39"/>
    <mergeCell ref="J40:M40"/>
    <mergeCell ref="J41:M41"/>
    <mergeCell ref="J42:M42"/>
    <mergeCell ref="J43:M43"/>
    <mergeCell ref="J44:M44"/>
    <mergeCell ref="J45:M45"/>
    <mergeCell ref="J46:M46"/>
    <mergeCell ref="J47:M47"/>
    <mergeCell ref="J49:M49"/>
    <mergeCell ref="J50:L50"/>
    <mergeCell ref="M51:M52"/>
    <mergeCell ref="N51:N52"/>
    <mergeCell ref="J58:J85"/>
    <mergeCell ref="H659:L659"/>
    <mergeCell ref="J312:J353"/>
    <mergeCell ref="J399:J440"/>
    <mergeCell ref="J443:J484"/>
    <mergeCell ref="H489:H562"/>
    <mergeCell ref="J489:J530"/>
    <mergeCell ref="J533:J574"/>
    <mergeCell ref="H93:H472"/>
    <mergeCell ref="J93:J134"/>
    <mergeCell ref="J180:J221"/>
    <mergeCell ref="J224:J265"/>
    <mergeCell ref="J268:J309"/>
    <mergeCell ref="H578:H607"/>
    <mergeCell ref="J578:J619"/>
    <mergeCell ref="H622:H631"/>
    <mergeCell ref="H672:L672"/>
    <mergeCell ref="H673:L673"/>
    <mergeCell ref="J356:J397"/>
    <mergeCell ref="H670:L670"/>
    <mergeCell ref="H671:L671"/>
    <mergeCell ref="J137:J178"/>
    <mergeCell ref="H666:L666"/>
    <mergeCell ref="H667:L667"/>
    <mergeCell ref="H668:L668"/>
    <mergeCell ref="H669:L669"/>
    <mergeCell ref="H660:L660"/>
    <mergeCell ref="H661:L661"/>
    <mergeCell ref="H662:L662"/>
    <mergeCell ref="H663:L663"/>
    <mergeCell ref="H664:L664"/>
    <mergeCell ref="H665:L665"/>
    <mergeCell ref="J622:J631"/>
    <mergeCell ref="H658:L658"/>
  </mergeCells>
  <hyperlinks>
    <hyperlink ref="L1" r:id="rId1" xr:uid="{C05FBBBF-422C-40B7-AA74-B62FDDE1EA13}"/>
    <hyperlink ref="M659" r:id="rId2" location="2QSYACPJ" xr:uid="{CB5E6920-5F70-4389-991E-FDE79779962F}"/>
    <hyperlink ref="M660" r:id="rId3" location="2QSYACPJ" xr:uid="{1D18D209-59DF-48F7-8FD2-84F040C1D9F5}"/>
    <hyperlink ref="O661" r:id="rId4" location="XZ87ZYJU" xr:uid="{7B76BC4D-2BB6-43E3-BC35-1AD6B6A0E928}"/>
    <hyperlink ref="N661" r:id="rId5" location="XP6RZMY9" xr:uid="{FE43F79D-608E-4E63-8952-EDEDE20BED11}"/>
    <hyperlink ref="M661" r:id="rId6" location="FYT6DUQC" xr:uid="{EEFCECFC-42E3-47E7-B5D9-4AB067475473}"/>
    <hyperlink ref="M662" r:id="rId7" location="FYT6DUQC" xr:uid="{065750F0-0662-4E8D-BD56-DA32D05B9235}"/>
    <hyperlink ref="N662" r:id="rId8" location="XP6RZMY9" xr:uid="{276697F4-7108-47A1-9C15-38589052BE70}"/>
    <hyperlink ref="O662" r:id="rId9" location="XZ87ZYJU" xr:uid="{04C6E4BD-67BB-4360-9E8E-B466CBF72E3D}"/>
    <hyperlink ref="M665" r:id="rId10" location="FYT6DUQC" xr:uid="{DA302BF6-E15C-41CD-B744-E624ACDF823B}"/>
    <hyperlink ref="O665" r:id="rId11" location="XZ87ZYJU" xr:uid="{2FACEF0F-0A95-43D6-B2C9-034E99211B44}"/>
    <hyperlink ref="N665" r:id="rId12" location="XP6RZMY9" xr:uid="{A7AD5ADE-B9E9-497D-8E80-A5D6757A255B}"/>
    <hyperlink ref="M668" r:id="rId13" location="W7VWTAH4" xr:uid="{10C7ED52-059C-4CD9-A47F-18A59587F3D0}"/>
    <hyperlink ref="O668" r:id="rId14" location="XZ87ZYJU" xr:uid="{638DA829-1A83-4AF5-A7E8-FE3143BAA579}"/>
    <hyperlink ref="M669" r:id="rId15" location="XZ87ZYJU" xr:uid="{BE1F8B93-C71C-4D10-87B9-C9F5AB368FD4}"/>
    <hyperlink ref="O669" r:id="rId16" location="XZ87ZYJU" xr:uid="{88559EFF-06E4-4002-AFD2-B2CFF4FA4989}"/>
    <hyperlink ref="M670" r:id="rId17" location="XZ87ZYJU" xr:uid="{47848FB5-5795-4FD9-910F-68F1C087B857}"/>
    <hyperlink ref="O670" r:id="rId18" location="XZ87ZYJU" xr:uid="{423AEA4D-910C-46EF-8B2D-38F46750EDCB}"/>
    <hyperlink ref="M673" r:id="rId19" location="FYT6DUQC" xr:uid="{A7855E4E-4151-4484-8C96-F2FD7EE69DA1}"/>
    <hyperlink ref="N673" r:id="rId20" location="XZ87ZYJU" xr:uid="{EF2CBE92-AF60-42DB-906A-05A9F1B2D619}"/>
    <hyperlink ref="N668" r:id="rId21" location="H3R4NVT7" xr:uid="{7303D786-87C5-4D7D-B87E-F0E9634AC9D2}"/>
    <hyperlink ref="N669" r:id="rId22" location="H3R4NVT7" xr:uid="{21885A4A-6B89-4082-B040-CC64200EAA29}"/>
    <hyperlink ref="N670" r:id="rId23" location="H3R4NVT7" xr:uid="{59CD0DB1-0DD5-4E3B-8FAA-5123AFFD0F0E}"/>
  </hyperlinks>
  <pageMargins left="0.7" right="0.7" top="0.75" bottom="0.75" header="0.3" footer="0.3"/>
  <pageSetup orientation="portrait" r:id="rId24"/>
  <drawing r:id="rId25"/>
  <legacyDrawing r:id="rId26"/>
  <mc:AlternateContent xmlns:mc="http://schemas.openxmlformats.org/markup-compatibility/2006">
    <mc:Choice Requires="x14">
      <controls>
        <mc:AlternateContent xmlns:mc="http://schemas.openxmlformats.org/markup-compatibility/2006">
          <mc:Choice Requires="x14">
            <control shapeId="1025" r:id="rId27" name="Button 1">
              <controlPr defaultSize="0" print="0" autoFill="0" autoPict="0" macro="[1]!Module4.CurrentCostsJump">
                <anchor moveWithCells="1" sizeWithCells="1">
                  <from>
                    <xdr:col>9</xdr:col>
                    <xdr:colOff>792480</xdr:colOff>
                    <xdr:row>2</xdr:row>
                    <xdr:rowOff>106680</xdr:rowOff>
                  </from>
                  <to>
                    <xdr:col>11</xdr:col>
                    <xdr:colOff>381000</xdr:colOff>
                    <xdr:row>4</xdr:row>
                    <xdr:rowOff>106680</xdr:rowOff>
                  </to>
                </anchor>
              </controlPr>
            </control>
          </mc:Choice>
        </mc:AlternateContent>
        <mc:AlternateContent xmlns:mc="http://schemas.openxmlformats.org/markup-compatibility/2006">
          <mc:Choice Requires="x14">
            <control shapeId="1026" r:id="rId28" name="Button 2">
              <controlPr defaultSize="0" print="0" autoFill="0" autoPict="0" macro="[1]!Module4.FutureProjectionsJump">
                <anchor moveWithCells="1" sizeWithCells="1">
                  <from>
                    <xdr:col>11</xdr:col>
                    <xdr:colOff>647700</xdr:colOff>
                    <xdr:row>2</xdr:row>
                    <xdr:rowOff>106680</xdr:rowOff>
                  </from>
                  <to>
                    <xdr:col>13</xdr:col>
                    <xdr:colOff>723900</xdr:colOff>
                    <xdr:row>4</xdr:row>
                    <xdr:rowOff>106680</xdr:rowOff>
                  </to>
                </anchor>
              </controlPr>
            </control>
          </mc:Choice>
        </mc:AlternateContent>
        <mc:AlternateContent xmlns:mc="http://schemas.openxmlformats.org/markup-compatibility/2006">
          <mc:Choice Requires="x14">
            <control shapeId="1027" r:id="rId29" name="Button 3">
              <controlPr defaultSize="0" print="0" autoFill="0" autoPict="0" macro="[1]!Module4.CurrentCostsJump" altText="Assumptions">
                <anchor moveWithCells="1" sizeWithCells="1">
                  <from>
                    <xdr:col>9</xdr:col>
                    <xdr:colOff>792480</xdr:colOff>
                    <xdr:row>2</xdr:row>
                    <xdr:rowOff>106680</xdr:rowOff>
                  </from>
                  <to>
                    <xdr:col>11</xdr:col>
                    <xdr:colOff>381000</xdr:colOff>
                    <xdr:row>4</xdr:row>
                    <xdr:rowOff>106680</xdr:rowOff>
                  </to>
                </anchor>
              </controlPr>
            </control>
          </mc:Choice>
        </mc:AlternateContent>
        <mc:AlternateContent xmlns:mc="http://schemas.openxmlformats.org/markup-compatibility/2006">
          <mc:Choice Requires="x14">
            <control shapeId="1028" r:id="rId30" name="Button 4">
              <controlPr defaultSize="0" print="0" autoFill="0" autoPict="0" macro="[1]!Module4.HistoricTrendsJump">
                <anchor moveWithCells="1" sizeWithCells="1">
                  <from>
                    <xdr:col>14</xdr:col>
                    <xdr:colOff>68580</xdr:colOff>
                    <xdr:row>2</xdr:row>
                    <xdr:rowOff>106680</xdr:rowOff>
                  </from>
                  <to>
                    <xdr:col>16</xdr:col>
                    <xdr:colOff>106680</xdr:colOff>
                    <xdr:row>4</xdr:row>
                    <xdr:rowOff>106680</xdr:rowOff>
                  </to>
                </anchor>
              </controlPr>
            </control>
          </mc:Choice>
        </mc:AlternateContent>
        <mc:AlternateContent xmlns:mc="http://schemas.openxmlformats.org/markup-compatibility/2006">
          <mc:Choice Requires="x14">
            <control shapeId="1029" r:id="rId31" name="Button 5">
              <controlPr defaultSize="0" print="0" autoFill="0" autoPict="0" macro="[1]!Module4.FutureProjectionsJump">
                <anchor moveWithCells="1" sizeWithCells="1">
                  <from>
                    <xdr:col>11</xdr:col>
                    <xdr:colOff>647700</xdr:colOff>
                    <xdr:row>2</xdr:row>
                    <xdr:rowOff>106680</xdr:rowOff>
                  </from>
                  <to>
                    <xdr:col>13</xdr:col>
                    <xdr:colOff>723900</xdr:colOff>
                    <xdr:row>4</xdr:row>
                    <xdr:rowOff>106680</xdr:rowOff>
                  </to>
                </anchor>
              </controlPr>
            </control>
          </mc:Choice>
        </mc:AlternateContent>
        <mc:AlternateContent xmlns:mc="http://schemas.openxmlformats.org/markup-compatibility/2006">
          <mc:Choice Requires="x14">
            <control shapeId="1030" r:id="rId32" name="RD Button">
              <controlPr defaultSize="0" autoFill="0" autoLine="0" autoPict="0" macro="[1]!OffWindRD">
                <anchor moveWithCells="1">
                  <from>
                    <xdr:col>13</xdr:col>
                    <xdr:colOff>518160</xdr:colOff>
                    <xdr:row>28</xdr:row>
                    <xdr:rowOff>160020</xdr:rowOff>
                  </from>
                  <to>
                    <xdr:col>16</xdr:col>
                    <xdr:colOff>670560</xdr:colOff>
                    <xdr:row>30</xdr:row>
                    <xdr:rowOff>30480</xdr:rowOff>
                  </to>
                </anchor>
              </controlPr>
            </control>
          </mc:Choice>
        </mc:AlternateContent>
        <mc:AlternateContent xmlns:mc="http://schemas.openxmlformats.org/markup-compatibility/2006">
          <mc:Choice Requires="x14">
            <control shapeId="1031" r:id="rId33" name="Market Button">
              <controlPr defaultSize="0" autoFill="0" autoLine="0" autoPict="0" macro="[1]!OffWindMarket">
                <anchor moveWithCells="1">
                  <from>
                    <xdr:col>13</xdr:col>
                    <xdr:colOff>518160</xdr:colOff>
                    <xdr:row>31</xdr:row>
                    <xdr:rowOff>83820</xdr:rowOff>
                  </from>
                  <to>
                    <xdr:col>16</xdr:col>
                    <xdr:colOff>297180</xdr:colOff>
                    <xdr:row>32</xdr:row>
                    <xdr:rowOff>38100</xdr:rowOff>
                  </to>
                </anchor>
              </controlPr>
            </control>
          </mc:Choice>
        </mc:AlternateContent>
        <mc:AlternateContent xmlns:mc="http://schemas.openxmlformats.org/markup-compatibility/2006">
          <mc:Choice Requires="x14">
            <control shapeId="1032" r:id="rId34" name="20 year">
              <controlPr defaultSize="0" autoFill="0" autoLine="0" autoPict="0" macro="[1]!ThisWorkbook.TwentyYearButton_Click">
                <anchor moveWithCells="1">
                  <from>
                    <xdr:col>13</xdr:col>
                    <xdr:colOff>518160</xdr:colOff>
                    <xdr:row>39</xdr:row>
                    <xdr:rowOff>160020</xdr:rowOff>
                  </from>
                  <to>
                    <xdr:col>14</xdr:col>
                    <xdr:colOff>472440</xdr:colOff>
                    <xdr:row>40</xdr:row>
                    <xdr:rowOff>167640</xdr:rowOff>
                  </to>
                </anchor>
              </controlPr>
            </control>
          </mc:Choice>
        </mc:AlternateContent>
        <mc:AlternateContent xmlns:mc="http://schemas.openxmlformats.org/markup-compatibility/2006">
          <mc:Choice Requires="x14">
            <control shapeId="1033" r:id="rId35" name="30 year">
              <controlPr defaultSize="0" autoFill="0" autoLine="0" autoPict="0" macro="[1]!ThisWorkbook.ThirtyYearButton_Click">
                <anchor moveWithCells="1">
                  <from>
                    <xdr:col>13</xdr:col>
                    <xdr:colOff>518160</xdr:colOff>
                    <xdr:row>41</xdr:row>
                    <xdr:rowOff>45720</xdr:rowOff>
                  </from>
                  <to>
                    <xdr:col>14</xdr:col>
                    <xdr:colOff>464820</xdr:colOff>
                    <xdr:row>42</xdr:row>
                    <xdr:rowOff>53340</xdr:rowOff>
                  </to>
                </anchor>
              </controlPr>
            </control>
          </mc:Choice>
        </mc:AlternateContent>
        <mc:AlternateContent xmlns:mc="http://schemas.openxmlformats.org/markup-compatibility/2006">
          <mc:Choice Requires="x14">
            <control shapeId="1034" r:id="rId36" name="Tech Life">
              <controlPr defaultSize="0" autoFill="0" autoLine="0" autoPict="0" macro="[1]!ThisWorkbook.TechLifeButton_Click">
                <anchor moveWithCells="1">
                  <from>
                    <xdr:col>13</xdr:col>
                    <xdr:colOff>518160</xdr:colOff>
                    <xdr:row>42</xdr:row>
                    <xdr:rowOff>83820</xdr:rowOff>
                  </from>
                  <to>
                    <xdr:col>14</xdr:col>
                    <xdr:colOff>762000</xdr:colOff>
                    <xdr:row>43</xdr:row>
                    <xdr:rowOff>114300</xdr:rowOff>
                  </to>
                </anchor>
              </controlPr>
            </control>
          </mc:Choice>
        </mc:AlternateContent>
        <mc:AlternateContent xmlns:mc="http://schemas.openxmlformats.org/markup-compatibility/2006">
          <mc:Choice Requires="x14">
            <control shapeId="1035" r:id="rId37" name="Custom CRP">
              <controlPr defaultSize="0" autoFill="0" autoLine="0" autoPict="0" macro="[1]!ThisWorkbook.CustomLifeButton_Click">
                <anchor moveWithCells="1">
                  <from>
                    <xdr:col>13</xdr:col>
                    <xdr:colOff>518160</xdr:colOff>
                    <xdr:row>43</xdr:row>
                    <xdr:rowOff>152400</xdr:rowOff>
                  </from>
                  <to>
                    <xdr:col>14</xdr:col>
                    <xdr:colOff>472440</xdr:colOff>
                    <xdr:row>44</xdr:row>
                    <xdr:rowOff>152400</xdr:rowOff>
                  </to>
                </anchor>
              </controlPr>
            </control>
          </mc:Choice>
        </mc:AlternateContent>
        <mc:AlternateContent xmlns:mc="http://schemas.openxmlformats.org/markup-compatibility/2006">
          <mc:Choice Requires="x14">
            <control shapeId="1036" r:id="rId38" name="Group Box 12">
              <controlPr defaultSize="0" autoFill="0" autoPict="0">
                <anchor moveWithCells="1">
                  <from>
                    <xdr:col>15</xdr:col>
                    <xdr:colOff>22860</xdr:colOff>
                    <xdr:row>36</xdr:row>
                    <xdr:rowOff>121920</xdr:rowOff>
                  </from>
                  <to>
                    <xdr:col>17</xdr:col>
                    <xdr:colOff>480060</xdr:colOff>
                    <xdr:row>46</xdr:row>
                    <xdr:rowOff>22860</xdr:rowOff>
                  </to>
                </anchor>
              </controlPr>
            </control>
          </mc:Choice>
        </mc:AlternateContent>
        <mc:AlternateContent xmlns:mc="http://schemas.openxmlformats.org/markup-compatibility/2006">
          <mc:Choice Requires="x14">
            <control shapeId="1037" r:id="rId39" name="Button 13">
              <controlPr defaultSize="0" print="0" autoFill="0" autoPict="0" macro="[1]!ThisWorkbook.ApplyAllFinances">
                <anchor>
                  <from>
                    <xdr:col>16</xdr:col>
                    <xdr:colOff>289560</xdr:colOff>
                    <xdr:row>30</xdr:row>
                    <xdr:rowOff>60960</xdr:rowOff>
                  </from>
                  <to>
                    <xdr:col>18</xdr:col>
                    <xdr:colOff>198120</xdr:colOff>
                    <xdr:row>33</xdr:row>
                    <xdr:rowOff>99060</xdr:rowOff>
                  </to>
                </anchor>
              </controlPr>
            </control>
          </mc:Choice>
        </mc:AlternateContent>
        <mc:AlternateContent xmlns:mc="http://schemas.openxmlformats.org/markup-compatibility/2006">
          <mc:Choice Requires="x14">
            <control shapeId="1038" r:id="rId40" name="Button 14">
              <controlPr defaultSize="0" print="0" autoFill="0" autoPict="0" macro="[1]!ThisWorkbook.ApplyAll">
                <anchor>
                  <from>
                    <xdr:col>16</xdr:col>
                    <xdr:colOff>274320</xdr:colOff>
                    <xdr:row>37</xdr:row>
                    <xdr:rowOff>30480</xdr:rowOff>
                  </from>
                  <to>
                    <xdr:col>18</xdr:col>
                    <xdr:colOff>160020</xdr:colOff>
                    <xdr:row>41</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BF448-9231-4ACC-BC5D-0D53DBB1AAA5}">
  <sheetPr codeName="Sheet12">
    <tabColor rgb="FF007BBD"/>
  </sheetPr>
  <dimension ref="A1:DH459"/>
  <sheetViews>
    <sheetView showGridLines="0" tabSelected="1" zoomScale="80" zoomScaleNormal="80" workbookViewId="0">
      <pane xSplit="5" ySplit="5" topLeftCell="F6" activePane="bottomRight" state="frozen"/>
      <selection activeCell="T89" sqref="T89"/>
      <selection pane="topRight" activeCell="T89" sqref="T89"/>
      <selection pane="bottomLeft" activeCell="T89" sqref="T89"/>
      <selection pane="bottomRight" activeCell="I8" sqref="I8"/>
    </sheetView>
  </sheetViews>
  <sheetFormatPr defaultColWidth="9.44140625" defaultRowHeight="14.1" customHeight="1" x14ac:dyDescent="0.25"/>
  <cols>
    <col min="1" max="1" width="2.5546875" style="3" customWidth="1"/>
    <col min="2" max="7" width="1.44140625" style="3" customWidth="1"/>
    <col min="8" max="8" width="5.44140625" style="3" customWidth="1"/>
    <col min="9" max="9" width="13.5546875" style="3" customWidth="1"/>
    <col min="10" max="10" width="18.44140625" style="3" customWidth="1"/>
    <col min="11" max="11" width="58.33203125" style="3" customWidth="1"/>
    <col min="12" max="15" width="11.44140625" style="3" customWidth="1"/>
    <col min="16" max="16" width="10.44140625" style="3" customWidth="1"/>
    <col min="17" max="17" width="13.44140625" style="3" customWidth="1"/>
    <col min="18" max="18" width="12.5546875" style="3" bestFit="1" customWidth="1"/>
    <col min="19" max="20" width="11.44140625" style="3" customWidth="1"/>
    <col min="21" max="21" width="22.5546875" style="3" bestFit="1" customWidth="1"/>
    <col min="22" max="22" width="13.44140625" style="3" customWidth="1"/>
    <col min="23" max="23" width="10.44140625" style="3" customWidth="1"/>
    <col min="24" max="24" width="12.44140625" style="3" bestFit="1" customWidth="1"/>
    <col min="25" max="25" width="12.44140625" style="3" customWidth="1"/>
    <col min="26" max="26" width="11.44140625" style="3" customWidth="1"/>
    <col min="27" max="27" width="14" style="3" customWidth="1"/>
    <col min="28" max="43" width="10.44140625" style="3" customWidth="1"/>
    <col min="44" max="45" width="11.44140625" style="3" customWidth="1"/>
    <col min="46" max="16384" width="9.44140625" style="3"/>
  </cols>
  <sheetData>
    <row r="1" spans="1:110" ht="18" thickBot="1" x14ac:dyDescent="0.35">
      <c r="A1" s="1"/>
      <c r="B1" s="1"/>
      <c r="C1" s="1"/>
      <c r="D1" s="1"/>
      <c r="E1" s="1"/>
      <c r="F1" s="1"/>
      <c r="G1" s="1"/>
      <c r="H1" s="255" t="s">
        <v>392</v>
      </c>
      <c r="I1" s="256"/>
      <c r="J1" s="256"/>
      <c r="K1" s="257"/>
      <c r="L1" s="4" t="s">
        <v>1</v>
      </c>
    </row>
    <row r="2" spans="1:110" ht="75.599999999999994" customHeight="1" thickBot="1" x14ac:dyDescent="0.35">
      <c r="A2"/>
      <c r="B2"/>
      <c r="C2"/>
      <c r="D2"/>
      <c r="E2"/>
      <c r="F2" s="5"/>
      <c r="G2" s="5"/>
      <c r="H2" s="271" t="s">
        <v>394</v>
      </c>
      <c r="I2" s="272"/>
      <c r="J2" s="272"/>
      <c r="K2" s="273"/>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row>
    <row r="3" spans="1:110" ht="14.1" customHeight="1" x14ac:dyDescent="0.3">
      <c r="A3"/>
      <c r="B3"/>
      <c r="C3"/>
      <c r="D3"/>
      <c r="E3"/>
      <c r="S3" s="268" t="s">
        <v>2</v>
      </c>
      <c r="T3" s="268"/>
    </row>
    <row r="4" spans="1:110" ht="14.1" customHeight="1" x14ac:dyDescent="0.25">
      <c r="J4" s="7" t="s">
        <v>3</v>
      </c>
      <c r="S4" s="269" t="s">
        <v>4</v>
      </c>
      <c r="T4" s="269"/>
    </row>
    <row r="5" spans="1:110" ht="14.1" customHeight="1" x14ac:dyDescent="0.25">
      <c r="S5" s="270" t="s">
        <v>393</v>
      </c>
      <c r="T5" s="270"/>
    </row>
    <row r="7" spans="1:110" s="9" customFormat="1" ht="14.4" x14ac:dyDescent="0.3">
      <c r="B7" s="10" t="s">
        <v>5</v>
      </c>
      <c r="G7" s="232" t="s">
        <v>6</v>
      </c>
      <c r="H7" s="233"/>
      <c r="I7" s="233"/>
      <c r="J7" s="233"/>
      <c r="K7" s="233"/>
      <c r="L7" s="233"/>
      <c r="M7" s="233"/>
      <c r="N7" s="233"/>
      <c r="O7" s="233"/>
      <c r="P7" s="233"/>
      <c r="Q7" s="233"/>
      <c r="R7" s="233"/>
      <c r="S7" s="233"/>
      <c r="T7" s="233"/>
      <c r="U7" s="233"/>
      <c r="V7" s="233"/>
      <c r="W7" s="233"/>
      <c r="X7" s="233"/>
      <c r="Y7" s="233"/>
      <c r="Z7" s="233"/>
      <c r="AA7" s="233"/>
      <c r="AB7" s="233"/>
      <c r="AC7" s="233"/>
      <c r="AD7" s="234"/>
    </row>
    <row r="8" spans="1:110" ht="14.1" customHeight="1" thickBot="1" x14ac:dyDescent="0.3">
      <c r="G8" s="11"/>
      <c r="AD8" s="12"/>
    </row>
    <row r="9" spans="1:110" ht="14.1" customHeight="1" thickBot="1" x14ac:dyDescent="0.3">
      <c r="G9" s="11"/>
      <c r="H9" s="235" t="s">
        <v>7</v>
      </c>
      <c r="J9" s="13" t="s">
        <v>8</v>
      </c>
      <c r="K9" s="14"/>
      <c r="L9" s="15">
        <v>2019</v>
      </c>
      <c r="M9" s="16"/>
      <c r="N9" s="16"/>
      <c r="O9" s="17"/>
      <c r="Q9" s="18"/>
      <c r="U9" s="19"/>
      <c r="V9" s="19"/>
      <c r="W9" s="19"/>
      <c r="AD9" s="12"/>
    </row>
    <row r="10" spans="1:110" ht="14.1" customHeight="1" thickBot="1" x14ac:dyDescent="0.35">
      <c r="G10" s="11"/>
      <c r="H10" s="236"/>
      <c r="J10" s="13" t="s">
        <v>9</v>
      </c>
      <c r="O10" s="20"/>
      <c r="Q10"/>
      <c r="U10" s="19"/>
      <c r="V10" s="19"/>
      <c r="W10" s="19"/>
      <c r="AD10" s="12"/>
    </row>
    <row r="11" spans="1:110" ht="14.1" customHeight="1" thickBot="1" x14ac:dyDescent="0.35">
      <c r="G11" s="11"/>
      <c r="H11" s="236"/>
      <c r="J11" s="21" t="s">
        <v>10</v>
      </c>
      <c r="K11" s="22"/>
      <c r="L11" s="22"/>
      <c r="M11" s="22"/>
      <c r="N11" s="22"/>
      <c r="O11" s="23"/>
      <c r="Q11"/>
      <c r="U11" s="19"/>
      <c r="V11" s="19"/>
      <c r="W11" s="19"/>
      <c r="AD11" s="12"/>
    </row>
    <row r="12" spans="1:110" ht="78" customHeight="1" thickBot="1" x14ac:dyDescent="0.3">
      <c r="G12" s="11"/>
      <c r="H12" s="236"/>
      <c r="J12" s="24" t="s">
        <v>11</v>
      </c>
      <c r="K12" s="25"/>
      <c r="L12" s="24" t="s">
        <v>12</v>
      </c>
      <c r="M12" s="24" t="s">
        <v>13</v>
      </c>
      <c r="N12" s="24" t="s">
        <v>14</v>
      </c>
      <c r="O12" s="24" t="s">
        <v>15</v>
      </c>
      <c r="P12" s="24" t="s">
        <v>16</v>
      </c>
      <c r="Q12" s="24" t="s">
        <v>17</v>
      </c>
      <c r="R12" s="24" t="s">
        <v>18</v>
      </c>
      <c r="S12" s="24" t="s">
        <v>19</v>
      </c>
      <c r="T12" s="26" t="s">
        <v>20</v>
      </c>
      <c r="U12" s="19"/>
      <c r="V12" s="19"/>
      <c r="W12" s="19"/>
      <c r="AD12" s="12"/>
    </row>
    <row r="13" spans="1:110" ht="14.1" customHeight="1" thickBot="1" x14ac:dyDescent="0.3">
      <c r="G13" s="11"/>
      <c r="H13" s="236"/>
      <c r="J13" s="27" t="s">
        <v>21</v>
      </c>
      <c r="K13" s="28" t="s">
        <v>22</v>
      </c>
      <c r="L13" s="28">
        <v>22.955379281131862</v>
      </c>
      <c r="M13" s="28">
        <v>35.196264973008937</v>
      </c>
      <c r="N13" s="29">
        <v>3612</v>
      </c>
      <c r="O13" s="28">
        <v>114</v>
      </c>
      <c r="P13" s="30">
        <v>0.44969767365991592</v>
      </c>
      <c r="Q13" s="31">
        <v>8.741383425452419</v>
      </c>
      <c r="R13" s="32">
        <v>13.57</v>
      </c>
      <c r="S13" s="32">
        <v>55.10279072199608</v>
      </c>
      <c r="T13" s="33">
        <f t="shared" ref="T13:T19" si="0">R13/SUM($R$13:$R$19)</f>
        <v>2.0005307229626137E-2</v>
      </c>
      <c r="U13" s="19"/>
      <c r="V13" s="19"/>
      <c r="W13" s="19"/>
      <c r="Z13" s="34"/>
      <c r="AD13" s="12"/>
    </row>
    <row r="14" spans="1:110" ht="14.1" customHeight="1" thickBot="1" x14ac:dyDescent="0.3">
      <c r="G14" s="11"/>
      <c r="H14" s="236"/>
      <c r="J14" s="35"/>
      <c r="K14" s="36" t="s">
        <v>23</v>
      </c>
      <c r="L14" s="36">
        <v>24.256881285507209</v>
      </c>
      <c r="M14" s="36">
        <v>38.303821336596933</v>
      </c>
      <c r="N14" s="37">
        <v>3700</v>
      </c>
      <c r="O14" s="36">
        <v>116</v>
      </c>
      <c r="P14" s="38">
        <v>0.43823313802288072</v>
      </c>
      <c r="Q14" s="39">
        <v>8.616747967479677</v>
      </c>
      <c r="R14" s="40">
        <v>13.57</v>
      </c>
      <c r="S14" s="40">
        <v>53.496739315037722</v>
      </c>
      <c r="T14" s="41">
        <f t="shared" si="0"/>
        <v>2.0005307229626137E-2</v>
      </c>
      <c r="U14" s="19"/>
      <c r="V14" s="19"/>
      <c r="W14" s="19"/>
      <c r="Z14" s="34"/>
      <c r="AD14" s="12"/>
    </row>
    <row r="15" spans="1:110" ht="14.1" customHeight="1" thickBot="1" x14ac:dyDescent="0.3">
      <c r="G15" s="11"/>
      <c r="H15" s="236"/>
      <c r="J15" s="35"/>
      <c r="K15" s="28" t="s">
        <v>24</v>
      </c>
      <c r="L15" s="28">
        <v>27.890273582699528</v>
      </c>
      <c r="M15" s="28">
        <v>40.422292330366801</v>
      </c>
      <c r="N15" s="29">
        <v>3848</v>
      </c>
      <c r="O15" s="28">
        <v>118</v>
      </c>
      <c r="P15" s="30">
        <v>0.44150886156131119</v>
      </c>
      <c r="Q15" s="31">
        <v>8.6324373170421254</v>
      </c>
      <c r="R15" s="32">
        <v>27.13</v>
      </c>
      <c r="S15" s="32">
        <v>105.43894871456529</v>
      </c>
      <c r="T15" s="33">
        <f t="shared" si="0"/>
        <v>3.9995872154735233E-2</v>
      </c>
      <c r="U15" s="19"/>
      <c r="V15" s="19"/>
      <c r="W15" s="19"/>
      <c r="Y15" s="3" t="s">
        <v>25</v>
      </c>
      <c r="Z15" s="34"/>
      <c r="AD15" s="12"/>
    </row>
    <row r="16" spans="1:110" ht="14.1" customHeight="1" thickBot="1" x14ac:dyDescent="0.3">
      <c r="G16" s="11"/>
      <c r="H16" s="236"/>
      <c r="J16" s="35"/>
      <c r="K16" s="36" t="s">
        <v>26</v>
      </c>
      <c r="L16" s="36">
        <v>32.290207598477018</v>
      </c>
      <c r="M16" s="36">
        <v>44.9335608845347</v>
      </c>
      <c r="N16" s="37">
        <v>3995</v>
      </c>
      <c r="O16" s="36">
        <v>119</v>
      </c>
      <c r="P16" s="38">
        <v>0.43950042314812782</v>
      </c>
      <c r="Q16" s="39">
        <v>8.6144740391458328</v>
      </c>
      <c r="R16" s="40">
        <v>54.26</v>
      </c>
      <c r="S16" s="40">
        <v>214.18829240882962</v>
      </c>
      <c r="T16" s="41">
        <f t="shared" si="0"/>
        <v>7.9991744309470467E-2</v>
      </c>
      <c r="U16" s="19"/>
      <c r="V16" s="19"/>
      <c r="W16" s="19"/>
      <c r="Z16" s="34"/>
      <c r="AD16" s="12"/>
    </row>
    <row r="17" spans="7:35" ht="14.1" customHeight="1" thickBot="1" x14ac:dyDescent="0.3">
      <c r="G17" s="11"/>
      <c r="H17" s="236"/>
      <c r="J17" s="35"/>
      <c r="K17" s="28" t="s">
        <v>27</v>
      </c>
      <c r="L17" s="28">
        <v>32.086348828172241</v>
      </c>
      <c r="M17" s="28">
        <v>64.990917799578298</v>
      </c>
      <c r="N17" s="29">
        <v>4193</v>
      </c>
      <c r="O17" s="28">
        <v>123</v>
      </c>
      <c r="P17" s="30">
        <v>0.43241803582209049</v>
      </c>
      <c r="Q17" s="31">
        <v>8.5864817122875223</v>
      </c>
      <c r="R17" s="32">
        <v>108.53</v>
      </c>
      <c r="S17" s="32">
        <v>419.47973619017171</v>
      </c>
      <c r="T17" s="33">
        <f t="shared" si="0"/>
        <v>0.15999823092345797</v>
      </c>
      <c r="U17" s="19"/>
      <c r="V17" s="19"/>
      <c r="AD17" s="12"/>
    </row>
    <row r="18" spans="7:35" ht="14.1" customHeight="1" thickBot="1" x14ac:dyDescent="0.3">
      <c r="G18" s="11"/>
      <c r="H18" s="236"/>
      <c r="J18" s="35"/>
      <c r="K18" s="36" t="s">
        <v>28</v>
      </c>
      <c r="L18" s="36">
        <v>33.144018072919323</v>
      </c>
      <c r="M18" s="36">
        <v>73.525879522612996</v>
      </c>
      <c r="N18" s="37">
        <v>4163</v>
      </c>
      <c r="O18" s="36">
        <v>121</v>
      </c>
      <c r="P18" s="38">
        <v>0.37125153586784693</v>
      </c>
      <c r="Q18" s="39">
        <v>7.8339738048307401</v>
      </c>
      <c r="R18" s="40">
        <v>217.06</v>
      </c>
      <c r="S18" s="40">
        <v>732.41597058761533</v>
      </c>
      <c r="T18" s="41">
        <f t="shared" si="0"/>
        <v>0.31999646184691594</v>
      </c>
      <c r="U18" s="19"/>
      <c r="V18" s="19"/>
      <c r="AD18" s="12"/>
      <c r="AF18" s="34"/>
    </row>
    <row r="19" spans="7:35" ht="14.1" customHeight="1" thickBot="1" x14ac:dyDescent="0.3">
      <c r="G19" s="11"/>
      <c r="H19" s="236"/>
      <c r="J19" s="42"/>
      <c r="K19" s="28" t="s">
        <v>29</v>
      </c>
      <c r="L19" s="43">
        <v>35.897615947018913</v>
      </c>
      <c r="M19" s="43">
        <v>76.560116448534572</v>
      </c>
      <c r="N19" s="44">
        <v>4200</v>
      </c>
      <c r="O19" s="43">
        <v>115</v>
      </c>
      <c r="P19" s="45">
        <v>0.28680284645602261</v>
      </c>
      <c r="Q19" s="46">
        <v>6.779013025791933</v>
      </c>
      <c r="R19" s="47">
        <v>244.2</v>
      </c>
      <c r="S19" s="47">
        <v>633.68714160707805</v>
      </c>
      <c r="T19" s="48">
        <f t="shared" si="0"/>
        <v>0.36000707630616818</v>
      </c>
      <c r="U19" s="19"/>
      <c r="V19" s="19"/>
      <c r="AD19" s="12"/>
      <c r="AF19" s="34"/>
    </row>
    <row r="20" spans="7:35" ht="14.1" customHeight="1" thickBot="1" x14ac:dyDescent="0.3">
      <c r="G20" s="11"/>
      <c r="H20" s="236"/>
      <c r="J20" s="27" t="s">
        <v>30</v>
      </c>
      <c r="K20" s="49" t="s">
        <v>31</v>
      </c>
      <c r="L20" s="49">
        <v>159.3591647790314</v>
      </c>
      <c r="M20" s="49">
        <v>45.247611716801941</v>
      </c>
      <c r="N20" s="50">
        <v>5214</v>
      </c>
      <c r="O20" s="49">
        <v>84</v>
      </c>
      <c r="P20" s="51">
        <v>0.51549603131273936</v>
      </c>
      <c r="Q20" s="52">
        <v>9.5933707138065234</v>
      </c>
      <c r="R20" s="53">
        <v>27.6</v>
      </c>
      <c r="S20" s="53">
        <v>126.38872285083832</v>
      </c>
      <c r="T20" s="54">
        <f t="shared" ref="T20:T26" si="1">R20/SUM($R$20:$R$26)</f>
        <v>2.0004058794538024E-2</v>
      </c>
      <c r="U20" s="19"/>
      <c r="V20" s="19"/>
      <c r="AD20" s="12"/>
      <c r="AF20" s="34"/>
    </row>
    <row r="21" spans="7:35" ht="14.1" customHeight="1" thickBot="1" x14ac:dyDescent="0.3">
      <c r="G21" s="11"/>
      <c r="H21" s="236"/>
      <c r="J21" s="35"/>
      <c r="K21" s="28" t="s">
        <v>32</v>
      </c>
      <c r="L21" s="28">
        <v>176.93398521209909</v>
      </c>
      <c r="M21" s="28">
        <v>53.57784590992717</v>
      </c>
      <c r="N21" s="29">
        <v>5309</v>
      </c>
      <c r="O21" s="28">
        <v>85</v>
      </c>
      <c r="P21" s="30">
        <v>0.50289544287036791</v>
      </c>
      <c r="Q21" s="31">
        <v>9.41833518451487</v>
      </c>
      <c r="R21" s="32">
        <v>27.6</v>
      </c>
      <c r="S21" s="32">
        <v>123.17849894812473</v>
      </c>
      <c r="T21" s="33">
        <f t="shared" si="1"/>
        <v>2.0004058794538024E-2</v>
      </c>
      <c r="U21" s="19"/>
      <c r="V21" s="19"/>
      <c r="AD21" s="12"/>
      <c r="AF21" s="34"/>
    </row>
    <row r="22" spans="7:35" ht="14.1" customHeight="1" thickBot="1" x14ac:dyDescent="0.3">
      <c r="G22" s="11"/>
      <c r="H22" s="236"/>
      <c r="J22" s="35"/>
      <c r="K22" s="36" t="s">
        <v>33</v>
      </c>
      <c r="L22" s="36">
        <v>167.29219477631531</v>
      </c>
      <c r="M22" s="36">
        <v>55.599599737426693</v>
      </c>
      <c r="N22" s="37">
        <v>5426</v>
      </c>
      <c r="O22" s="36">
        <v>88</v>
      </c>
      <c r="P22" s="38">
        <v>0.49398347834367479</v>
      </c>
      <c r="Q22" s="39">
        <v>9.303659640496198</v>
      </c>
      <c r="R22" s="40">
        <v>55.19</v>
      </c>
      <c r="S22" s="40">
        <v>240.85297815225536</v>
      </c>
      <c r="T22" s="41">
        <f t="shared" si="1"/>
        <v>4.0000869741686713E-2</v>
      </c>
      <c r="U22" s="19"/>
      <c r="V22" s="19"/>
      <c r="AD22" s="12"/>
      <c r="AF22" s="34"/>
    </row>
    <row r="23" spans="7:35" ht="14.1" customHeight="1" thickBot="1" x14ac:dyDescent="0.3">
      <c r="G23" s="11"/>
      <c r="H23" s="236"/>
      <c r="J23" s="35"/>
      <c r="K23" s="28" t="s">
        <v>34</v>
      </c>
      <c r="L23" s="28">
        <v>128.3166104972446</v>
      </c>
      <c r="M23" s="28">
        <v>90.171835813624497</v>
      </c>
      <c r="N23" s="29">
        <v>5809</v>
      </c>
      <c r="O23" s="28">
        <v>95</v>
      </c>
      <c r="P23" s="30">
        <v>0.48729883251106471</v>
      </c>
      <c r="Q23" s="31">
        <v>9.3288127785979942</v>
      </c>
      <c r="R23" s="32">
        <v>110.38</v>
      </c>
      <c r="S23" s="32">
        <v>477.15384772933481</v>
      </c>
      <c r="T23" s="33">
        <f t="shared" si="1"/>
        <v>8.0001739483373427E-2</v>
      </c>
      <c r="U23" s="19"/>
      <c r="V23" s="19"/>
      <c r="AD23" s="12"/>
      <c r="AF23" s="34"/>
    </row>
    <row r="24" spans="7:35" ht="14.1" customHeight="1" thickBot="1" x14ac:dyDescent="0.3">
      <c r="G24" s="11"/>
      <c r="H24" s="236"/>
      <c r="J24" s="35"/>
      <c r="K24" s="36" t="s">
        <v>35</v>
      </c>
      <c r="L24" s="36">
        <v>193.3462136909059</v>
      </c>
      <c r="M24" s="36">
        <v>122.16855397413499</v>
      </c>
      <c r="N24" s="37">
        <v>6057</v>
      </c>
      <c r="O24" s="36">
        <v>101</v>
      </c>
      <c r="P24" s="38">
        <v>0.45913088942219121</v>
      </c>
      <c r="Q24" s="39">
        <v>9.0511816403215395</v>
      </c>
      <c r="R24" s="40">
        <v>220.75</v>
      </c>
      <c r="S24" s="40">
        <v>919.01469014443785</v>
      </c>
      <c r="T24" s="41">
        <f t="shared" si="1"/>
        <v>0.15999623111935754</v>
      </c>
      <c r="U24" s="19"/>
      <c r="V24" s="19"/>
      <c r="AD24" s="12"/>
    </row>
    <row r="25" spans="7:35" ht="14.1" customHeight="1" thickBot="1" x14ac:dyDescent="0.35">
      <c r="G25" s="11"/>
      <c r="H25" s="236"/>
      <c r="J25" s="35"/>
      <c r="K25" s="28" t="s">
        <v>36</v>
      </c>
      <c r="L25" s="28">
        <v>608.41556439351689</v>
      </c>
      <c r="M25" s="28">
        <v>136.7671006925973</v>
      </c>
      <c r="N25" s="29">
        <v>6219</v>
      </c>
      <c r="O25" s="28">
        <v>104</v>
      </c>
      <c r="P25" s="30">
        <v>0.36613381249776611</v>
      </c>
      <c r="Q25" s="31">
        <v>7.9635027661563349</v>
      </c>
      <c r="R25" s="32">
        <v>441.5</v>
      </c>
      <c r="S25" s="32">
        <v>1494.6551737243794</v>
      </c>
      <c r="T25" s="33">
        <f t="shared" si="1"/>
        <v>0.31999246223871508</v>
      </c>
      <c r="U25" s="19"/>
      <c r="V25" s="19"/>
      <c r="AD25" s="55"/>
      <c r="AG25" s="34"/>
      <c r="AH25"/>
      <c r="AI25"/>
    </row>
    <row r="26" spans="7:35" ht="14.1" customHeight="1" thickBot="1" x14ac:dyDescent="0.3">
      <c r="G26" s="11"/>
      <c r="H26" s="236"/>
      <c r="J26" s="42"/>
      <c r="K26" s="49" t="s">
        <v>37</v>
      </c>
      <c r="L26" s="49">
        <v>635.04634439578069</v>
      </c>
      <c r="M26" s="49">
        <v>160.91864618315981</v>
      </c>
      <c r="N26" s="50">
        <v>6291</v>
      </c>
      <c r="O26" s="49">
        <v>94</v>
      </c>
      <c r="P26" s="51">
        <v>0.30093682532174387</v>
      </c>
      <c r="Q26" s="52">
        <v>7.0414561358436982</v>
      </c>
      <c r="R26" s="53">
        <v>496.7</v>
      </c>
      <c r="S26" s="53">
        <v>1339.7644193949625</v>
      </c>
      <c r="T26" s="54">
        <f t="shared" si="1"/>
        <v>0.36000057982779116</v>
      </c>
      <c r="U26" s="19"/>
      <c r="V26" s="19"/>
      <c r="AD26" s="55"/>
    </row>
    <row r="27" spans="7:35" ht="14.1" customHeight="1" thickBot="1" x14ac:dyDescent="0.3">
      <c r="G27" s="11"/>
      <c r="H27" s="236"/>
      <c r="J27" s="56" t="s">
        <v>38</v>
      </c>
      <c r="K27" s="57"/>
      <c r="L27" s="58"/>
      <c r="M27" s="58"/>
      <c r="N27" s="58"/>
      <c r="O27" s="58"/>
      <c r="P27" s="58"/>
      <c r="Q27" s="58"/>
      <c r="R27" s="59">
        <f>SUM(R13:R26)</f>
        <v>2058.04</v>
      </c>
      <c r="S27" s="59">
        <f>SUM(S13:S26)</f>
        <v>6934.8179504896261</v>
      </c>
      <c r="T27" s="60"/>
      <c r="U27" s="19"/>
      <c r="V27" s="19"/>
      <c r="AD27" s="55"/>
    </row>
    <row r="28" spans="7:35" ht="14.1" customHeight="1" x14ac:dyDescent="0.25">
      <c r="G28" s="11"/>
      <c r="H28" s="61"/>
      <c r="I28" s="19"/>
      <c r="J28" s="19"/>
      <c r="K28" s="19"/>
      <c r="L28" s="19"/>
      <c r="AD28" s="12"/>
    </row>
    <row r="29" spans="7:35" ht="14.1" customHeight="1" thickBot="1" x14ac:dyDescent="0.35">
      <c r="G29" s="11"/>
      <c r="H29" s="61"/>
      <c r="I29" s="19"/>
      <c r="J29" s="19"/>
      <c r="K29" s="19"/>
      <c r="L29" s="19"/>
      <c r="O29"/>
      <c r="P29"/>
      <c r="Q29"/>
      <c r="R29"/>
      <c r="S29"/>
      <c r="T29"/>
      <c r="V29" s="62"/>
      <c r="AD29" s="12"/>
    </row>
    <row r="30" spans="7:35" ht="14.1" customHeight="1" x14ac:dyDescent="0.25">
      <c r="G30" s="11"/>
      <c r="H30" s="237" t="s">
        <v>39</v>
      </c>
      <c r="J30" s="239" t="s">
        <v>40</v>
      </c>
      <c r="K30" s="240"/>
      <c r="L30" s="240"/>
      <c r="M30" s="240"/>
      <c r="N30" s="241"/>
      <c r="O30" s="20"/>
      <c r="AD30" s="12"/>
    </row>
    <row r="31" spans="7:35" ht="14.1" customHeight="1" x14ac:dyDescent="0.25">
      <c r="G31" s="11"/>
      <c r="H31" s="238"/>
      <c r="J31" s="242" t="s">
        <v>41</v>
      </c>
      <c r="K31" s="243"/>
      <c r="L31" s="243"/>
      <c r="M31" s="243"/>
      <c r="N31" s="63">
        <f>L58</f>
        <v>2.5000000000000001E-2</v>
      </c>
      <c r="O31" s="20"/>
      <c r="AD31" s="12"/>
    </row>
    <row r="32" spans="7:35" ht="14.1" customHeight="1" x14ac:dyDescent="0.25">
      <c r="G32" s="11"/>
      <c r="H32" s="238"/>
      <c r="J32" s="244" t="s">
        <v>42</v>
      </c>
      <c r="K32" s="245"/>
      <c r="L32" s="245"/>
      <c r="M32" s="245"/>
      <c r="N32" s="64">
        <v>30</v>
      </c>
      <c r="O32" s="20"/>
      <c r="V32" s="19"/>
      <c r="Y32" s="34"/>
      <c r="AD32" s="12"/>
    </row>
    <row r="33" spans="7:30" ht="14.1" customHeight="1" x14ac:dyDescent="0.25">
      <c r="G33" s="11"/>
      <c r="H33" s="238"/>
      <c r="J33" s="244" t="s">
        <v>43</v>
      </c>
      <c r="K33" s="245"/>
      <c r="L33" s="245"/>
      <c r="M33" s="245"/>
      <c r="N33" s="65">
        <f>L60</f>
        <v>0.04</v>
      </c>
      <c r="O33" s="20"/>
      <c r="AB33" s="19"/>
      <c r="AD33" s="12"/>
    </row>
    <row r="34" spans="7:30" ht="14.1" customHeight="1" x14ac:dyDescent="0.25">
      <c r="G34" s="11"/>
      <c r="H34" s="238"/>
      <c r="J34" s="244" t="s">
        <v>44</v>
      </c>
      <c r="K34" s="245"/>
      <c r="L34" s="245"/>
      <c r="M34" s="245"/>
      <c r="N34" s="66">
        <f>L63</f>
        <v>1.4634146341463428E-2</v>
      </c>
      <c r="O34" s="20"/>
      <c r="AB34" s="19"/>
      <c r="AD34" s="12"/>
    </row>
    <row r="35" spans="7:30" ht="14.1" customHeight="1" x14ac:dyDescent="0.25">
      <c r="G35" s="11"/>
      <c r="H35" s="238"/>
      <c r="J35" s="244" t="s">
        <v>45</v>
      </c>
      <c r="K35" s="245"/>
      <c r="L35" s="245"/>
      <c r="M35" s="245"/>
      <c r="N35" s="65">
        <f>L65</f>
        <v>0.04</v>
      </c>
      <c r="O35" s="20"/>
      <c r="AB35" s="19"/>
      <c r="AD35" s="12"/>
    </row>
    <row r="36" spans="7:30" ht="14.1" customHeight="1" x14ac:dyDescent="0.25">
      <c r="G36" s="11"/>
      <c r="H36" s="238"/>
      <c r="J36" s="244" t="s">
        <v>46</v>
      </c>
      <c r="K36" s="245"/>
      <c r="L36" s="245"/>
      <c r="M36" s="245"/>
      <c r="N36" s="65">
        <f>L67</f>
        <v>0.1</v>
      </c>
      <c r="O36" s="20"/>
      <c r="AB36" s="19"/>
      <c r="AD36" s="12"/>
    </row>
    <row r="37" spans="7:30" ht="14.1" customHeight="1" x14ac:dyDescent="0.25">
      <c r="G37" s="11"/>
      <c r="H37" s="238"/>
      <c r="J37" s="244" t="s">
        <v>47</v>
      </c>
      <c r="K37" s="245"/>
      <c r="L37" s="245"/>
      <c r="M37" s="245"/>
      <c r="N37" s="66">
        <f>L70</f>
        <v>7.317073170731736E-2</v>
      </c>
      <c r="O37" s="20"/>
      <c r="AB37" s="19"/>
      <c r="AD37" s="12"/>
    </row>
    <row r="38" spans="7:30" ht="14.1" customHeight="1" x14ac:dyDescent="0.25">
      <c r="G38" s="11"/>
      <c r="H38" s="238"/>
      <c r="J38" s="244" t="s">
        <v>48</v>
      </c>
      <c r="K38" s="245"/>
      <c r="L38" s="245"/>
      <c r="M38" s="245"/>
      <c r="N38" s="65">
        <f>L73</f>
        <v>0.68500000000000005</v>
      </c>
      <c r="O38" s="20"/>
      <c r="AB38" s="19"/>
      <c r="AD38" s="12"/>
    </row>
    <row r="39" spans="7:30" ht="14.1" customHeight="1" x14ac:dyDescent="0.3">
      <c r="G39" s="11"/>
      <c r="H39" s="238"/>
      <c r="J39" s="244" t="s">
        <v>49</v>
      </c>
      <c r="K39" s="245"/>
      <c r="L39" s="245"/>
      <c r="M39" s="245"/>
      <c r="N39" s="65">
        <f>L75</f>
        <v>0.25740000000000002</v>
      </c>
      <c r="O39" s="20"/>
      <c r="V39" s="19"/>
      <c r="Y39" s="34"/>
      <c r="Z39"/>
      <c r="AA39"/>
      <c r="AD39" s="12"/>
    </row>
    <row r="40" spans="7:30" ht="14.1" customHeight="1" x14ac:dyDescent="0.25">
      <c r="G40" s="11"/>
      <c r="H40" s="238"/>
      <c r="J40" s="244" t="s">
        <v>50</v>
      </c>
      <c r="K40" s="245"/>
      <c r="L40" s="245"/>
      <c r="M40" s="245"/>
      <c r="N40" s="66">
        <f>L77</f>
        <v>5.1847239999999996E-2</v>
      </c>
      <c r="O40" s="20"/>
      <c r="AD40" s="12"/>
    </row>
    <row r="41" spans="7:30" ht="14.1" customHeight="1" x14ac:dyDescent="0.25">
      <c r="G41" s="11"/>
      <c r="H41" s="238"/>
      <c r="J41" s="244" t="s">
        <v>51</v>
      </c>
      <c r="K41" s="245"/>
      <c r="L41" s="245"/>
      <c r="M41" s="245"/>
      <c r="N41" s="66">
        <f>L80</f>
        <v>2.6192429268292905E-2</v>
      </c>
      <c r="O41" s="20"/>
      <c r="AD41" s="12"/>
    </row>
    <row r="42" spans="7:30" ht="14.1" customHeight="1" x14ac:dyDescent="0.25">
      <c r="G42" s="11"/>
      <c r="H42" s="238"/>
      <c r="J42" s="230" t="s">
        <v>52</v>
      </c>
      <c r="K42" s="231"/>
      <c r="L42" s="231"/>
      <c r="M42" s="231"/>
      <c r="N42" s="67">
        <v>5</v>
      </c>
      <c r="O42" s="20"/>
      <c r="AD42" s="12"/>
    </row>
    <row r="43" spans="7:30" ht="14.1" customHeight="1" x14ac:dyDescent="0.25">
      <c r="G43" s="11"/>
      <c r="H43" s="238"/>
      <c r="J43" s="221" t="s">
        <v>53</v>
      </c>
      <c r="K43" s="222"/>
      <c r="L43" s="222"/>
      <c r="M43" s="222"/>
      <c r="N43" s="68">
        <f>SUMPRODUCT(K53:K55,L53:L55,M53:M55)+SUMPRODUCT(K53:K55,O53:O55,N53:N55)</f>
        <v>1.0748002279397495</v>
      </c>
      <c r="O43" s="20"/>
      <c r="AD43" s="12"/>
    </row>
    <row r="44" spans="7:30" ht="14.1" customHeight="1" x14ac:dyDescent="0.25">
      <c r="G44" s="11"/>
      <c r="H44" s="238"/>
      <c r="J44" s="221" t="s">
        <v>54</v>
      </c>
      <c r="K44" s="222"/>
      <c r="L44" s="222"/>
      <c r="M44" s="222"/>
      <c r="N44" s="68">
        <f>SUMPRODUCT(R52:W52,R54:W54)</f>
        <v>0.8704718640870559</v>
      </c>
      <c r="O44" s="20"/>
      <c r="AD44" s="12"/>
    </row>
    <row r="45" spans="7:30" ht="14.1" customHeight="1" x14ac:dyDescent="0.25">
      <c r="G45" s="11"/>
      <c r="H45" s="238"/>
      <c r="J45" s="221" t="s">
        <v>55</v>
      </c>
      <c r="K45" s="222"/>
      <c r="L45" s="222"/>
      <c r="M45" s="222"/>
      <c r="N45" s="68">
        <f xml:space="preserve"> (1 - N39 * N44) / (1 - N39)</f>
        <v>1.0448970403770426</v>
      </c>
      <c r="O45" s="20"/>
      <c r="U45" s="69"/>
      <c r="V45" s="69"/>
      <c r="W45" s="69"/>
      <c r="X45" s="69"/>
      <c r="Y45" s="69"/>
      <c r="Z45" s="69"/>
      <c r="AA45" s="69"/>
      <c r="AD45" s="12"/>
    </row>
    <row r="46" spans="7:30" ht="14.1" customHeight="1" x14ac:dyDescent="0.25">
      <c r="G46" s="11"/>
      <c r="H46" s="238"/>
      <c r="J46" s="221" t="s">
        <v>56</v>
      </c>
      <c r="K46" s="222"/>
      <c r="L46" s="222"/>
      <c r="M46" s="222"/>
      <c r="N46" s="66">
        <f>L83</f>
        <v>6.642760701924641E-2</v>
      </c>
      <c r="O46" s="20"/>
      <c r="AD46" s="12"/>
    </row>
    <row r="47" spans="7:30" ht="14.1" customHeight="1" x14ac:dyDescent="0.25">
      <c r="G47" s="11"/>
      <c r="H47" s="238"/>
      <c r="J47" s="221" t="s">
        <v>57</v>
      </c>
      <c r="K47" s="222"/>
      <c r="L47" s="222"/>
      <c r="M47" s="222"/>
      <c r="N47" s="66">
        <f>L86</f>
        <v>4.854050177050856E-2</v>
      </c>
      <c r="O47" s="70"/>
      <c r="AD47" s="12"/>
    </row>
    <row r="48" spans="7:30" ht="14.1" customHeight="1" x14ac:dyDescent="0.25">
      <c r="G48" s="11"/>
      <c r="H48" s="238"/>
      <c r="J48" s="221" t="s">
        <v>58</v>
      </c>
      <c r="K48" s="222"/>
      <c r="L48" s="222"/>
      <c r="M48" s="222"/>
      <c r="N48" s="65">
        <v>0.02</v>
      </c>
      <c r="O48" s="70"/>
      <c r="AD48" s="12"/>
    </row>
    <row r="49" spans="7:112" ht="14.1" customHeight="1" thickBot="1" x14ac:dyDescent="0.3">
      <c r="G49" s="11"/>
      <c r="H49" s="238"/>
      <c r="J49" s="246" t="s">
        <v>59</v>
      </c>
      <c r="K49" s="247"/>
      <c r="L49" s="247"/>
      <c r="M49" s="247"/>
      <c r="N49" s="71">
        <f>N36+N48</f>
        <v>0.12000000000000001</v>
      </c>
      <c r="O49" s="20"/>
      <c r="V49" s="72"/>
      <c r="AD49" s="12"/>
    </row>
    <row r="50" spans="7:112" ht="14.1" customHeight="1" thickBot="1" x14ac:dyDescent="0.3">
      <c r="H50" s="238"/>
      <c r="J50" s="248" t="s">
        <v>60</v>
      </c>
      <c r="K50" s="248"/>
      <c r="L50" s="248"/>
      <c r="M50" s="73">
        <v>3</v>
      </c>
      <c r="N50" s="74"/>
      <c r="O50" s="75"/>
      <c r="V50" s="72"/>
    </row>
    <row r="51" spans="7:112" ht="14.1" customHeight="1" x14ac:dyDescent="0.25">
      <c r="H51" s="238"/>
      <c r="J51" s="18" t="s">
        <v>61</v>
      </c>
      <c r="K51" s="18" t="s">
        <v>62</v>
      </c>
      <c r="L51" s="76" t="s">
        <v>63</v>
      </c>
      <c r="M51" s="227" t="s">
        <v>64</v>
      </c>
      <c r="N51" s="227" t="s">
        <v>65</v>
      </c>
      <c r="O51" s="76" t="s">
        <v>63</v>
      </c>
      <c r="Q51" s="77" t="s">
        <v>66</v>
      </c>
      <c r="R51" s="78">
        <v>1</v>
      </c>
      <c r="S51" s="78">
        <v>2</v>
      </c>
      <c r="T51" s="78">
        <v>3</v>
      </c>
      <c r="U51" s="78">
        <v>4</v>
      </c>
      <c r="V51" s="78">
        <v>5</v>
      </c>
      <c r="W51" s="79">
        <v>6</v>
      </c>
    </row>
    <row r="52" spans="7:112" ht="14.1" customHeight="1" x14ac:dyDescent="0.25">
      <c r="H52" s="238"/>
      <c r="J52" s="18" t="s">
        <v>67</v>
      </c>
      <c r="K52" s="18" t="s">
        <v>68</v>
      </c>
      <c r="L52" s="76" t="s">
        <v>69</v>
      </c>
      <c r="M52" s="228"/>
      <c r="N52" s="228"/>
      <c r="O52" s="76" t="s">
        <v>70</v>
      </c>
      <c r="Q52" s="80" t="s">
        <v>71</v>
      </c>
      <c r="R52" s="81">
        <v>0.2</v>
      </c>
      <c r="S52" s="82">
        <v>0.32</v>
      </c>
      <c r="T52" s="83">
        <v>0.192</v>
      </c>
      <c r="U52" s="81">
        <v>0.1152</v>
      </c>
      <c r="V52" s="81">
        <v>0.1152</v>
      </c>
      <c r="W52" s="84">
        <v>5.7599999999999998E-2</v>
      </c>
    </row>
    <row r="53" spans="7:112" ht="14.1" customHeight="1" thickBot="1" x14ac:dyDescent="0.3">
      <c r="H53" s="238"/>
      <c r="J53" s="85">
        <v>0</v>
      </c>
      <c r="K53" s="86">
        <v>0.4</v>
      </c>
      <c r="L53" s="87">
        <f>1+((1+N35)^(J53+0.5)-1)</f>
        <v>1.019803902718557</v>
      </c>
      <c r="M53" s="86">
        <v>0.8</v>
      </c>
      <c r="N53" s="66">
        <f>1-M53</f>
        <v>0.19999999999999996</v>
      </c>
      <c r="O53" s="87">
        <f>1+((1+$N$49)^(J53+0.5)-1)</f>
        <v>1.0583005244258363</v>
      </c>
      <c r="Q53" s="88" t="s">
        <v>68</v>
      </c>
      <c r="R53" s="89"/>
      <c r="S53" s="89"/>
      <c r="T53" s="90"/>
      <c r="U53" s="89"/>
      <c r="V53" s="89"/>
      <c r="W53" s="91"/>
    </row>
    <row r="54" spans="7:112" ht="14.1" customHeight="1" x14ac:dyDescent="0.25">
      <c r="H54" s="238"/>
      <c r="J54" s="92">
        <v>1</v>
      </c>
      <c r="K54" s="93">
        <v>0.4</v>
      </c>
      <c r="L54" s="94">
        <f>1+((1+N35)^(J54+0.5)-1)</f>
        <v>1.0605960588272993</v>
      </c>
      <c r="M54" s="93">
        <v>0.8</v>
      </c>
      <c r="N54" s="66">
        <f>1-M54</f>
        <v>0.19999999999999996</v>
      </c>
      <c r="O54" s="94">
        <f>1+((1+$N$49)^(J54+0.5)-1)</f>
        <v>1.1852965873569368</v>
      </c>
      <c r="Q54" s="95" t="s">
        <v>71</v>
      </c>
      <c r="R54" s="96">
        <f>1/((1+N41)*(1+N31))^R51</f>
        <v>0.95070839373976013</v>
      </c>
      <c r="S54" s="96">
        <f>1/((1+N41)*(1+N31))^S51</f>
        <v>0.90384644992723462</v>
      </c>
      <c r="T54" s="97">
        <f>1/((1+N41)*(1+N31))^T51</f>
        <v>0.85929440659770573</v>
      </c>
      <c r="U54" s="96">
        <f>1/((1+N41)*(1+N31))^U51</f>
        <v>0.81693840504606507</v>
      </c>
      <c r="V54" s="96">
        <f>1/((1+N41)*(1+N31))^V51</f>
        <v>0.77667019884566602</v>
      </c>
      <c r="W54" s="98">
        <f>1/((1+N41)*(1+N31))^W51</f>
        <v>0.73838687721010321</v>
      </c>
    </row>
    <row r="55" spans="7:112" ht="14.1" customHeight="1" thickBot="1" x14ac:dyDescent="0.3">
      <c r="H55" s="238"/>
      <c r="J55" s="99">
        <v>2</v>
      </c>
      <c r="K55" s="100">
        <v>0.2</v>
      </c>
      <c r="L55" s="101">
        <f>1+((1+N35)^(J55+0.5)-1)</f>
        <v>1.1030199011803914</v>
      </c>
      <c r="M55" s="100">
        <v>0.8</v>
      </c>
      <c r="N55" s="66">
        <f>1-M55</f>
        <v>0.19999999999999996</v>
      </c>
      <c r="O55" s="101">
        <f>1+((1+$N$49)^(J55+0.5)-1)</f>
        <v>1.3275321778397693</v>
      </c>
      <c r="Q55" s="102" t="s">
        <v>72</v>
      </c>
      <c r="R55" s="103"/>
      <c r="S55" s="103"/>
      <c r="T55" s="104"/>
      <c r="U55" s="103"/>
      <c r="V55" s="103"/>
      <c r="W55" s="105"/>
    </row>
    <row r="56" spans="7:112" ht="14.1" customHeight="1" x14ac:dyDescent="0.25">
      <c r="H56" s="238"/>
    </row>
    <row r="57" spans="7:112" ht="14.1" customHeight="1" x14ac:dyDescent="0.25">
      <c r="G57" s="106"/>
      <c r="H57" s="238"/>
      <c r="L57" s="107" t="s">
        <v>365</v>
      </c>
      <c r="M57" s="107" t="s">
        <v>366</v>
      </c>
      <c r="N57" s="107" t="s">
        <v>367</v>
      </c>
      <c r="O57" s="107" t="s">
        <v>368</v>
      </c>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c r="BC57" s="107"/>
      <c r="BD57" s="107"/>
      <c r="BE57" s="107"/>
      <c r="BF57" s="107"/>
      <c r="BG57" s="107"/>
      <c r="BH57" s="107"/>
      <c r="BI57" s="107"/>
      <c r="BJ57" s="107"/>
      <c r="BK57" s="107"/>
      <c r="BL57" s="107"/>
      <c r="BM57" s="107"/>
      <c r="BN57" s="107"/>
      <c r="BO57" s="107"/>
      <c r="BP57" s="107"/>
      <c r="BQ57" s="107"/>
      <c r="BR57" s="107"/>
      <c r="BS57" s="107"/>
      <c r="BT57" s="107"/>
      <c r="BU57" s="107"/>
      <c r="BV57" s="107"/>
      <c r="BW57" s="107"/>
      <c r="BX57" s="107"/>
      <c r="BY57" s="107"/>
      <c r="BZ57" s="107"/>
      <c r="CA57" s="107"/>
      <c r="CB57" s="107"/>
      <c r="CC57" s="107"/>
      <c r="CD57" s="107"/>
      <c r="CE57" s="107"/>
      <c r="CF57" s="107"/>
      <c r="CG57" s="107"/>
      <c r="CH57" s="107"/>
      <c r="CI57" s="107"/>
      <c r="CJ57" s="107"/>
      <c r="CK57" s="107"/>
      <c r="CL57" s="107"/>
      <c r="CM57" s="107"/>
      <c r="CN57" s="107"/>
      <c r="CO57" s="107"/>
      <c r="CP57" s="107"/>
      <c r="CQ57" s="107"/>
      <c r="CR57" s="107"/>
      <c r="CS57" s="107"/>
      <c r="CT57" s="107"/>
      <c r="CU57" s="107"/>
      <c r="CV57" s="107"/>
      <c r="CW57" s="107"/>
      <c r="CX57" s="107"/>
      <c r="CY57" s="107"/>
      <c r="CZ57" s="107"/>
      <c r="DA57" s="107"/>
      <c r="DB57" s="107"/>
      <c r="DC57" s="107"/>
      <c r="DD57" s="107"/>
      <c r="DE57" s="107"/>
      <c r="DF57" s="107"/>
      <c r="DG57" s="107"/>
      <c r="DH57" s="107"/>
    </row>
    <row r="58" spans="7:112" ht="14.1" customHeight="1" x14ac:dyDescent="0.3">
      <c r="G58" s="106"/>
      <c r="H58" s="238"/>
      <c r="J58" s="210" t="s">
        <v>6</v>
      </c>
      <c r="K58" s="109" t="s">
        <v>41</v>
      </c>
      <c r="L58" s="110">
        <f>'[1]WACC Calc'!F368</f>
        <v>2.5000000000000001E-2</v>
      </c>
      <c r="M58" s="110">
        <f>'[1]WACC Calc'!G368</f>
        <v>2.5000000000000001E-2</v>
      </c>
      <c r="N58" s="110">
        <f>'[1]WACC Calc'!H368</f>
        <v>2.5000000000000001E-2</v>
      </c>
      <c r="O58" s="110">
        <f>'[1]WACC Calc'!I368</f>
        <v>2.5000000000000001E-2</v>
      </c>
      <c r="P58"/>
      <c r="Q58"/>
      <c r="R58"/>
      <c r="S58"/>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c r="BS58" s="107"/>
      <c r="BT58" s="107"/>
      <c r="BU58" s="107"/>
      <c r="BV58" s="107"/>
      <c r="BW58" s="107"/>
      <c r="BX58" s="107"/>
      <c r="BY58" s="107"/>
      <c r="BZ58" s="107"/>
      <c r="CA58" s="107"/>
      <c r="CB58" s="107"/>
      <c r="CC58" s="107"/>
      <c r="CD58" s="107"/>
      <c r="CE58" s="107"/>
      <c r="CF58" s="107"/>
      <c r="CG58" s="107"/>
      <c r="CH58" s="107"/>
      <c r="CI58" s="107"/>
      <c r="CJ58" s="107"/>
      <c r="CK58" s="107"/>
      <c r="CL58" s="107"/>
      <c r="CM58" s="107"/>
      <c r="CN58" s="107"/>
      <c r="CO58" s="107"/>
      <c r="CP58" s="107"/>
      <c r="CQ58" s="107"/>
      <c r="CR58" s="107"/>
      <c r="CS58" s="107"/>
      <c r="CT58" s="107"/>
      <c r="CU58" s="107"/>
      <c r="CV58" s="107"/>
      <c r="CW58" s="107"/>
      <c r="CX58" s="107"/>
      <c r="CY58" s="107"/>
      <c r="CZ58" s="107"/>
      <c r="DA58" s="107"/>
      <c r="DB58" s="107"/>
      <c r="DC58" s="107"/>
      <c r="DD58" s="107"/>
      <c r="DE58" s="107"/>
      <c r="DF58" s="107"/>
      <c r="DG58" s="107"/>
      <c r="DH58" s="107"/>
    </row>
    <row r="59" spans="7:112" ht="14.1" customHeight="1" x14ac:dyDescent="0.3">
      <c r="G59" s="106"/>
      <c r="H59" s="238"/>
      <c r="J59" s="210"/>
      <c r="K59" s="109" t="s">
        <v>73</v>
      </c>
      <c r="L59" s="110">
        <f>'[1]WACC Calc'!F369</f>
        <v>0.04</v>
      </c>
      <c r="M59" s="110">
        <f>'[1]WACC Calc'!G369</f>
        <v>0.04</v>
      </c>
      <c r="N59" s="110">
        <f>'[1]WACC Calc'!H369</f>
        <v>0.04</v>
      </c>
      <c r="O59" s="110">
        <f>'[1]WACC Calc'!I369</f>
        <v>0.04</v>
      </c>
      <c r="P59"/>
      <c r="Q59"/>
      <c r="R59"/>
      <c r="S59"/>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c r="BS59" s="107"/>
      <c r="BT59" s="107"/>
      <c r="BU59" s="107"/>
      <c r="BV59" s="107"/>
      <c r="BW59" s="107"/>
      <c r="BX59" s="107"/>
      <c r="BY59" s="107"/>
      <c r="BZ59" s="107"/>
      <c r="CA59" s="107"/>
      <c r="CB59" s="107"/>
      <c r="CC59" s="107"/>
      <c r="CD59" s="107"/>
      <c r="CE59" s="107"/>
      <c r="CF59" s="107"/>
      <c r="CG59" s="107"/>
      <c r="CH59" s="107"/>
      <c r="CI59" s="107"/>
      <c r="CJ59" s="107"/>
      <c r="CK59" s="107"/>
      <c r="CL59" s="107"/>
      <c r="CM59" s="107"/>
      <c r="CN59" s="107"/>
      <c r="CO59" s="107"/>
      <c r="CP59" s="107"/>
      <c r="CQ59" s="107"/>
      <c r="CR59" s="107"/>
      <c r="CS59" s="107"/>
      <c r="CT59" s="107"/>
      <c r="CU59" s="107"/>
      <c r="CV59" s="107"/>
      <c r="CW59" s="107"/>
      <c r="CX59" s="107"/>
      <c r="CY59" s="107"/>
      <c r="CZ59" s="107"/>
      <c r="DA59" s="107"/>
      <c r="DB59" s="107"/>
      <c r="DC59" s="107"/>
      <c r="DD59" s="107"/>
      <c r="DE59" s="107"/>
      <c r="DF59" s="107"/>
      <c r="DG59" s="107"/>
      <c r="DH59" s="107"/>
    </row>
    <row r="60" spans="7:112" ht="14.1" customHeight="1" x14ac:dyDescent="0.3">
      <c r="G60" s="106"/>
      <c r="H60" s="238"/>
      <c r="J60" s="210"/>
      <c r="K60" s="109" t="s">
        <v>43</v>
      </c>
      <c r="L60" s="110">
        <f>'[1]WACC Calc'!F370</f>
        <v>0.04</v>
      </c>
      <c r="M60" s="110">
        <f>'[1]WACC Calc'!G370</f>
        <v>0.04</v>
      </c>
      <c r="N60" s="110">
        <f>'[1]WACC Calc'!H370</f>
        <v>0.04</v>
      </c>
      <c r="O60" s="110">
        <f>'[1]WACC Calc'!I370</f>
        <v>0.04</v>
      </c>
      <c r="P60"/>
      <c r="Q60"/>
      <c r="R60"/>
      <c r="S60"/>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row>
    <row r="61" spans="7:112" ht="14.1" customHeight="1" x14ac:dyDescent="0.3">
      <c r="G61" s="106"/>
      <c r="H61" s="238"/>
      <c r="J61" s="210"/>
      <c r="K61" s="109" t="s">
        <v>74</v>
      </c>
      <c r="L61" s="110">
        <f>'[1]WACC Calc'!F371</f>
        <v>0.04</v>
      </c>
      <c r="M61" s="110">
        <f>'[1]WACC Calc'!G371</f>
        <v>0.04</v>
      </c>
      <c r="N61" s="110">
        <f>'[1]WACC Calc'!H371</f>
        <v>0.04</v>
      </c>
      <c r="O61" s="110">
        <f>'[1]WACC Calc'!I371</f>
        <v>0.04</v>
      </c>
      <c r="P61"/>
      <c r="Q61"/>
      <c r="R61"/>
      <c r="S61"/>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c r="BS61" s="107"/>
      <c r="BT61" s="107"/>
      <c r="BU61" s="107"/>
      <c r="BV61" s="107"/>
      <c r="BW61" s="107"/>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row>
    <row r="62" spans="7:112" ht="14.1" customHeight="1" x14ac:dyDescent="0.3">
      <c r="G62" s="106"/>
      <c r="H62" s="238"/>
      <c r="J62" s="210"/>
      <c r="K62" s="109" t="s">
        <v>75</v>
      </c>
      <c r="L62" s="110">
        <f>'[1]WACC Calc'!F372</f>
        <v>1.4634146341463428E-2</v>
      </c>
      <c r="M62" s="110">
        <f>'[1]WACC Calc'!G372</f>
        <v>1.4634146341463428E-2</v>
      </c>
      <c r="N62" s="110">
        <f>'[1]WACC Calc'!H372</f>
        <v>1.4634146341463428E-2</v>
      </c>
      <c r="O62" s="110">
        <f>'[1]WACC Calc'!I372</f>
        <v>1.4634146341463428E-2</v>
      </c>
      <c r="P62"/>
      <c r="Q62"/>
      <c r="R62"/>
      <c r="S62"/>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c r="BS62" s="107"/>
      <c r="BT62" s="107"/>
      <c r="BU62" s="107"/>
      <c r="BV62" s="107"/>
      <c r="BW62" s="107"/>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row>
    <row r="63" spans="7:112" ht="14.1" customHeight="1" x14ac:dyDescent="0.3">
      <c r="G63" s="106"/>
      <c r="H63" s="238"/>
      <c r="J63" s="210"/>
      <c r="K63" s="109" t="s">
        <v>44</v>
      </c>
      <c r="L63" s="110">
        <f>'[1]WACC Calc'!F373</f>
        <v>1.4634146341463428E-2</v>
      </c>
      <c r="M63" s="110">
        <f>'[1]WACC Calc'!G373</f>
        <v>1.4634146341463428E-2</v>
      </c>
      <c r="N63" s="110">
        <f>'[1]WACC Calc'!H373</f>
        <v>1.4634146341463428E-2</v>
      </c>
      <c r="O63" s="110">
        <f>'[1]WACC Calc'!I373</f>
        <v>1.4634146341463428E-2</v>
      </c>
      <c r="P63"/>
      <c r="Q63"/>
      <c r="R63"/>
      <c r="S63"/>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c r="BS63" s="107"/>
      <c r="BT63" s="107"/>
      <c r="BU63" s="107"/>
      <c r="BV63" s="107"/>
      <c r="BW63" s="107"/>
      <c r="BX63" s="107"/>
      <c r="BY63" s="107"/>
      <c r="BZ63" s="107"/>
      <c r="CA63" s="107"/>
      <c r="CB63" s="107"/>
      <c r="CC63" s="107"/>
      <c r="CD63" s="107"/>
      <c r="CE63" s="107"/>
      <c r="CF63" s="107"/>
      <c r="CG63" s="107"/>
      <c r="CH63" s="107"/>
      <c r="CI63" s="107"/>
      <c r="CJ63" s="107"/>
      <c r="CK63" s="107"/>
      <c r="CL63" s="107"/>
      <c r="CM63" s="107"/>
      <c r="CN63" s="107"/>
      <c r="CO63" s="107"/>
      <c r="CP63" s="107"/>
      <c r="CQ63" s="107"/>
      <c r="CR63" s="107"/>
      <c r="CS63" s="107"/>
      <c r="CT63" s="107"/>
      <c r="CU63" s="107"/>
      <c r="CV63" s="107"/>
      <c r="CW63" s="107"/>
      <c r="CX63" s="107"/>
      <c r="CY63" s="107"/>
      <c r="CZ63" s="107"/>
      <c r="DA63" s="107"/>
      <c r="DB63" s="107"/>
      <c r="DC63" s="107"/>
      <c r="DD63" s="107"/>
      <c r="DE63" s="107"/>
      <c r="DF63" s="107"/>
      <c r="DG63" s="107"/>
      <c r="DH63" s="107"/>
    </row>
    <row r="64" spans="7:112" ht="14.1" customHeight="1" x14ac:dyDescent="0.3">
      <c r="G64" s="106"/>
      <c r="H64" s="238"/>
      <c r="J64" s="210"/>
      <c r="K64" s="109" t="s">
        <v>76</v>
      </c>
      <c r="L64" s="110">
        <f>'[1]WACC Calc'!F374</f>
        <v>1.4634146341463428E-2</v>
      </c>
      <c r="M64" s="110">
        <f>'[1]WACC Calc'!G374</f>
        <v>1.4634146341463428E-2</v>
      </c>
      <c r="N64" s="110">
        <f>'[1]WACC Calc'!H374</f>
        <v>1.4634146341463428E-2</v>
      </c>
      <c r="O64" s="110">
        <f>'[1]WACC Calc'!I374</f>
        <v>1.4634146341463428E-2</v>
      </c>
      <c r="P64"/>
      <c r="Q64"/>
      <c r="R64"/>
      <c r="S64"/>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c r="BS64" s="107"/>
      <c r="BT64" s="107"/>
      <c r="BU64" s="107"/>
      <c r="BV64" s="107"/>
      <c r="BW64" s="107"/>
      <c r="BX64" s="107"/>
      <c r="BY64" s="107"/>
      <c r="BZ64" s="107"/>
      <c r="CA64" s="107"/>
      <c r="CB64" s="107"/>
      <c r="CC64" s="107"/>
      <c r="CD64" s="107"/>
      <c r="CE64" s="107"/>
      <c r="CF64" s="107"/>
      <c r="CG64" s="107"/>
      <c r="CH64" s="107"/>
      <c r="CI64" s="107"/>
      <c r="CJ64" s="107"/>
      <c r="CK64" s="107"/>
      <c r="CL64" s="107"/>
      <c r="CM64" s="107"/>
      <c r="CN64" s="107"/>
      <c r="CO64" s="107"/>
      <c r="CP64" s="107"/>
      <c r="CQ64" s="107"/>
      <c r="CR64" s="107"/>
      <c r="CS64" s="107"/>
      <c r="CT64" s="107"/>
      <c r="CU64" s="107"/>
      <c r="CV64" s="107"/>
      <c r="CW64" s="107"/>
      <c r="CX64" s="107"/>
      <c r="CY64" s="107"/>
      <c r="CZ64" s="107"/>
      <c r="DA64" s="107"/>
      <c r="DB64" s="107"/>
      <c r="DC64" s="107"/>
      <c r="DD64" s="107"/>
      <c r="DE64" s="107"/>
      <c r="DF64" s="107"/>
      <c r="DG64" s="107"/>
      <c r="DH64" s="107"/>
    </row>
    <row r="65" spans="7:112" ht="14.1" customHeight="1" x14ac:dyDescent="0.3">
      <c r="G65" s="106"/>
      <c r="H65" s="238"/>
      <c r="J65" s="210"/>
      <c r="K65" s="109" t="s">
        <v>45</v>
      </c>
      <c r="L65" s="110">
        <f>'[1]WACC Calc'!F375</f>
        <v>0.04</v>
      </c>
      <c r="M65" s="110">
        <f>'[1]WACC Calc'!G375</f>
        <v>0.04</v>
      </c>
      <c r="N65" s="110">
        <f>'[1]WACC Calc'!H375</f>
        <v>0.04</v>
      </c>
      <c r="O65" s="110">
        <f>'[1]WACC Calc'!I375</f>
        <v>0.04</v>
      </c>
      <c r="P65"/>
      <c r="Q65"/>
      <c r="R65"/>
      <c r="S65"/>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c r="BS65" s="107"/>
      <c r="BT65" s="107"/>
      <c r="BU65" s="107"/>
      <c r="BV65" s="107"/>
      <c r="BW65" s="107"/>
      <c r="BX65" s="107"/>
      <c r="BY65" s="107"/>
      <c r="BZ65" s="107"/>
      <c r="CA65" s="107"/>
      <c r="CB65" s="107"/>
      <c r="CC65" s="107"/>
      <c r="CD65" s="107"/>
      <c r="CE65" s="107"/>
      <c r="CF65" s="107"/>
      <c r="CG65" s="107"/>
      <c r="CH65" s="107"/>
      <c r="CI65" s="107"/>
      <c r="CJ65" s="107"/>
      <c r="CK65" s="107"/>
      <c r="CL65" s="107"/>
      <c r="CM65" s="107"/>
      <c r="CN65" s="107"/>
      <c r="CO65" s="107"/>
      <c r="CP65" s="107"/>
      <c r="CQ65" s="107"/>
      <c r="CR65" s="107"/>
      <c r="CS65" s="107"/>
      <c r="CT65" s="107"/>
      <c r="CU65" s="107"/>
      <c r="CV65" s="107"/>
      <c r="CW65" s="107"/>
      <c r="CX65" s="107"/>
      <c r="CY65" s="107"/>
      <c r="CZ65" s="107"/>
      <c r="DA65" s="107"/>
      <c r="DB65" s="107"/>
      <c r="DC65" s="107"/>
      <c r="DD65" s="107"/>
      <c r="DE65" s="107"/>
      <c r="DF65" s="107"/>
      <c r="DG65" s="107"/>
      <c r="DH65" s="107"/>
    </row>
    <row r="66" spans="7:112" ht="14.1" customHeight="1" x14ac:dyDescent="0.3">
      <c r="G66" s="106"/>
      <c r="H66" s="238"/>
      <c r="J66" s="210"/>
      <c r="K66" s="109" t="s">
        <v>77</v>
      </c>
      <c r="L66" s="110">
        <f>'[1]WACC Calc'!F376</f>
        <v>0.1</v>
      </c>
      <c r="M66" s="110">
        <f>'[1]WACC Calc'!G376</f>
        <v>0.1</v>
      </c>
      <c r="N66" s="110">
        <f>'[1]WACC Calc'!H376</f>
        <v>0.1</v>
      </c>
      <c r="O66" s="110">
        <f>'[1]WACC Calc'!I376</f>
        <v>0.1</v>
      </c>
      <c r="P66"/>
      <c r="Q66"/>
      <c r="R66"/>
      <c r="S66"/>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c r="BS66" s="107"/>
      <c r="BT66" s="107"/>
      <c r="BU66" s="107"/>
      <c r="BV66" s="107"/>
      <c r="BW66" s="107"/>
      <c r="BX66" s="107"/>
      <c r="BY66" s="107"/>
      <c r="BZ66" s="107"/>
      <c r="CA66" s="107"/>
      <c r="CB66" s="107"/>
      <c r="CC66" s="107"/>
      <c r="CD66" s="107"/>
      <c r="CE66" s="107"/>
      <c r="CF66" s="107"/>
      <c r="CG66" s="107"/>
      <c r="CH66" s="107"/>
      <c r="CI66" s="107"/>
      <c r="CJ66" s="107"/>
      <c r="CK66" s="107"/>
      <c r="CL66" s="107"/>
      <c r="CM66" s="107"/>
      <c r="CN66" s="107"/>
      <c r="CO66" s="107"/>
      <c r="CP66" s="107"/>
      <c r="CQ66" s="107"/>
      <c r="CR66" s="107"/>
      <c r="CS66" s="107"/>
      <c r="CT66" s="107"/>
      <c r="CU66" s="107"/>
      <c r="CV66" s="107"/>
      <c r="CW66" s="107"/>
      <c r="CX66" s="107"/>
      <c r="CY66" s="107"/>
      <c r="CZ66" s="107"/>
      <c r="DA66" s="107"/>
      <c r="DB66" s="107"/>
      <c r="DC66" s="107"/>
      <c r="DD66" s="107"/>
      <c r="DE66" s="107"/>
      <c r="DF66" s="107"/>
      <c r="DG66" s="107"/>
      <c r="DH66" s="107"/>
    </row>
    <row r="67" spans="7:112" ht="14.1" customHeight="1" x14ac:dyDescent="0.3">
      <c r="G67" s="106"/>
      <c r="H67" s="238"/>
      <c r="J67" s="210"/>
      <c r="K67" s="109" t="s">
        <v>46</v>
      </c>
      <c r="L67" s="110">
        <f>'[1]WACC Calc'!F377</f>
        <v>0.1</v>
      </c>
      <c r="M67" s="110">
        <f>'[1]WACC Calc'!G377</f>
        <v>0.1</v>
      </c>
      <c r="N67" s="110">
        <f>'[1]WACC Calc'!H377</f>
        <v>0.1</v>
      </c>
      <c r="O67" s="110">
        <f>'[1]WACC Calc'!I377</f>
        <v>0.1</v>
      </c>
      <c r="P67"/>
      <c r="Q67"/>
      <c r="R67"/>
      <c r="S6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c r="BS67" s="107"/>
      <c r="BT67" s="107"/>
      <c r="BU67" s="107"/>
      <c r="BV67" s="107"/>
      <c r="BW67" s="107"/>
      <c r="BX67" s="107"/>
      <c r="BY67" s="107"/>
      <c r="BZ67" s="107"/>
      <c r="CA67" s="107"/>
      <c r="CB67" s="107"/>
      <c r="CC67" s="107"/>
      <c r="CD67" s="107"/>
      <c r="CE67" s="107"/>
      <c r="CF67" s="107"/>
      <c r="CG67" s="107"/>
      <c r="CH67" s="107"/>
      <c r="CI67" s="107"/>
      <c r="CJ67" s="107"/>
      <c r="CK67" s="107"/>
      <c r="CL67" s="107"/>
      <c r="CM67" s="107"/>
      <c r="CN67" s="107"/>
      <c r="CO67" s="107"/>
      <c r="CP67" s="107"/>
      <c r="CQ67" s="107"/>
      <c r="CR67" s="107"/>
      <c r="CS67" s="107"/>
      <c r="CT67" s="107"/>
      <c r="CU67" s="107"/>
      <c r="CV67" s="107"/>
      <c r="CW67" s="107"/>
      <c r="CX67" s="107"/>
      <c r="CY67" s="107"/>
      <c r="CZ67" s="107"/>
      <c r="DA67" s="107"/>
      <c r="DB67" s="107"/>
      <c r="DC67" s="107"/>
      <c r="DD67" s="107"/>
      <c r="DE67" s="107"/>
      <c r="DF67" s="107"/>
      <c r="DG67" s="107"/>
      <c r="DH67" s="107"/>
    </row>
    <row r="68" spans="7:112" ht="14.1" customHeight="1" x14ac:dyDescent="0.3">
      <c r="G68" s="106"/>
      <c r="H68" s="238"/>
      <c r="J68" s="210"/>
      <c r="K68" s="109" t="s">
        <v>78</v>
      </c>
      <c r="L68" s="110">
        <f>'[1]WACC Calc'!F378</f>
        <v>0.1</v>
      </c>
      <c r="M68" s="110">
        <f>'[1]WACC Calc'!G378</f>
        <v>0.1</v>
      </c>
      <c r="N68" s="110">
        <f>'[1]WACC Calc'!H378</f>
        <v>0.1</v>
      </c>
      <c r="O68" s="110">
        <f>'[1]WACC Calc'!I378</f>
        <v>0.1</v>
      </c>
      <c r="P68"/>
      <c r="Q68"/>
      <c r="R68"/>
      <c r="S68"/>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c r="BS68" s="107"/>
      <c r="BT68" s="107"/>
      <c r="BU68" s="107"/>
      <c r="BV68" s="107"/>
      <c r="BW68" s="107"/>
      <c r="BX68" s="107"/>
      <c r="BY68" s="107"/>
      <c r="BZ68" s="107"/>
      <c r="CA68" s="107"/>
      <c r="CB68" s="107"/>
      <c r="CC68" s="107"/>
      <c r="CD68" s="107"/>
      <c r="CE68" s="107"/>
      <c r="CF68" s="107"/>
      <c r="CG68" s="107"/>
      <c r="CH68" s="107"/>
      <c r="CI68" s="107"/>
      <c r="CJ68" s="107"/>
      <c r="CK68" s="107"/>
      <c r="CL68" s="107"/>
      <c r="CM68" s="107"/>
      <c r="CN68" s="107"/>
      <c r="CO68" s="107"/>
      <c r="CP68" s="107"/>
      <c r="CQ68" s="107"/>
      <c r="CR68" s="107"/>
      <c r="CS68" s="107"/>
      <c r="CT68" s="107"/>
      <c r="CU68" s="107"/>
      <c r="CV68" s="107"/>
      <c r="CW68" s="107"/>
      <c r="CX68" s="107"/>
      <c r="CY68" s="107"/>
      <c r="CZ68" s="107"/>
      <c r="DA68" s="107"/>
      <c r="DB68" s="107"/>
      <c r="DC68" s="107"/>
      <c r="DD68" s="107"/>
      <c r="DE68" s="107"/>
      <c r="DF68" s="107"/>
      <c r="DG68" s="107"/>
      <c r="DH68" s="107"/>
    </row>
    <row r="69" spans="7:112" ht="14.1" customHeight="1" x14ac:dyDescent="0.3">
      <c r="G69" s="106"/>
      <c r="H69" s="238"/>
      <c r="J69" s="210"/>
      <c r="K69" s="109" t="s">
        <v>79</v>
      </c>
      <c r="L69" s="110">
        <f>'[1]WACC Calc'!F379</f>
        <v>7.317073170731736E-2</v>
      </c>
      <c r="M69" s="110">
        <f>'[1]WACC Calc'!G379</f>
        <v>7.317073170731736E-2</v>
      </c>
      <c r="N69" s="110">
        <f>'[1]WACC Calc'!H379</f>
        <v>7.317073170731736E-2</v>
      </c>
      <c r="O69" s="110">
        <f>'[1]WACC Calc'!I379</f>
        <v>7.317073170731736E-2</v>
      </c>
      <c r="P69"/>
      <c r="Q69"/>
      <c r="R69"/>
      <c r="S69"/>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c r="BS69" s="107"/>
      <c r="BT69" s="107"/>
      <c r="BU69" s="107"/>
      <c r="BV69" s="107"/>
      <c r="BW69" s="107"/>
      <c r="BX69" s="107"/>
      <c r="BY69" s="107"/>
      <c r="BZ69" s="107"/>
      <c r="CA69" s="107"/>
      <c r="CB69" s="107"/>
      <c r="CC69" s="107"/>
      <c r="CD69" s="107"/>
      <c r="CE69" s="107"/>
      <c r="CF69" s="107"/>
      <c r="CG69" s="107"/>
      <c r="CH69" s="107"/>
      <c r="CI69" s="107"/>
      <c r="CJ69" s="107"/>
      <c r="CK69" s="107"/>
      <c r="CL69" s="107"/>
      <c r="CM69" s="107"/>
      <c r="CN69" s="107"/>
      <c r="CO69" s="107"/>
      <c r="CP69" s="107"/>
      <c r="CQ69" s="107"/>
      <c r="CR69" s="107"/>
      <c r="CS69" s="107"/>
      <c r="CT69" s="107"/>
      <c r="CU69" s="107"/>
      <c r="CV69" s="107"/>
      <c r="CW69" s="107"/>
      <c r="CX69" s="107"/>
      <c r="CY69" s="107"/>
      <c r="CZ69" s="107"/>
      <c r="DA69" s="107"/>
      <c r="DB69" s="107"/>
      <c r="DC69" s="107"/>
      <c r="DD69" s="107"/>
      <c r="DE69" s="107"/>
      <c r="DF69" s="107"/>
      <c r="DG69" s="107"/>
      <c r="DH69" s="107"/>
    </row>
    <row r="70" spans="7:112" ht="14.1" customHeight="1" x14ac:dyDescent="0.3">
      <c r="G70" s="106"/>
      <c r="H70" s="238"/>
      <c r="J70" s="210"/>
      <c r="K70" s="109" t="s">
        <v>47</v>
      </c>
      <c r="L70" s="110">
        <f>'[1]WACC Calc'!F380</f>
        <v>7.317073170731736E-2</v>
      </c>
      <c r="M70" s="110">
        <f>'[1]WACC Calc'!G380</f>
        <v>7.317073170731736E-2</v>
      </c>
      <c r="N70" s="110">
        <f>'[1]WACC Calc'!H380</f>
        <v>7.317073170731736E-2</v>
      </c>
      <c r="O70" s="110">
        <f>'[1]WACC Calc'!I380</f>
        <v>7.317073170731736E-2</v>
      </c>
      <c r="P70"/>
      <c r="Q70"/>
      <c r="R70"/>
      <c r="S70"/>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c r="BS70" s="107"/>
      <c r="BT70" s="107"/>
      <c r="BU70" s="107"/>
      <c r="BV70" s="107"/>
      <c r="BW70" s="107"/>
      <c r="BX70" s="107"/>
      <c r="BY70" s="107"/>
      <c r="BZ70" s="107"/>
      <c r="CA70" s="107"/>
      <c r="CB70" s="107"/>
      <c r="CC70" s="107"/>
      <c r="CD70" s="107"/>
      <c r="CE70" s="107"/>
      <c r="CF70" s="107"/>
      <c r="CG70" s="107"/>
      <c r="CH70" s="107"/>
      <c r="CI70" s="107"/>
      <c r="CJ70" s="107"/>
      <c r="CK70" s="107"/>
      <c r="CL70" s="107"/>
      <c r="CM70" s="107"/>
      <c r="CN70" s="107"/>
      <c r="CO70" s="107"/>
      <c r="CP70" s="107"/>
      <c r="CQ70" s="107"/>
      <c r="CR70" s="107"/>
      <c r="CS70" s="107"/>
      <c r="CT70" s="107"/>
      <c r="CU70" s="107"/>
      <c r="CV70" s="107"/>
      <c r="CW70" s="107"/>
      <c r="CX70" s="107"/>
      <c r="CY70" s="107"/>
      <c r="CZ70" s="107"/>
      <c r="DA70" s="107"/>
      <c r="DB70" s="107"/>
      <c r="DC70" s="107"/>
      <c r="DD70" s="107"/>
      <c r="DE70" s="107"/>
      <c r="DF70" s="107"/>
      <c r="DG70" s="107"/>
      <c r="DH70" s="107"/>
    </row>
    <row r="71" spans="7:112" ht="14.1" customHeight="1" x14ac:dyDescent="0.3">
      <c r="G71" s="106"/>
      <c r="H71" s="238"/>
      <c r="J71" s="210"/>
      <c r="K71" s="109" t="s">
        <v>80</v>
      </c>
      <c r="L71" s="110">
        <f>'[1]WACC Calc'!F381</f>
        <v>7.317073170731736E-2</v>
      </c>
      <c r="M71" s="110">
        <f>'[1]WACC Calc'!G381</f>
        <v>7.317073170731736E-2</v>
      </c>
      <c r="N71" s="110">
        <f>'[1]WACC Calc'!H381</f>
        <v>7.317073170731736E-2</v>
      </c>
      <c r="O71" s="110">
        <f>'[1]WACC Calc'!I381</f>
        <v>7.317073170731736E-2</v>
      </c>
      <c r="P71"/>
      <c r="Q71"/>
      <c r="R71"/>
      <c r="S71"/>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107"/>
      <c r="AY71" s="107"/>
      <c r="AZ71" s="107"/>
      <c r="BA71" s="107"/>
      <c r="BB71" s="107"/>
      <c r="BC71" s="107"/>
      <c r="BD71" s="107"/>
      <c r="BE71" s="107"/>
      <c r="BF71" s="107"/>
      <c r="BG71" s="107"/>
      <c r="BH71" s="107"/>
      <c r="BI71" s="107"/>
      <c r="BJ71" s="107"/>
      <c r="BK71" s="107"/>
      <c r="BL71" s="107"/>
      <c r="BM71" s="107"/>
      <c r="BN71" s="107"/>
      <c r="BO71" s="107"/>
      <c r="BP71" s="107"/>
      <c r="BQ71" s="107"/>
      <c r="BR71" s="107"/>
      <c r="BS71" s="107"/>
      <c r="BT71" s="107"/>
      <c r="BU71" s="107"/>
      <c r="BV71" s="107"/>
      <c r="BW71" s="107"/>
      <c r="BX71" s="107"/>
      <c r="BY71" s="107"/>
      <c r="BZ71" s="107"/>
      <c r="CA71" s="107"/>
      <c r="CB71" s="107"/>
      <c r="CC71" s="107"/>
      <c r="CD71" s="107"/>
      <c r="CE71" s="107"/>
      <c r="CF71" s="107"/>
      <c r="CG71" s="107"/>
      <c r="CH71" s="107"/>
      <c r="CI71" s="107"/>
      <c r="CJ71" s="107"/>
      <c r="CK71" s="107"/>
      <c r="CL71" s="107"/>
      <c r="CM71" s="107"/>
      <c r="CN71" s="107"/>
      <c r="CO71" s="107"/>
      <c r="CP71" s="107"/>
      <c r="CQ71" s="107"/>
      <c r="CR71" s="107"/>
      <c r="CS71" s="107"/>
      <c r="CT71" s="107"/>
      <c r="CU71" s="107"/>
      <c r="CV71" s="107"/>
      <c r="CW71" s="107"/>
      <c r="CX71" s="107"/>
      <c r="CY71" s="107"/>
      <c r="CZ71" s="107"/>
      <c r="DA71" s="107"/>
      <c r="DB71" s="107"/>
      <c r="DC71" s="107"/>
      <c r="DD71" s="107"/>
      <c r="DE71" s="107"/>
      <c r="DF71" s="107"/>
      <c r="DG71" s="107"/>
      <c r="DH71" s="107"/>
    </row>
    <row r="72" spans="7:112" ht="14.1" customHeight="1" x14ac:dyDescent="0.3">
      <c r="G72" s="106"/>
      <c r="H72" s="238"/>
      <c r="J72" s="210"/>
      <c r="K72" s="109" t="s">
        <v>81</v>
      </c>
      <c r="L72" s="110">
        <f>'[1]WACC Calc'!F382</f>
        <v>0.68500000000000005</v>
      </c>
      <c r="M72" s="110">
        <f>'[1]WACC Calc'!G382</f>
        <v>0.68500000000000005</v>
      </c>
      <c r="N72" s="110">
        <f>'[1]WACC Calc'!H382</f>
        <v>0.68500000000000005</v>
      </c>
      <c r="O72" s="110">
        <f>'[1]WACC Calc'!I382</f>
        <v>0.68500000000000005</v>
      </c>
      <c r="P72"/>
      <c r="Q72"/>
      <c r="R72"/>
      <c r="S72"/>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c r="BS72" s="107"/>
      <c r="BT72" s="107"/>
      <c r="BU72" s="107"/>
      <c r="BV72" s="107"/>
      <c r="BW72" s="107"/>
      <c r="BX72" s="107"/>
      <c r="BY72" s="107"/>
      <c r="BZ72" s="107"/>
      <c r="CA72" s="107"/>
      <c r="CB72" s="107"/>
      <c r="CC72" s="107"/>
      <c r="CD72" s="107"/>
      <c r="CE72" s="107"/>
      <c r="CF72" s="107"/>
      <c r="CG72" s="107"/>
      <c r="CH72" s="107"/>
      <c r="CI72" s="107"/>
      <c r="CJ72" s="107"/>
      <c r="CK72" s="107"/>
      <c r="CL72" s="107"/>
      <c r="CM72" s="107"/>
      <c r="CN72" s="107"/>
      <c r="CO72" s="107"/>
      <c r="CP72" s="107"/>
      <c r="CQ72" s="107"/>
      <c r="CR72" s="107"/>
      <c r="CS72" s="107"/>
      <c r="CT72" s="107"/>
      <c r="CU72" s="107"/>
      <c r="CV72" s="107"/>
      <c r="CW72" s="107"/>
      <c r="CX72" s="107"/>
      <c r="CY72" s="107"/>
      <c r="CZ72" s="107"/>
      <c r="DA72" s="107"/>
      <c r="DB72" s="107"/>
      <c r="DC72" s="107"/>
      <c r="DD72" s="107"/>
      <c r="DE72" s="107"/>
      <c r="DF72" s="107"/>
      <c r="DG72" s="107"/>
      <c r="DH72" s="107"/>
    </row>
    <row r="73" spans="7:112" ht="14.1" customHeight="1" x14ac:dyDescent="0.3">
      <c r="G73" s="106"/>
      <c r="H73" s="238"/>
      <c r="J73" s="210"/>
      <c r="K73" s="109" t="s">
        <v>48</v>
      </c>
      <c r="L73" s="110">
        <f>'[1]WACC Calc'!F383</f>
        <v>0.68500000000000005</v>
      </c>
      <c r="M73" s="110">
        <f>'[1]WACC Calc'!G383</f>
        <v>0.68500000000000005</v>
      </c>
      <c r="N73" s="110">
        <f>'[1]WACC Calc'!H383</f>
        <v>0.68500000000000005</v>
      </c>
      <c r="O73" s="110">
        <f>'[1]WACC Calc'!I383</f>
        <v>0.68500000000000005</v>
      </c>
      <c r="P73"/>
      <c r="Q73"/>
      <c r="R73"/>
      <c r="S73"/>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c r="BS73" s="107"/>
      <c r="BT73" s="107"/>
      <c r="BU73" s="107"/>
      <c r="BV73" s="107"/>
      <c r="BW73" s="107"/>
      <c r="BX73" s="107"/>
      <c r="BY73" s="107"/>
      <c r="BZ73" s="107"/>
      <c r="CA73" s="107"/>
      <c r="CB73" s="107"/>
      <c r="CC73" s="107"/>
      <c r="CD73" s="107"/>
      <c r="CE73" s="107"/>
      <c r="CF73" s="107"/>
      <c r="CG73" s="107"/>
      <c r="CH73" s="107"/>
      <c r="CI73" s="107"/>
      <c r="CJ73" s="107"/>
      <c r="CK73" s="107"/>
      <c r="CL73" s="107"/>
      <c r="CM73" s="107"/>
      <c r="CN73" s="107"/>
      <c r="CO73" s="107"/>
      <c r="CP73" s="107"/>
      <c r="CQ73" s="107"/>
      <c r="CR73" s="107"/>
      <c r="CS73" s="107"/>
      <c r="CT73" s="107"/>
      <c r="CU73" s="107"/>
      <c r="CV73" s="107"/>
      <c r="CW73" s="107"/>
      <c r="CX73" s="107"/>
      <c r="CY73" s="107"/>
      <c r="CZ73" s="107"/>
      <c r="DA73" s="107"/>
      <c r="DB73" s="107"/>
      <c r="DC73" s="107"/>
      <c r="DD73" s="107"/>
      <c r="DE73" s="107"/>
      <c r="DF73" s="107"/>
      <c r="DG73" s="107"/>
      <c r="DH73" s="107"/>
    </row>
    <row r="74" spans="7:112" ht="14.1" customHeight="1" x14ac:dyDescent="0.3">
      <c r="G74" s="106"/>
      <c r="H74" s="238"/>
      <c r="J74" s="210"/>
      <c r="K74" s="109" t="s">
        <v>82</v>
      </c>
      <c r="L74" s="110">
        <f>'[1]WACC Calc'!F384</f>
        <v>0.68500000000000005</v>
      </c>
      <c r="M74" s="110">
        <f>'[1]WACC Calc'!G384</f>
        <v>0.68500000000000005</v>
      </c>
      <c r="N74" s="110">
        <f>'[1]WACC Calc'!H384</f>
        <v>0.68500000000000005</v>
      </c>
      <c r="O74" s="110">
        <f>'[1]WACC Calc'!I384</f>
        <v>0.68500000000000005</v>
      </c>
      <c r="P74"/>
      <c r="Q74"/>
      <c r="R74"/>
      <c r="S74"/>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c r="BS74" s="107"/>
      <c r="BT74" s="107"/>
      <c r="BU74" s="107"/>
      <c r="BV74" s="107"/>
      <c r="BW74" s="107"/>
      <c r="BX74" s="107"/>
      <c r="BY74" s="107"/>
      <c r="BZ74" s="107"/>
      <c r="CA74" s="107"/>
      <c r="CB74" s="107"/>
      <c r="CC74" s="107"/>
      <c r="CD74" s="107"/>
      <c r="CE74" s="107"/>
      <c r="CF74" s="107"/>
      <c r="CG74" s="107"/>
      <c r="CH74" s="107"/>
      <c r="CI74" s="107"/>
      <c r="CJ74" s="107"/>
      <c r="CK74" s="107"/>
      <c r="CL74" s="107"/>
      <c r="CM74" s="107"/>
      <c r="CN74" s="107"/>
      <c r="CO74" s="107"/>
      <c r="CP74" s="107"/>
      <c r="CQ74" s="107"/>
      <c r="CR74" s="107"/>
      <c r="CS74" s="107"/>
      <c r="CT74" s="107"/>
      <c r="CU74" s="107"/>
      <c r="CV74" s="107"/>
      <c r="CW74" s="107"/>
      <c r="CX74" s="107"/>
      <c r="CY74" s="107"/>
      <c r="CZ74" s="107"/>
      <c r="DA74" s="107"/>
      <c r="DB74" s="107"/>
      <c r="DC74" s="107"/>
      <c r="DD74" s="107"/>
      <c r="DE74" s="107"/>
      <c r="DF74" s="107"/>
      <c r="DG74" s="107"/>
      <c r="DH74" s="107"/>
    </row>
    <row r="75" spans="7:112" ht="14.1" customHeight="1" x14ac:dyDescent="0.3">
      <c r="G75" s="106"/>
      <c r="H75" s="238"/>
      <c r="J75" s="210"/>
      <c r="K75" s="109" t="s">
        <v>49</v>
      </c>
      <c r="L75" s="110">
        <f>'[1]WACC Calc'!F385</f>
        <v>0.25740000000000002</v>
      </c>
      <c r="M75" s="110">
        <f>'[1]WACC Calc'!G385</f>
        <v>0.25740000000000002</v>
      </c>
      <c r="N75" s="110">
        <f>'[1]WACC Calc'!H385</f>
        <v>0.25740000000000002</v>
      </c>
      <c r="O75" s="110">
        <f>'[1]WACC Calc'!I385</f>
        <v>0.25740000000000002</v>
      </c>
      <c r="P75"/>
      <c r="Q75"/>
      <c r="R75"/>
      <c r="S75"/>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c r="BS75" s="107"/>
      <c r="BT75" s="107"/>
      <c r="BU75" s="107"/>
      <c r="BV75" s="107"/>
      <c r="BW75" s="107"/>
      <c r="BX75" s="107"/>
      <c r="BY75" s="107"/>
      <c r="BZ75" s="107"/>
      <c r="CA75" s="107"/>
      <c r="CB75" s="107"/>
      <c r="CC75" s="107"/>
      <c r="CD75" s="107"/>
      <c r="CE75" s="107"/>
      <c r="CF75" s="107"/>
      <c r="CG75" s="107"/>
      <c r="CH75" s="107"/>
      <c r="CI75" s="107"/>
      <c r="CJ75" s="107"/>
      <c r="CK75" s="107"/>
      <c r="CL75" s="107"/>
      <c r="CM75" s="107"/>
      <c r="CN75" s="107"/>
      <c r="CO75" s="107"/>
      <c r="CP75" s="107"/>
      <c r="CQ75" s="107"/>
      <c r="CR75" s="107"/>
      <c r="CS75" s="107"/>
      <c r="CT75" s="107"/>
      <c r="CU75" s="107"/>
      <c r="CV75" s="107"/>
      <c r="CW75" s="107"/>
      <c r="CX75" s="107"/>
      <c r="CY75" s="107"/>
      <c r="CZ75" s="107"/>
      <c r="DA75" s="107"/>
      <c r="DB75" s="107"/>
      <c r="DC75" s="107"/>
      <c r="DD75" s="107"/>
      <c r="DE75" s="107"/>
      <c r="DF75" s="107"/>
      <c r="DG75" s="107"/>
      <c r="DH75" s="107"/>
    </row>
    <row r="76" spans="7:112" ht="14.1" customHeight="1" x14ac:dyDescent="0.3">
      <c r="G76" s="106"/>
      <c r="H76" s="238"/>
      <c r="J76" s="210"/>
      <c r="K76" s="109" t="s">
        <v>83</v>
      </c>
      <c r="L76" s="110">
        <f>'[1]WACC Calc'!F386</f>
        <v>5.1847239999999996E-2</v>
      </c>
      <c r="M76" s="110">
        <f>'[1]WACC Calc'!G386</f>
        <v>5.1847239999999996E-2</v>
      </c>
      <c r="N76" s="110">
        <f>'[1]WACC Calc'!H386</f>
        <v>5.1847239999999996E-2</v>
      </c>
      <c r="O76" s="110">
        <f>'[1]WACC Calc'!I386</f>
        <v>5.1847239999999996E-2</v>
      </c>
      <c r="P76"/>
      <c r="Q76"/>
      <c r="R76"/>
      <c r="S76"/>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c r="BS76" s="107"/>
      <c r="BT76" s="107"/>
      <c r="BU76" s="107"/>
      <c r="BV76" s="107"/>
      <c r="BW76" s="107"/>
      <c r="BX76" s="107"/>
      <c r="BY76" s="107"/>
      <c r="BZ76" s="107"/>
      <c r="CA76" s="107"/>
      <c r="CB76" s="107"/>
      <c r="CC76" s="107"/>
      <c r="CD76" s="107"/>
      <c r="CE76" s="107"/>
      <c r="CF76" s="107"/>
      <c r="CG76" s="107"/>
      <c r="CH76" s="107"/>
      <c r="CI76" s="107"/>
      <c r="CJ76" s="107"/>
      <c r="CK76" s="107"/>
      <c r="CL76" s="107"/>
      <c r="CM76" s="107"/>
      <c r="CN76" s="107"/>
      <c r="CO76" s="107"/>
      <c r="CP76" s="107"/>
      <c r="CQ76" s="107"/>
      <c r="CR76" s="107"/>
      <c r="CS76" s="107"/>
      <c r="CT76" s="107"/>
      <c r="CU76" s="107"/>
      <c r="CV76" s="107"/>
      <c r="CW76" s="107"/>
      <c r="CX76" s="107"/>
      <c r="CY76" s="107"/>
      <c r="CZ76" s="107"/>
      <c r="DA76" s="107"/>
      <c r="DB76" s="107"/>
      <c r="DC76" s="107"/>
      <c r="DD76" s="107"/>
      <c r="DE76" s="107"/>
      <c r="DF76" s="107"/>
      <c r="DG76" s="107"/>
      <c r="DH76" s="107"/>
    </row>
    <row r="77" spans="7:112" ht="14.1" customHeight="1" x14ac:dyDescent="0.3">
      <c r="G77" s="106"/>
      <c r="H77" s="238"/>
      <c r="J77" s="210"/>
      <c r="K77" s="109" t="s">
        <v>50</v>
      </c>
      <c r="L77" s="110">
        <f>'[1]WACC Calc'!F387</f>
        <v>5.1847239999999996E-2</v>
      </c>
      <c r="M77" s="110">
        <f>'[1]WACC Calc'!G387</f>
        <v>5.1847239999999996E-2</v>
      </c>
      <c r="N77" s="110">
        <f>'[1]WACC Calc'!H387</f>
        <v>5.1847239999999996E-2</v>
      </c>
      <c r="O77" s="110">
        <f>'[1]WACC Calc'!I387</f>
        <v>5.1847239999999996E-2</v>
      </c>
      <c r="P77"/>
      <c r="Q77"/>
      <c r="R77"/>
      <c r="S7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c r="BS77" s="107"/>
      <c r="BT77" s="107"/>
      <c r="BU77" s="107"/>
      <c r="BV77" s="107"/>
      <c r="BW77" s="107"/>
      <c r="BX77" s="107"/>
      <c r="BY77" s="107"/>
      <c r="BZ77" s="107"/>
      <c r="CA77" s="107"/>
      <c r="CB77" s="107"/>
      <c r="CC77" s="107"/>
      <c r="CD77" s="107"/>
      <c r="CE77" s="107"/>
      <c r="CF77" s="107"/>
      <c r="CG77" s="107"/>
      <c r="CH77" s="107"/>
      <c r="CI77" s="107"/>
      <c r="CJ77" s="107"/>
      <c r="CK77" s="107"/>
      <c r="CL77" s="107"/>
      <c r="CM77" s="107"/>
      <c r="CN77" s="107"/>
      <c r="CO77" s="107"/>
      <c r="CP77" s="107"/>
      <c r="CQ77" s="107"/>
      <c r="CR77" s="107"/>
      <c r="CS77" s="107"/>
      <c r="CT77" s="107"/>
      <c r="CU77" s="107"/>
      <c r="CV77" s="107"/>
      <c r="CW77" s="107"/>
      <c r="CX77" s="107"/>
      <c r="CY77" s="107"/>
      <c r="CZ77" s="107"/>
      <c r="DA77" s="107"/>
      <c r="DB77" s="107"/>
      <c r="DC77" s="107"/>
      <c r="DD77" s="107"/>
      <c r="DE77" s="107"/>
      <c r="DF77" s="107"/>
      <c r="DG77" s="107"/>
      <c r="DH77" s="107"/>
    </row>
    <row r="78" spans="7:112" ht="14.1" customHeight="1" x14ac:dyDescent="0.3">
      <c r="G78" s="106"/>
      <c r="H78" s="238"/>
      <c r="J78" s="210"/>
      <c r="K78" s="109" t="s">
        <v>84</v>
      </c>
      <c r="L78" s="110">
        <f>'[1]WACC Calc'!F388</f>
        <v>5.1847239999999996E-2</v>
      </c>
      <c r="M78" s="110">
        <f>'[1]WACC Calc'!G388</f>
        <v>5.1847239999999996E-2</v>
      </c>
      <c r="N78" s="110">
        <f>'[1]WACC Calc'!H388</f>
        <v>5.1847239999999996E-2</v>
      </c>
      <c r="O78" s="110">
        <f>'[1]WACC Calc'!I388</f>
        <v>5.1847239999999996E-2</v>
      </c>
      <c r="P78"/>
      <c r="Q78"/>
      <c r="R78"/>
      <c r="S78"/>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c r="BC78" s="107"/>
      <c r="BD78" s="107"/>
      <c r="BE78" s="107"/>
      <c r="BF78" s="107"/>
      <c r="BG78" s="107"/>
      <c r="BH78" s="107"/>
      <c r="BI78" s="107"/>
      <c r="BJ78" s="107"/>
      <c r="BK78" s="107"/>
      <c r="BL78" s="107"/>
      <c r="BM78" s="107"/>
      <c r="BN78" s="107"/>
      <c r="BO78" s="107"/>
      <c r="BP78" s="107"/>
      <c r="BQ78" s="107"/>
      <c r="BR78" s="107"/>
      <c r="BS78" s="107"/>
      <c r="BT78" s="107"/>
      <c r="BU78" s="107"/>
      <c r="BV78" s="107"/>
      <c r="BW78" s="107"/>
      <c r="BX78" s="107"/>
      <c r="BY78" s="107"/>
      <c r="BZ78" s="107"/>
      <c r="CA78" s="107"/>
      <c r="CB78" s="107"/>
      <c r="CC78" s="107"/>
      <c r="CD78" s="107"/>
      <c r="CE78" s="107"/>
      <c r="CF78" s="107"/>
      <c r="CG78" s="107"/>
      <c r="CH78" s="107"/>
      <c r="CI78" s="107"/>
      <c r="CJ78" s="107"/>
      <c r="CK78" s="107"/>
      <c r="CL78" s="107"/>
      <c r="CM78" s="107"/>
      <c r="CN78" s="107"/>
      <c r="CO78" s="107"/>
      <c r="CP78" s="107"/>
      <c r="CQ78" s="107"/>
      <c r="CR78" s="107"/>
      <c r="CS78" s="107"/>
      <c r="CT78" s="107"/>
      <c r="CU78" s="107"/>
      <c r="CV78" s="107"/>
      <c r="CW78" s="107"/>
      <c r="CX78" s="107"/>
      <c r="CY78" s="107"/>
      <c r="CZ78" s="107"/>
      <c r="DA78" s="107"/>
      <c r="DB78" s="107"/>
      <c r="DC78" s="107"/>
      <c r="DD78" s="107"/>
      <c r="DE78" s="107"/>
      <c r="DF78" s="107"/>
      <c r="DG78" s="107"/>
      <c r="DH78" s="107"/>
    </row>
    <row r="79" spans="7:112" ht="14.1" customHeight="1" x14ac:dyDescent="0.3">
      <c r="G79" s="106"/>
      <c r="H79" s="238"/>
      <c r="J79" s="210"/>
      <c r="K79" s="109" t="s">
        <v>85</v>
      </c>
      <c r="L79" s="110">
        <f>'[1]WACC Calc'!F389</f>
        <v>2.6192429268292905E-2</v>
      </c>
      <c r="M79" s="110">
        <f>'[1]WACC Calc'!G389</f>
        <v>2.6192429268292905E-2</v>
      </c>
      <c r="N79" s="110">
        <f>'[1]WACC Calc'!H389</f>
        <v>2.6192429268292905E-2</v>
      </c>
      <c r="O79" s="110">
        <f>'[1]WACC Calc'!I389</f>
        <v>2.6192429268292905E-2</v>
      </c>
      <c r="P79"/>
      <c r="Q79"/>
      <c r="R79"/>
      <c r="S79"/>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c r="BS79" s="107"/>
      <c r="BT79" s="107"/>
      <c r="BU79" s="107"/>
      <c r="BV79" s="107"/>
      <c r="BW79" s="107"/>
      <c r="BX79" s="107"/>
      <c r="BY79" s="107"/>
      <c r="BZ79" s="107"/>
      <c r="CA79" s="107"/>
      <c r="CB79" s="107"/>
      <c r="CC79" s="107"/>
      <c r="CD79" s="107"/>
      <c r="CE79" s="107"/>
      <c r="CF79" s="107"/>
      <c r="CG79" s="107"/>
      <c r="CH79" s="107"/>
      <c r="CI79" s="107"/>
      <c r="CJ79" s="107"/>
      <c r="CK79" s="107"/>
      <c r="CL79" s="107"/>
      <c r="CM79" s="107"/>
      <c r="CN79" s="107"/>
      <c r="CO79" s="107"/>
      <c r="CP79" s="107"/>
      <c r="CQ79" s="107"/>
      <c r="CR79" s="107"/>
      <c r="CS79" s="107"/>
      <c r="CT79" s="107"/>
      <c r="CU79" s="107"/>
      <c r="CV79" s="107"/>
      <c r="CW79" s="107"/>
      <c r="CX79" s="107"/>
      <c r="CY79" s="107"/>
      <c r="CZ79" s="107"/>
      <c r="DA79" s="107"/>
      <c r="DB79" s="107"/>
      <c r="DC79" s="107"/>
      <c r="DD79" s="107"/>
      <c r="DE79" s="107"/>
      <c r="DF79" s="107"/>
      <c r="DG79" s="107"/>
      <c r="DH79" s="107"/>
    </row>
    <row r="80" spans="7:112" ht="14.1" customHeight="1" x14ac:dyDescent="0.3">
      <c r="G80" s="106"/>
      <c r="H80" s="238"/>
      <c r="J80" s="210"/>
      <c r="K80" s="109" t="s">
        <v>51</v>
      </c>
      <c r="L80" s="110">
        <f>'[1]WACC Calc'!F390</f>
        <v>2.6192429268292905E-2</v>
      </c>
      <c r="M80" s="110">
        <f>'[1]WACC Calc'!G390</f>
        <v>2.6192429268292905E-2</v>
      </c>
      <c r="N80" s="110">
        <f>'[1]WACC Calc'!H390</f>
        <v>2.6192429268292905E-2</v>
      </c>
      <c r="O80" s="110">
        <f>'[1]WACC Calc'!I390</f>
        <v>2.6192429268292905E-2</v>
      </c>
      <c r="P80"/>
      <c r="Q80"/>
      <c r="R80"/>
      <c r="S80"/>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c r="BS80" s="107"/>
      <c r="BT80" s="107"/>
      <c r="BU80" s="107"/>
      <c r="BV80" s="107"/>
      <c r="BW80" s="107"/>
      <c r="BX80" s="107"/>
      <c r="BY80" s="107"/>
      <c r="BZ80" s="107"/>
      <c r="CA80" s="107"/>
      <c r="CB80" s="107"/>
      <c r="CC80" s="107"/>
      <c r="CD80" s="107"/>
      <c r="CE80" s="107"/>
      <c r="CF80" s="107"/>
      <c r="CG80" s="107"/>
      <c r="CH80" s="107"/>
      <c r="CI80" s="107"/>
      <c r="CJ80" s="107"/>
      <c r="CK80" s="107"/>
      <c r="CL80" s="107"/>
      <c r="CM80" s="107"/>
      <c r="CN80" s="107"/>
      <c r="CO80" s="107"/>
      <c r="CP80" s="107"/>
      <c r="CQ80" s="107"/>
      <c r="CR80" s="107"/>
      <c r="CS80" s="107"/>
      <c r="CT80" s="107"/>
      <c r="CU80" s="107"/>
      <c r="CV80" s="107"/>
      <c r="CW80" s="107"/>
      <c r="CX80" s="107"/>
      <c r="CY80" s="107"/>
      <c r="CZ80" s="107"/>
      <c r="DA80" s="107"/>
      <c r="DB80" s="107"/>
      <c r="DC80" s="107"/>
      <c r="DD80" s="107"/>
      <c r="DE80" s="107"/>
      <c r="DF80" s="107"/>
      <c r="DG80" s="107"/>
      <c r="DH80" s="107"/>
    </row>
    <row r="81" spans="4:112" ht="14.1" customHeight="1" x14ac:dyDescent="0.3">
      <c r="G81" s="106"/>
      <c r="H81" s="238"/>
      <c r="J81" s="210"/>
      <c r="K81" s="109" t="s">
        <v>86</v>
      </c>
      <c r="L81" s="110">
        <f>'[1]WACC Calc'!F391</f>
        <v>2.6192429268292905E-2</v>
      </c>
      <c r="M81" s="110">
        <f>'[1]WACC Calc'!G391</f>
        <v>2.6192429268292905E-2</v>
      </c>
      <c r="N81" s="110">
        <f>'[1]WACC Calc'!H391</f>
        <v>2.6192429268292905E-2</v>
      </c>
      <c r="O81" s="110">
        <f>'[1]WACC Calc'!I391</f>
        <v>2.6192429268292905E-2</v>
      </c>
      <c r="P81"/>
      <c r="Q81"/>
      <c r="R81"/>
      <c r="S81"/>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c r="BS81" s="107"/>
      <c r="BT81" s="107"/>
      <c r="BU81" s="107"/>
      <c r="BV81" s="107"/>
      <c r="BW81" s="107"/>
      <c r="BX81" s="107"/>
      <c r="BY81" s="107"/>
      <c r="BZ81" s="107"/>
      <c r="CA81" s="107"/>
      <c r="CB81" s="107"/>
      <c r="CC81" s="107"/>
      <c r="CD81" s="107"/>
      <c r="CE81" s="107"/>
      <c r="CF81" s="107"/>
      <c r="CG81" s="107"/>
      <c r="CH81" s="107"/>
      <c r="CI81" s="107"/>
      <c r="CJ81" s="107"/>
      <c r="CK81" s="107"/>
      <c r="CL81" s="107"/>
      <c r="CM81" s="107"/>
      <c r="CN81" s="107"/>
      <c r="CO81" s="107"/>
      <c r="CP81" s="107"/>
      <c r="CQ81" s="107"/>
      <c r="CR81" s="107"/>
      <c r="CS81" s="107"/>
      <c r="CT81" s="107"/>
      <c r="CU81" s="107"/>
      <c r="CV81" s="107"/>
      <c r="CW81" s="107"/>
      <c r="CX81" s="107"/>
      <c r="CY81" s="107"/>
      <c r="CZ81" s="107"/>
      <c r="DA81" s="107"/>
      <c r="DB81" s="107"/>
      <c r="DC81" s="107"/>
      <c r="DD81" s="107"/>
      <c r="DE81" s="107"/>
      <c r="DF81" s="107"/>
      <c r="DG81" s="107"/>
      <c r="DH81" s="107"/>
    </row>
    <row r="82" spans="4:112" ht="14.1" customHeight="1" x14ac:dyDescent="0.3">
      <c r="G82" s="106"/>
      <c r="H82" s="238"/>
      <c r="J82" s="210"/>
      <c r="K82" s="111" t="s">
        <v>87</v>
      </c>
      <c r="L82" s="110">
        <f t="shared" ref="L82:O87" si="2" xml:space="preserve"> L76 / (1 - (1 / (1 + L76)^$N$32))</f>
        <v>6.642760701924641E-2</v>
      </c>
      <c r="M82" s="110">
        <f t="shared" si="2"/>
        <v>6.642760701924641E-2</v>
      </c>
      <c r="N82" s="110">
        <f t="shared" si="2"/>
        <v>6.642760701924641E-2</v>
      </c>
      <c r="O82" s="110">
        <f t="shared" si="2"/>
        <v>6.642760701924641E-2</v>
      </c>
      <c r="P82"/>
      <c r="Q82"/>
      <c r="R82"/>
      <c r="S82"/>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c r="BS82" s="107"/>
      <c r="BT82" s="107"/>
      <c r="BU82" s="107"/>
      <c r="BV82" s="107"/>
      <c r="BW82" s="107"/>
      <c r="BX82" s="107"/>
      <c r="BY82" s="107"/>
      <c r="BZ82" s="107"/>
      <c r="CA82" s="107"/>
      <c r="CB82" s="107"/>
      <c r="CC82" s="107"/>
      <c r="CD82" s="107"/>
      <c r="CE82" s="107"/>
      <c r="CF82" s="107"/>
      <c r="CG82" s="107"/>
      <c r="CH82" s="107"/>
      <c r="CI82" s="107"/>
      <c r="CJ82" s="107"/>
      <c r="CK82" s="107"/>
      <c r="CL82" s="107"/>
      <c r="CM82" s="107"/>
      <c r="CN82" s="107"/>
      <c r="CO82" s="107"/>
      <c r="CP82" s="107"/>
      <c r="CQ82" s="107"/>
      <c r="CR82" s="107"/>
      <c r="CS82" s="107"/>
      <c r="CT82" s="107"/>
      <c r="CU82" s="107"/>
      <c r="CV82" s="107"/>
      <c r="CW82" s="107"/>
      <c r="CX82" s="107"/>
      <c r="CY82" s="107"/>
      <c r="CZ82" s="107"/>
      <c r="DA82" s="107"/>
      <c r="DB82" s="107"/>
      <c r="DC82" s="107"/>
      <c r="DD82" s="107"/>
      <c r="DE82" s="107"/>
      <c r="DF82" s="107"/>
      <c r="DG82" s="107"/>
      <c r="DH82" s="107"/>
    </row>
    <row r="83" spans="4:112" ht="14.1" customHeight="1" x14ac:dyDescent="0.3">
      <c r="G83" s="106"/>
      <c r="H83" s="238"/>
      <c r="J83" s="210"/>
      <c r="K83" s="111" t="s">
        <v>56</v>
      </c>
      <c r="L83" s="110">
        <f t="shared" si="2"/>
        <v>6.642760701924641E-2</v>
      </c>
      <c r="M83" s="110">
        <f t="shared" si="2"/>
        <v>6.642760701924641E-2</v>
      </c>
      <c r="N83" s="110">
        <f t="shared" si="2"/>
        <v>6.642760701924641E-2</v>
      </c>
      <c r="O83" s="110">
        <f t="shared" si="2"/>
        <v>6.642760701924641E-2</v>
      </c>
      <c r="P83"/>
      <c r="Q83"/>
      <c r="R83"/>
      <c r="S83"/>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c r="BS83" s="107"/>
      <c r="BT83" s="107"/>
      <c r="BU83" s="107"/>
      <c r="BV83" s="107"/>
      <c r="BW83" s="107"/>
      <c r="BX83" s="107"/>
      <c r="BY83" s="107"/>
      <c r="BZ83" s="107"/>
      <c r="CA83" s="107"/>
      <c r="CB83" s="107"/>
      <c r="CC83" s="107"/>
      <c r="CD83" s="107"/>
      <c r="CE83" s="107"/>
      <c r="CF83" s="107"/>
      <c r="CG83" s="107"/>
      <c r="CH83" s="107"/>
      <c r="CI83" s="107"/>
      <c r="CJ83" s="107"/>
      <c r="CK83" s="107"/>
      <c r="CL83" s="107"/>
      <c r="CM83" s="107"/>
      <c r="CN83" s="107"/>
      <c r="CO83" s="107"/>
      <c r="CP83" s="107"/>
      <c r="CQ83" s="107"/>
      <c r="CR83" s="107"/>
      <c r="CS83" s="107"/>
      <c r="CT83" s="107"/>
      <c r="CU83" s="107"/>
      <c r="CV83" s="107"/>
      <c r="CW83" s="107"/>
      <c r="CX83" s="107"/>
      <c r="CY83" s="107"/>
      <c r="CZ83" s="107"/>
      <c r="DA83" s="107"/>
      <c r="DB83" s="107"/>
      <c r="DC83" s="107"/>
      <c r="DD83" s="107"/>
      <c r="DE83" s="107"/>
      <c r="DF83" s="107"/>
      <c r="DG83" s="107"/>
      <c r="DH83" s="107"/>
    </row>
    <row r="84" spans="4:112" ht="14.1" customHeight="1" x14ac:dyDescent="0.3">
      <c r="G84" s="106"/>
      <c r="H84" s="238"/>
      <c r="J84" s="210"/>
      <c r="K84" s="111" t="s">
        <v>88</v>
      </c>
      <c r="L84" s="110">
        <f t="shared" si="2"/>
        <v>6.642760701924641E-2</v>
      </c>
      <c r="M84" s="110">
        <f t="shared" si="2"/>
        <v>6.642760701924641E-2</v>
      </c>
      <c r="N84" s="110">
        <f t="shared" si="2"/>
        <v>6.642760701924641E-2</v>
      </c>
      <c r="O84" s="110">
        <f t="shared" si="2"/>
        <v>6.642760701924641E-2</v>
      </c>
      <c r="P84"/>
      <c r="Q84"/>
      <c r="R84"/>
      <c r="S84"/>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c r="BS84" s="107"/>
      <c r="BT84" s="107"/>
      <c r="BU84" s="107"/>
      <c r="BV84" s="107"/>
      <c r="BW84" s="107"/>
      <c r="BX84" s="107"/>
      <c r="BY84" s="107"/>
      <c r="BZ84" s="107"/>
      <c r="CA84" s="107"/>
      <c r="CB84" s="107"/>
      <c r="CC84" s="107"/>
      <c r="CD84" s="107"/>
      <c r="CE84" s="107"/>
      <c r="CF84" s="107"/>
      <c r="CG84" s="107"/>
      <c r="CH84" s="107"/>
      <c r="CI84" s="107"/>
      <c r="CJ84" s="107"/>
      <c r="CK84" s="107"/>
      <c r="CL84" s="107"/>
      <c r="CM84" s="107"/>
      <c r="CN84" s="107"/>
      <c r="CO84" s="107"/>
      <c r="CP84" s="107"/>
      <c r="CQ84" s="107"/>
      <c r="CR84" s="107"/>
      <c r="CS84" s="107"/>
      <c r="CT84" s="107"/>
      <c r="CU84" s="107"/>
      <c r="CV84" s="107"/>
      <c r="CW84" s="107"/>
      <c r="CX84" s="107"/>
      <c r="CY84" s="107"/>
      <c r="CZ84" s="107"/>
      <c r="DA84" s="107"/>
      <c r="DB84" s="107"/>
      <c r="DC84" s="107"/>
      <c r="DD84" s="107"/>
      <c r="DE84" s="107"/>
      <c r="DF84" s="107"/>
      <c r="DG84" s="107"/>
      <c r="DH84" s="107"/>
    </row>
    <row r="85" spans="4:112" ht="14.1" customHeight="1" x14ac:dyDescent="0.3">
      <c r="G85" s="106"/>
      <c r="H85" s="238"/>
      <c r="J85" s="210"/>
      <c r="K85" s="111" t="s">
        <v>89</v>
      </c>
      <c r="L85" s="110">
        <f t="shared" si="2"/>
        <v>4.854050177050856E-2</v>
      </c>
      <c r="M85" s="110">
        <f t="shared" si="2"/>
        <v>4.854050177050856E-2</v>
      </c>
      <c r="N85" s="110">
        <f t="shared" si="2"/>
        <v>4.854050177050856E-2</v>
      </c>
      <c r="O85" s="110">
        <f t="shared" si="2"/>
        <v>4.854050177050856E-2</v>
      </c>
      <c r="P85"/>
      <c r="Q85"/>
      <c r="R85"/>
      <c r="S85"/>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c r="BS85" s="107"/>
      <c r="BT85" s="107"/>
      <c r="BU85" s="107"/>
      <c r="BV85" s="107"/>
      <c r="BW85" s="107"/>
      <c r="BX85" s="107"/>
      <c r="BY85" s="107"/>
      <c r="BZ85" s="107"/>
      <c r="CA85" s="107"/>
      <c r="CB85" s="107"/>
      <c r="CC85" s="107"/>
      <c r="CD85" s="107"/>
      <c r="CE85" s="107"/>
      <c r="CF85" s="107"/>
      <c r="CG85" s="107"/>
      <c r="CH85" s="107"/>
      <c r="CI85" s="107"/>
      <c r="CJ85" s="107"/>
      <c r="CK85" s="107"/>
      <c r="CL85" s="107"/>
      <c r="CM85" s="107"/>
      <c r="CN85" s="107"/>
      <c r="CO85" s="107"/>
      <c r="CP85" s="107"/>
      <c r="CQ85" s="107"/>
      <c r="CR85" s="107"/>
      <c r="CS85" s="107"/>
      <c r="CT85" s="107"/>
      <c r="CU85" s="107"/>
      <c r="CV85" s="107"/>
      <c r="CW85" s="107"/>
      <c r="CX85" s="107"/>
      <c r="CY85" s="107"/>
      <c r="CZ85" s="107"/>
      <c r="DA85" s="107"/>
      <c r="DB85" s="107"/>
      <c r="DC85" s="107"/>
      <c r="DD85" s="107"/>
      <c r="DE85" s="107"/>
      <c r="DF85" s="107"/>
      <c r="DG85" s="107"/>
      <c r="DH85" s="107"/>
    </row>
    <row r="86" spans="4:112" ht="14.1" customHeight="1" x14ac:dyDescent="0.3">
      <c r="G86" s="106"/>
      <c r="H86" s="238"/>
      <c r="J86" s="112"/>
      <c r="K86" s="111" t="s">
        <v>57</v>
      </c>
      <c r="L86" s="110">
        <f t="shared" si="2"/>
        <v>4.854050177050856E-2</v>
      </c>
      <c r="M86" s="110">
        <f t="shared" si="2"/>
        <v>4.854050177050856E-2</v>
      </c>
      <c r="N86" s="110">
        <f t="shared" si="2"/>
        <v>4.854050177050856E-2</v>
      </c>
      <c r="O86" s="110">
        <f t="shared" si="2"/>
        <v>4.854050177050856E-2</v>
      </c>
      <c r="P86"/>
      <c r="Q86"/>
      <c r="R86"/>
      <c r="S86"/>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c r="BS86" s="107"/>
      <c r="BT86" s="107"/>
      <c r="BU86" s="107"/>
      <c r="BV86" s="107"/>
      <c r="BW86" s="107"/>
      <c r="BX86" s="107"/>
      <c r="BY86" s="107"/>
      <c r="BZ86" s="107"/>
      <c r="CA86" s="107"/>
      <c r="CB86" s="107"/>
      <c r="CC86" s="107"/>
      <c r="CD86" s="107"/>
      <c r="CE86" s="107"/>
      <c r="CF86" s="107"/>
      <c r="CG86" s="107"/>
      <c r="CH86" s="107"/>
      <c r="CI86" s="107"/>
      <c r="CJ86" s="107"/>
      <c r="CK86" s="107"/>
      <c r="CL86" s="107"/>
      <c r="CM86" s="107"/>
      <c r="CN86" s="107"/>
      <c r="CO86" s="107"/>
      <c r="CP86" s="107"/>
      <c r="CQ86" s="107"/>
      <c r="CR86" s="107"/>
      <c r="CS86" s="107"/>
      <c r="CT86" s="107"/>
      <c r="CU86" s="107"/>
      <c r="CV86" s="107"/>
      <c r="CW86" s="107"/>
      <c r="CX86" s="107"/>
      <c r="CY86" s="107"/>
      <c r="CZ86" s="107"/>
      <c r="DA86" s="107"/>
      <c r="DB86" s="107"/>
      <c r="DC86" s="107"/>
      <c r="DD86" s="107"/>
      <c r="DE86" s="107"/>
      <c r="DF86" s="107"/>
      <c r="DG86" s="107"/>
      <c r="DH86" s="107"/>
    </row>
    <row r="87" spans="4:112" ht="14.1" customHeight="1" x14ac:dyDescent="0.3">
      <c r="G87" s="106"/>
      <c r="H87" s="238"/>
      <c r="J87" s="112"/>
      <c r="K87" s="111" t="s">
        <v>90</v>
      </c>
      <c r="L87" s="110">
        <f t="shared" si="2"/>
        <v>4.854050177050856E-2</v>
      </c>
      <c r="M87" s="110">
        <f t="shared" si="2"/>
        <v>4.854050177050856E-2</v>
      </c>
      <c r="N87" s="110">
        <f t="shared" si="2"/>
        <v>4.854050177050856E-2</v>
      </c>
      <c r="O87" s="110">
        <f t="shared" si="2"/>
        <v>4.854050177050856E-2</v>
      </c>
      <c r="P87"/>
      <c r="Q87"/>
      <c r="R87"/>
      <c r="S8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c r="BS87" s="107"/>
      <c r="BT87" s="107"/>
      <c r="BU87" s="107"/>
      <c r="BV87" s="107"/>
      <c r="BW87" s="107"/>
      <c r="BX87" s="107"/>
      <c r="BY87" s="107"/>
      <c r="BZ87" s="107"/>
      <c r="CA87" s="107"/>
      <c r="CB87" s="107"/>
      <c r="CC87" s="107"/>
      <c r="CD87" s="107"/>
      <c r="CE87" s="107"/>
      <c r="CF87" s="107"/>
      <c r="CG87" s="107"/>
      <c r="CH87" s="107"/>
      <c r="CI87" s="107"/>
      <c r="CJ87" s="107"/>
      <c r="CK87" s="107"/>
      <c r="CL87" s="107"/>
      <c r="CM87" s="107"/>
      <c r="CN87" s="107"/>
      <c r="CO87" s="107"/>
      <c r="CP87" s="107"/>
      <c r="CQ87" s="107"/>
      <c r="CR87" s="107"/>
      <c r="CS87" s="107"/>
      <c r="CT87" s="107"/>
      <c r="CU87" s="107"/>
      <c r="CV87" s="107"/>
      <c r="CW87" s="107"/>
      <c r="CX87" s="107"/>
      <c r="CY87" s="107"/>
      <c r="CZ87" s="107"/>
      <c r="DA87" s="107"/>
      <c r="DB87" s="107"/>
      <c r="DC87" s="107"/>
      <c r="DD87" s="107"/>
      <c r="DE87" s="107"/>
      <c r="DF87" s="107"/>
      <c r="DG87" s="107"/>
      <c r="DH87" s="107"/>
    </row>
    <row r="88" spans="4:112" ht="14.1" customHeight="1" x14ac:dyDescent="0.3">
      <c r="P88"/>
      <c r="Q88"/>
      <c r="R88"/>
      <c r="S88"/>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c r="BC88" s="107"/>
      <c r="BD88" s="107"/>
      <c r="BE88" s="107"/>
      <c r="BF88" s="107"/>
      <c r="BG88" s="107"/>
      <c r="BH88" s="107"/>
      <c r="BI88" s="107"/>
      <c r="BJ88" s="107"/>
      <c r="BK88" s="107"/>
      <c r="BL88" s="107"/>
      <c r="BM88" s="107"/>
      <c r="BN88" s="107"/>
      <c r="BO88" s="107"/>
      <c r="BP88" s="107"/>
      <c r="BQ88" s="107"/>
      <c r="BR88" s="107"/>
      <c r="BS88" s="107"/>
      <c r="BT88" s="107"/>
      <c r="BU88" s="107"/>
      <c r="BV88" s="107"/>
      <c r="BW88" s="107"/>
      <c r="BX88" s="107"/>
      <c r="BY88" s="107"/>
      <c r="BZ88" s="107"/>
      <c r="CA88" s="107"/>
      <c r="CB88" s="107"/>
      <c r="CC88" s="107"/>
      <c r="CD88" s="107"/>
      <c r="CE88" s="107"/>
      <c r="CF88" s="107"/>
      <c r="CG88" s="107"/>
      <c r="CH88" s="107"/>
      <c r="CI88" s="107"/>
      <c r="CJ88" s="107"/>
      <c r="CK88" s="107"/>
      <c r="CL88" s="107"/>
      <c r="CM88" s="107"/>
      <c r="CN88" s="107"/>
      <c r="CO88" s="107"/>
      <c r="CP88" s="107"/>
      <c r="CQ88" s="107"/>
      <c r="CR88" s="107"/>
      <c r="CS88" s="107"/>
      <c r="CT88" s="107"/>
      <c r="CU88" s="107"/>
      <c r="CV88" s="107"/>
      <c r="CW88" s="107"/>
      <c r="CX88" s="107"/>
      <c r="CY88" s="107"/>
      <c r="CZ88" s="107"/>
      <c r="DA88" s="107"/>
      <c r="DB88" s="107"/>
      <c r="DC88" s="107"/>
      <c r="DD88" s="107"/>
      <c r="DE88" s="107"/>
      <c r="DF88" s="107"/>
      <c r="DG88" s="107"/>
      <c r="DH88" s="107"/>
    </row>
    <row r="89" spans="4:112" ht="14.1" customHeight="1" x14ac:dyDescent="0.3">
      <c r="G89" s="113"/>
      <c r="H89" s="114"/>
      <c r="I89" s="114"/>
      <c r="J89" s="114"/>
      <c r="K89" s="114"/>
      <c r="L89" s="114"/>
      <c r="M89" s="114"/>
      <c r="N89" s="114"/>
      <c r="O89" s="114"/>
      <c r="P89"/>
      <c r="Q89"/>
      <c r="R89"/>
      <c r="S89"/>
      <c r="T89"/>
      <c r="U89"/>
      <c r="V89"/>
      <c r="W89"/>
      <c r="X89"/>
      <c r="Y89"/>
      <c r="Z89"/>
      <c r="AA89"/>
      <c r="AB89"/>
      <c r="AC89"/>
      <c r="AD89"/>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c r="BS89" s="107"/>
      <c r="BT89" s="107"/>
      <c r="BU89" s="107"/>
      <c r="BV89" s="107"/>
      <c r="BW89" s="107"/>
      <c r="BX89" s="107"/>
      <c r="BY89" s="107"/>
      <c r="BZ89" s="107"/>
      <c r="CA89" s="107"/>
      <c r="CB89" s="107"/>
      <c r="CC89" s="107"/>
      <c r="CD89" s="107"/>
      <c r="CE89" s="107"/>
      <c r="CF89" s="107"/>
      <c r="CG89" s="107"/>
      <c r="CH89" s="107"/>
      <c r="CI89" s="107"/>
      <c r="CJ89" s="107"/>
      <c r="CK89" s="107"/>
      <c r="CL89" s="107"/>
      <c r="CM89" s="107"/>
      <c r="CN89" s="107"/>
      <c r="CO89" s="107"/>
      <c r="CP89" s="107"/>
      <c r="CQ89" s="107"/>
      <c r="CR89" s="107"/>
      <c r="CS89" s="107"/>
      <c r="CT89" s="107"/>
      <c r="CU89" s="107"/>
      <c r="CV89" s="107"/>
      <c r="CW89" s="107"/>
      <c r="CX89" s="107"/>
      <c r="CY89" s="107"/>
      <c r="CZ89" s="107"/>
      <c r="DA89" s="107"/>
      <c r="DB89" s="107"/>
      <c r="DC89" s="107"/>
      <c r="DD89" s="107"/>
      <c r="DE89" s="107"/>
      <c r="DF89" s="107"/>
      <c r="DG89" s="107"/>
      <c r="DH89" s="107"/>
    </row>
    <row r="90" spans="4:112" ht="14.1" customHeight="1" x14ac:dyDescent="0.3">
      <c r="D90" s="115" t="s">
        <v>5</v>
      </c>
      <c r="G90" s="116"/>
      <c r="H90" s="117"/>
      <c r="I90" s="117"/>
      <c r="J90" s="117"/>
      <c r="K90" s="117"/>
      <c r="L90" s="117"/>
      <c r="M90" s="117"/>
      <c r="N90" s="117"/>
      <c r="O90" s="117"/>
      <c r="P90"/>
      <c r="Q90"/>
      <c r="R90"/>
      <c r="S90"/>
      <c r="T90"/>
      <c r="U90"/>
      <c r="V90"/>
      <c r="W90"/>
      <c r="X90"/>
      <c r="Y90"/>
      <c r="Z90"/>
      <c r="AA90"/>
      <c r="AB90"/>
      <c r="AC90"/>
      <c r="AD90"/>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c r="BS90" s="107"/>
      <c r="BT90" s="107"/>
      <c r="BU90" s="107"/>
      <c r="BV90" s="107"/>
      <c r="BW90" s="107"/>
      <c r="BX90" s="107"/>
      <c r="BY90" s="107"/>
      <c r="BZ90" s="107"/>
      <c r="CA90" s="107"/>
      <c r="CB90" s="107"/>
      <c r="CC90" s="107"/>
      <c r="CD90" s="107"/>
      <c r="CE90" s="107"/>
      <c r="CF90" s="107"/>
      <c r="CG90" s="107"/>
      <c r="CH90" s="107"/>
      <c r="CI90" s="107"/>
      <c r="CJ90" s="107"/>
      <c r="CK90" s="107"/>
      <c r="CL90" s="107"/>
      <c r="CM90" s="107"/>
      <c r="CN90" s="107"/>
      <c r="CO90" s="107"/>
      <c r="CP90" s="107"/>
      <c r="CQ90" s="107"/>
      <c r="CR90" s="107"/>
      <c r="CS90" s="107"/>
      <c r="CT90" s="107"/>
      <c r="CU90" s="107"/>
      <c r="CV90" s="107"/>
      <c r="CW90" s="107"/>
      <c r="CX90" s="107"/>
      <c r="CY90" s="107"/>
      <c r="CZ90" s="107"/>
      <c r="DA90" s="107"/>
      <c r="DB90" s="107"/>
      <c r="DC90" s="107"/>
      <c r="DD90" s="107"/>
      <c r="DE90" s="107"/>
      <c r="DF90" s="107"/>
      <c r="DG90" s="107"/>
      <c r="DH90" s="107"/>
    </row>
    <row r="91" spans="4:112" ht="14.1" customHeight="1" x14ac:dyDescent="0.3">
      <c r="G91" s="106"/>
      <c r="P91"/>
      <c r="Q91"/>
      <c r="R91"/>
      <c r="S91"/>
      <c r="T91"/>
      <c r="U91"/>
      <c r="V91"/>
      <c r="W91"/>
      <c r="X91"/>
      <c r="Y91"/>
      <c r="Z91"/>
      <c r="AA91"/>
      <c r="AB91"/>
      <c r="AC91"/>
      <c r="AD91"/>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c r="BS91" s="107"/>
      <c r="BT91" s="107"/>
      <c r="BU91" s="107"/>
      <c r="BV91" s="107"/>
      <c r="BW91" s="107"/>
      <c r="BX91" s="107"/>
      <c r="BY91" s="107"/>
      <c r="BZ91" s="107"/>
      <c r="CA91" s="107"/>
      <c r="CB91" s="107"/>
      <c r="CC91" s="107"/>
      <c r="CD91" s="107"/>
      <c r="CE91" s="107"/>
      <c r="CF91" s="107"/>
      <c r="CG91" s="107"/>
      <c r="CH91" s="107"/>
      <c r="CI91" s="107"/>
      <c r="CJ91" s="107"/>
      <c r="CK91" s="107"/>
      <c r="CL91" s="107"/>
      <c r="CM91" s="107"/>
      <c r="CN91" s="107"/>
      <c r="CO91" s="107"/>
      <c r="CP91" s="107"/>
      <c r="CQ91" s="107"/>
      <c r="CR91" s="107"/>
      <c r="CS91" s="107"/>
      <c r="CT91" s="107"/>
      <c r="CU91" s="107"/>
      <c r="CV91" s="107"/>
      <c r="CW91" s="107"/>
      <c r="CX91" s="107"/>
      <c r="CY91" s="107"/>
      <c r="CZ91" s="107"/>
      <c r="DA91" s="107"/>
      <c r="DB91" s="107"/>
      <c r="DC91" s="107"/>
      <c r="DD91" s="107"/>
      <c r="DE91" s="107"/>
      <c r="DF91" s="107"/>
      <c r="DG91" s="107"/>
      <c r="DH91" s="107"/>
    </row>
    <row r="92" spans="4:112" ht="14.1" customHeight="1" x14ac:dyDescent="0.3">
      <c r="G92" s="106"/>
      <c r="H92" s="203"/>
      <c r="L92" s="107" t="s">
        <v>365</v>
      </c>
      <c r="M92" s="107" t="s">
        <v>366</v>
      </c>
      <c r="N92" s="107" t="s">
        <v>367</v>
      </c>
      <c r="O92" s="107" t="s">
        <v>368</v>
      </c>
      <c r="P92"/>
      <c r="Q92"/>
      <c r="R92"/>
      <c r="S92"/>
      <c r="T92"/>
      <c r="U92"/>
      <c r="V92"/>
      <c r="W92"/>
      <c r="X92"/>
      <c r="Y92"/>
      <c r="Z92"/>
      <c r="AA92"/>
      <c r="AB92"/>
      <c r="AC92"/>
      <c r="AD92"/>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c r="BS92" s="107"/>
      <c r="BT92" s="107"/>
      <c r="BU92" s="107"/>
      <c r="BV92" s="107"/>
      <c r="BW92" s="107"/>
      <c r="BX92" s="107"/>
      <c r="BY92" s="107"/>
      <c r="BZ92" s="107"/>
      <c r="CA92" s="107"/>
      <c r="CB92" s="107"/>
      <c r="CC92" s="107"/>
      <c r="CD92" s="107"/>
      <c r="CE92" s="107"/>
      <c r="CF92" s="107"/>
      <c r="CG92" s="107"/>
      <c r="CH92" s="107"/>
      <c r="CI92" s="107"/>
      <c r="CJ92" s="107"/>
      <c r="CK92" s="107"/>
      <c r="CL92" s="107"/>
      <c r="CM92" s="107"/>
      <c r="CN92" s="107"/>
      <c r="CO92" s="107"/>
      <c r="CP92" s="107"/>
      <c r="CQ92" s="107"/>
      <c r="CR92" s="107"/>
      <c r="CS92" s="107"/>
      <c r="CT92" s="107"/>
      <c r="CU92" s="107"/>
      <c r="CV92" s="107"/>
      <c r="CW92" s="107"/>
      <c r="CX92" s="107"/>
      <c r="CY92" s="107"/>
      <c r="CZ92" s="107"/>
      <c r="DA92" s="107"/>
      <c r="DB92" s="107"/>
      <c r="DC92" s="107"/>
      <c r="DD92" s="107"/>
      <c r="DE92" s="107"/>
      <c r="DF92" s="107"/>
      <c r="DG92" s="107"/>
      <c r="DH92" s="107"/>
    </row>
    <row r="93" spans="4:112" ht="14.1" customHeight="1" thickBot="1" x14ac:dyDescent="0.35">
      <c r="G93" s="106"/>
      <c r="H93" s="203"/>
      <c r="K93" s="119" t="s">
        <v>360</v>
      </c>
      <c r="L93" s="107">
        <v>5</v>
      </c>
      <c r="M93" s="107">
        <v>8</v>
      </c>
      <c r="N93" s="107">
        <v>10</v>
      </c>
      <c r="O93" s="107">
        <v>15</v>
      </c>
      <c r="P93"/>
      <c r="Q93"/>
      <c r="R93"/>
      <c r="S93"/>
      <c r="T93"/>
      <c r="U93"/>
      <c r="V93"/>
      <c r="W93"/>
      <c r="X93"/>
      <c r="Y93"/>
      <c r="Z93"/>
      <c r="AA93"/>
      <c r="AB93"/>
      <c r="AC93"/>
      <c r="AD93"/>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c r="BS93" s="107"/>
      <c r="BT93" s="107"/>
      <c r="BU93" s="107"/>
      <c r="BV93" s="107"/>
      <c r="BW93" s="107"/>
      <c r="BX93" s="107"/>
      <c r="BY93" s="107"/>
      <c r="BZ93" s="107"/>
      <c r="CA93" s="107"/>
      <c r="CB93" s="107"/>
      <c r="CC93" s="107"/>
      <c r="CD93" s="107"/>
      <c r="CE93" s="107"/>
      <c r="CF93" s="107"/>
      <c r="CG93" s="107"/>
      <c r="CH93" s="107"/>
      <c r="CI93" s="107"/>
      <c r="CJ93" s="107"/>
      <c r="CK93" s="107"/>
      <c r="CL93" s="107"/>
      <c r="CM93" s="107"/>
      <c r="CN93" s="107"/>
      <c r="CO93" s="107"/>
      <c r="CP93" s="107"/>
      <c r="CQ93" s="107"/>
      <c r="CR93" s="107"/>
      <c r="CS93" s="107"/>
      <c r="CT93" s="107"/>
      <c r="CU93" s="107"/>
      <c r="CV93" s="107"/>
      <c r="CW93" s="107"/>
      <c r="CX93" s="107"/>
      <c r="CY93" s="107"/>
      <c r="CZ93" s="107"/>
      <c r="DA93" s="107"/>
      <c r="DB93" s="107"/>
      <c r="DC93" s="107"/>
      <c r="DD93" s="107"/>
      <c r="DE93" s="107"/>
      <c r="DF93" s="107"/>
      <c r="DG93" s="107"/>
      <c r="DH93" s="107"/>
    </row>
    <row r="94" spans="4:112" ht="14.1" customHeight="1" thickTop="1" thickBot="1" x14ac:dyDescent="0.35">
      <c r="G94" s="106"/>
      <c r="H94" s="203"/>
      <c r="J94" s="210" t="s">
        <v>369</v>
      </c>
      <c r="K94" s="119" t="s">
        <v>116</v>
      </c>
      <c r="L94" s="258">
        <v>0.48699999999999999</v>
      </c>
      <c r="M94" s="258">
        <v>0.50700000000000001</v>
      </c>
      <c r="N94" s="258">
        <v>0.52</v>
      </c>
      <c r="O94" s="258">
        <v>0.55400000000000005</v>
      </c>
      <c r="P94"/>
      <c r="Q94"/>
      <c r="R94"/>
      <c r="S94"/>
      <c r="T94"/>
      <c r="U94"/>
      <c r="V94"/>
      <c r="W94"/>
      <c r="X94"/>
      <c r="Y94"/>
      <c r="Z94"/>
      <c r="AA94"/>
      <c r="AB94"/>
      <c r="AC94"/>
      <c r="AD94"/>
      <c r="AE94" s="107"/>
      <c r="AF94" s="107"/>
      <c r="AG94" s="107"/>
      <c r="AH94" s="107"/>
      <c r="AI94" s="107"/>
      <c r="AJ94" s="107"/>
      <c r="AK94" s="107"/>
      <c r="AL94" s="107"/>
      <c r="AM94" s="107"/>
      <c r="AN94" s="107"/>
      <c r="AO94" s="107"/>
      <c r="AP94" s="107"/>
      <c r="AQ94" s="107"/>
      <c r="AR94" s="107"/>
      <c r="AS94" s="107"/>
      <c r="AT94" s="107"/>
      <c r="AU94" s="107"/>
      <c r="AV94" s="107"/>
      <c r="AW94" s="107"/>
      <c r="AX94" s="107"/>
      <c r="AY94" s="107"/>
      <c r="AZ94" s="107"/>
      <c r="BA94" s="107"/>
      <c r="BB94" s="107"/>
      <c r="BC94" s="107"/>
      <c r="BD94" s="107"/>
      <c r="BE94" s="107"/>
      <c r="BF94" s="107"/>
      <c r="BG94" s="107"/>
      <c r="BH94" s="107"/>
      <c r="BI94" s="107"/>
      <c r="BJ94" s="107"/>
      <c r="BK94" s="107"/>
      <c r="BL94" s="107"/>
      <c r="BM94" s="107"/>
      <c r="BN94" s="107"/>
      <c r="BO94" s="107"/>
      <c r="BP94" s="107"/>
      <c r="BQ94" s="107"/>
      <c r="BR94" s="107"/>
      <c r="BS94" s="107"/>
      <c r="BT94" s="107"/>
      <c r="BU94" s="107"/>
      <c r="BV94" s="107"/>
      <c r="BW94" s="107"/>
      <c r="BX94" s="107"/>
      <c r="BY94" s="107"/>
      <c r="BZ94" s="107"/>
      <c r="CA94" s="107"/>
      <c r="CB94" s="107"/>
      <c r="CC94" s="107"/>
      <c r="CD94" s="107"/>
      <c r="CE94" s="107"/>
      <c r="CF94" s="107"/>
      <c r="CG94" s="107"/>
      <c r="CH94" s="107"/>
      <c r="CI94" s="107"/>
      <c r="CJ94" s="107"/>
      <c r="CK94" s="107"/>
      <c r="CL94" s="107"/>
      <c r="CM94" s="107"/>
      <c r="CN94" s="107"/>
      <c r="CO94" s="107"/>
      <c r="CP94" s="107"/>
      <c r="CQ94" s="107"/>
      <c r="CR94" s="107"/>
      <c r="CS94" s="107"/>
      <c r="CT94" s="107"/>
      <c r="CU94" s="107"/>
      <c r="CV94" s="107"/>
      <c r="CW94" s="107"/>
      <c r="CX94" s="107"/>
      <c r="CY94" s="107"/>
      <c r="CZ94" s="107"/>
      <c r="DA94" s="107"/>
      <c r="DB94" s="107"/>
      <c r="DC94" s="107"/>
      <c r="DD94" s="107"/>
      <c r="DE94" s="107"/>
      <c r="DF94" s="107"/>
      <c r="DG94" s="107"/>
      <c r="DH94" s="107"/>
    </row>
    <row r="95" spans="4:112" ht="14.1" customHeight="1" thickTop="1" thickBot="1" x14ac:dyDescent="0.35">
      <c r="G95" s="106"/>
      <c r="H95" s="203"/>
      <c r="I95" s="201"/>
      <c r="J95" s="210"/>
      <c r="K95" s="7" t="s">
        <v>117</v>
      </c>
      <c r="L95" s="258">
        <v>0.48699999999999999</v>
      </c>
      <c r="M95" s="258">
        <v>0.50700000000000001</v>
      </c>
      <c r="N95" s="258">
        <v>0.52</v>
      </c>
      <c r="O95" s="258">
        <v>0.55400000000000005</v>
      </c>
      <c r="P95"/>
      <c r="Q95"/>
      <c r="R95"/>
      <c r="S95"/>
      <c r="T95"/>
      <c r="U95"/>
      <c r="V95"/>
      <c r="W95"/>
      <c r="X95"/>
      <c r="Y95"/>
      <c r="Z95"/>
      <c r="AA95"/>
      <c r="AB95"/>
      <c r="AC95"/>
      <c r="AD95"/>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c r="BS95" s="107"/>
      <c r="BT95" s="107"/>
      <c r="BU95" s="107"/>
      <c r="BV95" s="107"/>
      <c r="BW95" s="107"/>
      <c r="BX95" s="107"/>
      <c r="BY95" s="107"/>
      <c r="BZ95" s="107"/>
      <c r="CA95" s="107"/>
      <c r="CB95" s="107"/>
      <c r="CC95" s="107"/>
      <c r="CD95" s="107"/>
      <c r="CE95" s="107"/>
      <c r="CF95" s="107"/>
      <c r="CG95" s="107"/>
      <c r="CH95" s="107"/>
      <c r="CI95" s="107"/>
      <c r="CJ95" s="107"/>
      <c r="CK95" s="107"/>
      <c r="CL95" s="107"/>
      <c r="CM95" s="107"/>
      <c r="CN95" s="107"/>
      <c r="CO95" s="107"/>
      <c r="CP95" s="107"/>
      <c r="CQ95" s="107"/>
      <c r="CR95" s="107"/>
      <c r="CS95" s="107"/>
      <c r="CT95" s="107"/>
      <c r="CU95" s="107"/>
      <c r="CV95" s="107"/>
      <c r="CW95" s="107"/>
      <c r="CX95" s="107"/>
      <c r="CY95" s="107"/>
      <c r="CZ95" s="107"/>
      <c r="DA95" s="107"/>
      <c r="DB95" s="107"/>
      <c r="DC95" s="107"/>
      <c r="DD95" s="107"/>
      <c r="DE95" s="107"/>
      <c r="DF95" s="107"/>
      <c r="DG95" s="107"/>
      <c r="DH95" s="107"/>
    </row>
    <row r="96" spans="4:112" ht="14.1" customHeight="1" thickTop="1" thickBot="1" x14ac:dyDescent="0.35">
      <c r="G96" s="106"/>
      <c r="H96" s="203"/>
      <c r="J96" s="210"/>
      <c r="K96" s="121" t="s">
        <v>118</v>
      </c>
      <c r="L96" s="258">
        <v>0.48699999999999999</v>
      </c>
      <c r="M96" s="258">
        <v>0.50700000000000001</v>
      </c>
      <c r="N96" s="258">
        <v>0.52</v>
      </c>
      <c r="O96" s="258">
        <v>0.55400000000000005</v>
      </c>
      <c r="P96"/>
      <c r="Q96"/>
      <c r="R96"/>
      <c r="S96"/>
      <c r="T96"/>
      <c r="U96"/>
      <c r="V96"/>
      <c r="W96"/>
      <c r="X96"/>
      <c r="Y96"/>
      <c r="Z96"/>
      <c r="AA96"/>
      <c r="AB96"/>
      <c r="AC96"/>
      <c r="AD96"/>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c r="BS96" s="107"/>
      <c r="BT96" s="107"/>
      <c r="BU96" s="107"/>
      <c r="BV96" s="107"/>
      <c r="BW96" s="107"/>
      <c r="BX96" s="107"/>
      <c r="BY96" s="107"/>
      <c r="BZ96" s="107"/>
      <c r="CA96" s="107"/>
      <c r="CB96" s="107"/>
      <c r="CC96" s="107"/>
      <c r="CD96" s="107"/>
      <c r="CE96" s="107"/>
      <c r="CF96" s="107"/>
      <c r="CG96" s="107"/>
      <c r="CH96" s="107"/>
      <c r="CI96" s="107"/>
      <c r="CJ96" s="107"/>
      <c r="CK96" s="107"/>
      <c r="CL96" s="107"/>
      <c r="CM96" s="107"/>
      <c r="CN96" s="107"/>
      <c r="CO96" s="107"/>
      <c r="CP96" s="107"/>
      <c r="CQ96" s="107"/>
      <c r="CR96" s="107"/>
      <c r="CS96" s="107"/>
      <c r="CT96" s="107"/>
      <c r="CU96" s="107"/>
      <c r="CV96" s="107"/>
      <c r="CW96" s="107"/>
      <c r="CX96" s="107"/>
      <c r="CY96" s="107"/>
      <c r="CZ96" s="107"/>
      <c r="DA96" s="107"/>
      <c r="DB96" s="107"/>
      <c r="DC96" s="107"/>
      <c r="DD96" s="107"/>
      <c r="DE96" s="107"/>
      <c r="DF96" s="107"/>
      <c r="DG96" s="107"/>
      <c r="DH96" s="107"/>
    </row>
    <row r="97" spans="7:112" ht="14.1" customHeight="1" thickTop="1" thickBot="1" x14ac:dyDescent="0.35">
      <c r="G97" s="106"/>
      <c r="H97" s="203"/>
      <c r="J97" s="210"/>
      <c r="K97" s="119" t="s">
        <v>134</v>
      </c>
      <c r="L97" s="258">
        <v>0.26700000000000002</v>
      </c>
      <c r="M97" s="258">
        <v>0.28699999999999998</v>
      </c>
      <c r="N97" s="258">
        <v>0.3</v>
      </c>
      <c r="O97" s="258">
        <v>0.33400000000000002</v>
      </c>
      <c r="P97"/>
      <c r="Q97"/>
      <c r="R97"/>
      <c r="S97"/>
      <c r="T97"/>
      <c r="U97"/>
      <c r="V97"/>
      <c r="W97"/>
      <c r="X97"/>
      <c r="Y97"/>
      <c r="Z97"/>
      <c r="AA97"/>
      <c r="AB97"/>
      <c r="AC97"/>
      <c r="AD9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c r="BS97" s="107"/>
      <c r="BT97" s="107"/>
      <c r="BU97" s="107"/>
      <c r="BV97" s="107"/>
      <c r="BW97" s="107"/>
      <c r="BX97" s="107"/>
      <c r="BY97" s="107"/>
      <c r="BZ97" s="107"/>
      <c r="CA97" s="107"/>
      <c r="CB97" s="107"/>
      <c r="CC97" s="107"/>
      <c r="CD97" s="107"/>
      <c r="CE97" s="107"/>
      <c r="CF97" s="107"/>
      <c r="CG97" s="107"/>
      <c r="CH97" s="107"/>
      <c r="CI97" s="107"/>
      <c r="CJ97" s="107"/>
      <c r="CK97" s="107"/>
      <c r="CL97" s="107"/>
      <c r="CM97" s="107"/>
      <c r="CN97" s="107"/>
      <c r="CO97" s="107"/>
      <c r="CP97" s="107"/>
      <c r="CQ97" s="107"/>
      <c r="CR97" s="107"/>
      <c r="CS97" s="107"/>
      <c r="CT97" s="107"/>
      <c r="CU97" s="107"/>
      <c r="CV97" s="107"/>
      <c r="CW97" s="107"/>
      <c r="CX97" s="107"/>
      <c r="CY97" s="107"/>
      <c r="CZ97" s="107"/>
      <c r="DA97" s="107"/>
      <c r="DB97" s="107"/>
      <c r="DC97" s="107"/>
      <c r="DD97" s="107"/>
      <c r="DE97" s="107"/>
      <c r="DF97" s="107"/>
      <c r="DG97" s="107"/>
      <c r="DH97" s="107"/>
    </row>
    <row r="98" spans="7:112" ht="14.1" customHeight="1" thickTop="1" thickBot="1" x14ac:dyDescent="0.35">
      <c r="G98" s="106"/>
      <c r="H98" s="203"/>
      <c r="J98" s="210"/>
      <c r="K98" s="7" t="s">
        <v>135</v>
      </c>
      <c r="L98" s="258">
        <v>0.26700000000000002</v>
      </c>
      <c r="M98" s="258">
        <v>0.28699999999999998</v>
      </c>
      <c r="N98" s="258">
        <v>0.3</v>
      </c>
      <c r="O98" s="258">
        <v>0.33400000000000002</v>
      </c>
      <c r="P98"/>
      <c r="Q98"/>
      <c r="R98"/>
      <c r="S98"/>
      <c r="T98"/>
      <c r="U98"/>
      <c r="V98"/>
      <c r="W98"/>
      <c r="X98"/>
      <c r="Y98"/>
      <c r="Z98"/>
      <c r="AA98"/>
      <c r="AB98"/>
      <c r="AC98"/>
      <c r="AD98"/>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c r="BS98" s="107"/>
      <c r="BT98" s="107"/>
      <c r="BU98" s="107"/>
      <c r="BV98" s="107"/>
      <c r="BW98" s="107"/>
      <c r="BX98" s="107"/>
      <c r="BY98" s="107"/>
      <c r="BZ98" s="107"/>
      <c r="CA98" s="107"/>
      <c r="CB98" s="107"/>
      <c r="CC98" s="107"/>
      <c r="CD98" s="107"/>
      <c r="CE98" s="107"/>
      <c r="CF98" s="107"/>
      <c r="CG98" s="107"/>
      <c r="CH98" s="107"/>
      <c r="CI98" s="107"/>
      <c r="CJ98" s="107"/>
      <c r="CK98" s="107"/>
      <c r="CL98" s="107"/>
      <c r="CM98" s="107"/>
      <c r="CN98" s="107"/>
      <c r="CO98" s="107"/>
      <c r="CP98" s="107"/>
      <c r="CQ98" s="107"/>
      <c r="CR98" s="107"/>
      <c r="CS98" s="107"/>
      <c r="CT98" s="107"/>
      <c r="CU98" s="107"/>
      <c r="CV98" s="107"/>
      <c r="CW98" s="107"/>
      <c r="CX98" s="107"/>
      <c r="CY98" s="107"/>
      <c r="CZ98" s="107"/>
      <c r="DA98" s="107"/>
      <c r="DB98" s="107"/>
      <c r="DC98" s="107"/>
      <c r="DD98" s="107"/>
      <c r="DE98" s="107"/>
      <c r="DF98" s="107"/>
      <c r="DG98" s="107"/>
      <c r="DH98" s="107"/>
    </row>
    <row r="99" spans="7:112" ht="14.1" customHeight="1" thickTop="1" x14ac:dyDescent="0.3">
      <c r="G99" s="106"/>
      <c r="H99" s="203"/>
      <c r="J99" s="210"/>
      <c r="K99" s="121" t="s">
        <v>136</v>
      </c>
      <c r="L99" s="258">
        <v>0.26700000000000002</v>
      </c>
      <c r="M99" s="258">
        <v>0.28699999999999998</v>
      </c>
      <c r="N99" s="258">
        <v>0.3</v>
      </c>
      <c r="O99" s="258">
        <v>0.33400000000000002</v>
      </c>
      <c r="P99"/>
      <c r="Q99"/>
      <c r="R99"/>
      <c r="S99"/>
      <c r="T99"/>
      <c r="U99"/>
      <c r="V99"/>
      <c r="W99"/>
      <c r="X99"/>
      <c r="Y99"/>
      <c r="Z99"/>
      <c r="AA99"/>
      <c r="AB99"/>
      <c r="AC99"/>
      <c r="AD99"/>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c r="BS99" s="107"/>
      <c r="BT99" s="107"/>
      <c r="BU99" s="107"/>
      <c r="BV99" s="107"/>
      <c r="BW99" s="107"/>
      <c r="BX99" s="107"/>
      <c r="BY99" s="107"/>
      <c r="BZ99" s="107"/>
      <c r="CA99" s="107"/>
      <c r="CB99" s="107"/>
      <c r="CC99" s="107"/>
      <c r="CD99" s="107"/>
      <c r="CE99" s="107"/>
      <c r="CF99" s="107"/>
      <c r="CG99" s="107"/>
      <c r="CH99" s="107"/>
      <c r="CI99" s="107"/>
      <c r="CJ99" s="107"/>
      <c r="CK99" s="107"/>
      <c r="CL99" s="107"/>
      <c r="CM99" s="107"/>
      <c r="CN99" s="107"/>
      <c r="CO99" s="107"/>
      <c r="CP99" s="107"/>
      <c r="CQ99" s="107"/>
      <c r="CR99" s="107"/>
      <c r="CS99" s="107"/>
      <c r="CT99" s="107"/>
      <c r="CU99" s="107"/>
      <c r="CV99" s="107"/>
      <c r="CW99" s="107"/>
      <c r="CX99" s="107"/>
      <c r="CY99" s="107"/>
      <c r="CZ99" s="107"/>
      <c r="DA99" s="107"/>
      <c r="DB99" s="107"/>
      <c r="DC99" s="107"/>
      <c r="DD99" s="107"/>
      <c r="DE99" s="107"/>
      <c r="DF99" s="107"/>
      <c r="DG99" s="107"/>
      <c r="DH99" s="107"/>
    </row>
    <row r="100" spans="7:112" ht="14.1" customHeight="1" thickBot="1" x14ac:dyDescent="0.35">
      <c r="G100" s="106"/>
      <c r="H100" s="203"/>
      <c r="L100" s="107" t="s">
        <v>365</v>
      </c>
      <c r="M100" s="107" t="s">
        <v>366</v>
      </c>
      <c r="N100" s="107" t="s">
        <v>367</v>
      </c>
      <c r="O100" s="107" t="s">
        <v>368</v>
      </c>
      <c r="P100"/>
      <c r="Q100"/>
      <c r="R100"/>
      <c r="S100"/>
      <c r="T100"/>
      <c r="U100"/>
      <c r="V100"/>
      <c r="W100"/>
      <c r="X100"/>
      <c r="Y100"/>
      <c r="Z100"/>
      <c r="AA100"/>
      <c r="AB100"/>
      <c r="AC100"/>
      <c r="AD100"/>
      <c r="AE100" s="107"/>
      <c r="AF100" s="107"/>
      <c r="AG100" s="107"/>
      <c r="AH100" s="107"/>
      <c r="AI100" s="107"/>
      <c r="AJ100" s="107"/>
      <c r="AK100" s="107"/>
      <c r="AL100" s="107"/>
      <c r="AM100" s="107"/>
      <c r="AN100" s="107"/>
      <c r="AO100" s="107"/>
      <c r="AP100" s="107"/>
      <c r="AQ100" s="107"/>
      <c r="AR100" s="107"/>
      <c r="AS100" s="107"/>
      <c r="AT100" s="107"/>
      <c r="AU100" s="107"/>
      <c r="AV100" s="107"/>
      <c r="AW100" s="107"/>
      <c r="AX100" s="107"/>
      <c r="AY100" s="107"/>
      <c r="AZ100" s="107"/>
      <c r="BA100" s="107"/>
      <c r="BB100" s="107"/>
      <c r="BC100" s="107"/>
      <c r="BD100" s="107"/>
      <c r="BE100" s="107"/>
      <c r="BF100" s="107"/>
      <c r="BG100" s="107"/>
      <c r="BH100" s="107"/>
      <c r="BI100" s="107"/>
      <c r="BJ100" s="107"/>
      <c r="BK100" s="107"/>
      <c r="BL100" s="107"/>
      <c r="BM100" s="107"/>
      <c r="BN100" s="107"/>
      <c r="BO100" s="107"/>
      <c r="BP100" s="107"/>
      <c r="BQ100" s="107"/>
      <c r="BR100" s="107"/>
      <c r="BS100" s="107"/>
      <c r="BT100" s="107"/>
      <c r="BU100" s="107"/>
      <c r="BV100" s="107"/>
      <c r="BW100" s="107"/>
      <c r="BX100" s="107"/>
      <c r="BY100" s="107"/>
      <c r="BZ100" s="107"/>
      <c r="CA100" s="107"/>
      <c r="CB100" s="107"/>
      <c r="CC100" s="107"/>
      <c r="CD100" s="107"/>
      <c r="CE100" s="107"/>
      <c r="CF100" s="107"/>
      <c r="CG100" s="107"/>
      <c r="CH100" s="107"/>
      <c r="CI100" s="107"/>
      <c r="CJ100" s="107"/>
      <c r="CK100" s="107"/>
      <c r="CL100" s="107"/>
      <c r="CM100" s="107"/>
      <c r="CN100" s="107"/>
      <c r="CO100" s="107"/>
      <c r="CP100" s="107"/>
      <c r="CQ100" s="107"/>
      <c r="CR100" s="107"/>
      <c r="CS100" s="107"/>
      <c r="CT100" s="107"/>
      <c r="CU100" s="107"/>
      <c r="CV100" s="107"/>
      <c r="CW100" s="107"/>
      <c r="CX100" s="107"/>
      <c r="CY100" s="107"/>
      <c r="CZ100" s="107"/>
      <c r="DA100" s="107"/>
      <c r="DB100" s="107"/>
      <c r="DC100" s="107"/>
      <c r="DD100" s="107"/>
      <c r="DE100" s="107"/>
      <c r="DF100" s="107"/>
      <c r="DG100" s="107"/>
      <c r="DH100" s="107"/>
    </row>
    <row r="101" spans="7:112" ht="14.1" customHeight="1" thickTop="1" thickBot="1" x14ac:dyDescent="0.35">
      <c r="G101" s="106"/>
      <c r="H101" s="203"/>
      <c r="J101" s="210" t="s">
        <v>385</v>
      </c>
      <c r="K101" s="121" t="s">
        <v>370</v>
      </c>
      <c r="L101" s="258">
        <v>0.35699999999999998</v>
      </c>
      <c r="M101" s="258">
        <v>0.25900000000000001</v>
      </c>
      <c r="N101" s="258">
        <v>0.29699999999999999</v>
      </c>
      <c r="O101" s="258">
        <v>0.39900000000000002</v>
      </c>
      <c r="P101"/>
      <c r="Q101"/>
      <c r="R101"/>
      <c r="S101"/>
      <c r="T101"/>
      <c r="U101"/>
      <c r="V101"/>
      <c r="W101"/>
      <c r="X101"/>
      <c r="Y101"/>
      <c r="Z101"/>
      <c r="AA101"/>
      <c r="AB101"/>
      <c r="AC101"/>
      <c r="AD101"/>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c r="BS101" s="107"/>
      <c r="BT101" s="107"/>
      <c r="BU101" s="107"/>
      <c r="BV101" s="107"/>
      <c r="BW101" s="107"/>
      <c r="BX101" s="107"/>
      <c r="BY101" s="107"/>
      <c r="BZ101" s="107"/>
      <c r="CA101" s="107"/>
      <c r="CB101" s="107"/>
      <c r="CC101" s="107"/>
      <c r="CD101" s="107"/>
      <c r="CE101" s="107"/>
      <c r="CF101" s="107"/>
      <c r="CG101" s="107"/>
      <c r="CH101" s="107"/>
      <c r="CI101" s="107"/>
      <c r="CJ101" s="107"/>
      <c r="CK101" s="107"/>
      <c r="CL101" s="107"/>
      <c r="CM101" s="107"/>
      <c r="CN101" s="107"/>
      <c r="CO101" s="107"/>
      <c r="CP101" s="107"/>
      <c r="CQ101" s="107"/>
      <c r="CR101" s="107"/>
      <c r="CS101" s="107"/>
      <c r="CT101" s="107"/>
      <c r="CU101" s="107"/>
      <c r="CV101" s="107"/>
      <c r="CW101" s="107"/>
      <c r="CX101" s="107"/>
      <c r="CY101" s="107"/>
      <c r="CZ101" s="107"/>
      <c r="DA101" s="107"/>
      <c r="DB101" s="107"/>
      <c r="DC101" s="107"/>
      <c r="DD101" s="107"/>
      <c r="DE101" s="107"/>
      <c r="DF101" s="107"/>
      <c r="DG101" s="107"/>
      <c r="DH101" s="107"/>
    </row>
    <row r="102" spans="7:112" ht="14.1" customHeight="1" thickTop="1" thickBot="1" x14ac:dyDescent="0.35">
      <c r="G102" s="106"/>
      <c r="H102" s="203"/>
      <c r="I102" s="201"/>
      <c r="J102" s="210"/>
      <c r="K102" s="121" t="s">
        <v>370</v>
      </c>
      <c r="L102" s="258">
        <v>0.35699999999999998</v>
      </c>
      <c r="M102" s="258">
        <v>0.25900000000000001</v>
      </c>
      <c r="N102" s="258">
        <v>0.29699999999999999</v>
      </c>
      <c r="O102" s="258">
        <v>0.39900000000000002</v>
      </c>
      <c r="P102"/>
      <c r="Q102"/>
      <c r="R102"/>
      <c r="S102"/>
      <c r="T102"/>
      <c r="U102"/>
      <c r="V102"/>
      <c r="W102"/>
      <c r="X102"/>
      <c r="Y102"/>
      <c r="Z102"/>
      <c r="AA102"/>
      <c r="AB102"/>
      <c r="AC102"/>
      <c r="AD102"/>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c r="BS102" s="107"/>
      <c r="BT102" s="107"/>
      <c r="BU102" s="107"/>
      <c r="BV102" s="107"/>
      <c r="BW102" s="107"/>
      <c r="BX102" s="107"/>
      <c r="BY102" s="107"/>
      <c r="BZ102" s="107"/>
      <c r="CA102" s="107"/>
      <c r="CB102" s="107"/>
      <c r="CC102" s="107"/>
      <c r="CD102" s="107"/>
      <c r="CE102" s="107"/>
      <c r="CF102" s="107"/>
      <c r="CG102" s="107"/>
      <c r="CH102" s="107"/>
      <c r="CI102" s="107"/>
      <c r="CJ102" s="107"/>
      <c r="CK102" s="107"/>
      <c r="CL102" s="107"/>
      <c r="CM102" s="107"/>
      <c r="CN102" s="107"/>
      <c r="CO102" s="107"/>
      <c r="CP102" s="107"/>
      <c r="CQ102" s="107"/>
      <c r="CR102" s="107"/>
      <c r="CS102" s="107"/>
      <c r="CT102" s="107"/>
      <c r="CU102" s="107"/>
      <c r="CV102" s="107"/>
      <c r="CW102" s="107"/>
      <c r="CX102" s="107"/>
      <c r="CY102" s="107"/>
      <c r="CZ102" s="107"/>
      <c r="DA102" s="107"/>
      <c r="DB102" s="107"/>
      <c r="DC102" s="107"/>
      <c r="DD102" s="107"/>
      <c r="DE102" s="107"/>
      <c r="DF102" s="107"/>
      <c r="DG102" s="107"/>
      <c r="DH102" s="107"/>
    </row>
    <row r="103" spans="7:112" ht="14.1" customHeight="1" thickTop="1" thickBot="1" x14ac:dyDescent="0.35">
      <c r="G103" s="106"/>
      <c r="H103" s="203"/>
      <c r="J103" s="210"/>
      <c r="K103" s="121" t="s">
        <v>370</v>
      </c>
      <c r="L103" s="258">
        <v>0.35699999999999998</v>
      </c>
      <c r="M103" s="258">
        <v>0.25900000000000001</v>
      </c>
      <c r="N103" s="258">
        <v>0.29699999999999999</v>
      </c>
      <c r="O103" s="258">
        <v>0.39900000000000002</v>
      </c>
      <c r="P103"/>
      <c r="Q103"/>
      <c r="R103"/>
      <c r="S103"/>
      <c r="T103"/>
      <c r="U103"/>
      <c r="V103"/>
      <c r="W103"/>
      <c r="X103"/>
      <c r="Y103"/>
      <c r="Z103"/>
      <c r="AA103"/>
      <c r="AB103"/>
      <c r="AC103"/>
      <c r="AD103"/>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c r="BS103" s="107"/>
      <c r="BT103" s="107"/>
      <c r="BU103" s="107"/>
      <c r="BV103" s="107"/>
      <c r="BW103" s="107"/>
      <c r="BX103" s="107"/>
      <c r="BY103" s="107"/>
      <c r="BZ103" s="107"/>
      <c r="CA103" s="107"/>
      <c r="CB103" s="107"/>
      <c r="CC103" s="107"/>
      <c r="CD103" s="107"/>
      <c r="CE103" s="107"/>
      <c r="CF103" s="107"/>
      <c r="CG103" s="107"/>
      <c r="CH103" s="107"/>
      <c r="CI103" s="107"/>
      <c r="CJ103" s="107"/>
      <c r="CK103" s="107"/>
      <c r="CL103" s="107"/>
      <c r="CM103" s="107"/>
      <c r="CN103" s="107"/>
      <c r="CO103" s="107"/>
      <c r="CP103" s="107"/>
      <c r="CQ103" s="107"/>
      <c r="CR103" s="107"/>
      <c r="CS103" s="107"/>
      <c r="CT103" s="107"/>
      <c r="CU103" s="107"/>
      <c r="CV103" s="107"/>
      <c r="CW103" s="107"/>
      <c r="CX103" s="107"/>
      <c r="CY103" s="107"/>
      <c r="CZ103" s="107"/>
      <c r="DA103" s="107"/>
      <c r="DB103" s="107"/>
      <c r="DC103" s="107"/>
      <c r="DD103" s="107"/>
      <c r="DE103" s="107"/>
      <c r="DF103" s="107"/>
      <c r="DG103" s="107"/>
      <c r="DH103" s="107"/>
    </row>
    <row r="104" spans="7:112" ht="14.1" customHeight="1" thickTop="1" thickBot="1" x14ac:dyDescent="0.35">
      <c r="G104" s="106"/>
      <c r="H104" s="203"/>
      <c r="J104" s="210"/>
      <c r="K104" s="121" t="s">
        <v>371</v>
      </c>
      <c r="L104" s="258">
        <v>0.38600000000000001</v>
      </c>
      <c r="M104" s="258">
        <v>0.32300000000000001</v>
      </c>
      <c r="N104" s="258">
        <v>0.32700000000000001</v>
      </c>
      <c r="O104" s="258">
        <v>0.42899999999999999</v>
      </c>
      <c r="P104"/>
      <c r="Q104"/>
      <c r="R104"/>
      <c r="S104"/>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c r="BS104" s="107"/>
      <c r="BT104" s="107"/>
      <c r="BU104" s="107"/>
      <c r="BV104" s="107"/>
      <c r="BW104" s="107"/>
      <c r="BX104" s="107"/>
      <c r="BY104" s="107"/>
      <c r="BZ104" s="107"/>
      <c r="CA104" s="107"/>
      <c r="CB104" s="107"/>
      <c r="CC104" s="107"/>
      <c r="CD104" s="107"/>
      <c r="CE104" s="107"/>
      <c r="CF104" s="107"/>
      <c r="CG104" s="107"/>
      <c r="CH104" s="107"/>
      <c r="CI104" s="107"/>
      <c r="CJ104" s="107"/>
      <c r="CK104" s="107"/>
      <c r="CL104" s="107"/>
      <c r="CM104" s="107"/>
      <c r="CN104" s="107"/>
      <c r="CO104" s="107"/>
      <c r="CP104" s="107"/>
      <c r="CQ104" s="107"/>
      <c r="CR104" s="107"/>
      <c r="CS104" s="107"/>
      <c r="CT104" s="107"/>
      <c r="CU104" s="107"/>
      <c r="CV104" s="107"/>
      <c r="CW104" s="107"/>
      <c r="CX104" s="107"/>
      <c r="CY104" s="107"/>
      <c r="CZ104" s="107"/>
      <c r="DA104" s="107"/>
      <c r="DB104" s="107"/>
      <c r="DC104" s="107"/>
      <c r="DD104" s="107"/>
      <c r="DE104" s="107"/>
      <c r="DF104" s="107"/>
      <c r="DG104" s="107"/>
      <c r="DH104" s="107"/>
    </row>
    <row r="105" spans="7:112" ht="14.1" customHeight="1" thickTop="1" thickBot="1" x14ac:dyDescent="0.35">
      <c r="G105" s="106"/>
      <c r="H105" s="203"/>
      <c r="I105" s="201"/>
      <c r="J105" s="210"/>
      <c r="K105" s="121" t="s">
        <v>371</v>
      </c>
      <c r="L105" s="258">
        <v>0.38600000000000001</v>
      </c>
      <c r="M105" s="258">
        <v>0.32300000000000001</v>
      </c>
      <c r="N105" s="258">
        <v>0.32700000000000001</v>
      </c>
      <c r="O105" s="258">
        <v>0.42899999999999999</v>
      </c>
      <c r="P105"/>
      <c r="Q105"/>
      <c r="R105"/>
      <c r="S105"/>
      <c r="U105" s="107"/>
      <c r="V105" s="107"/>
      <c r="W105" s="107"/>
      <c r="X105" s="107"/>
      <c r="Y105" s="107"/>
      <c r="Z105" s="107"/>
      <c r="AA105" s="107"/>
      <c r="AB105" s="107"/>
      <c r="AC105" s="107"/>
      <c r="AD105" s="107"/>
      <c r="AE105" s="107"/>
      <c r="AF105" s="107"/>
      <c r="AG105" s="107"/>
      <c r="AH105" s="107"/>
      <c r="AI105" s="107"/>
      <c r="AJ105" s="107"/>
      <c r="AK105" s="107"/>
      <c r="AL105" s="107"/>
      <c r="AM105" s="107"/>
      <c r="AN105" s="107"/>
      <c r="AO105" s="107"/>
      <c r="AP105" s="107"/>
      <c r="AQ105" s="107"/>
      <c r="AR105" s="107"/>
      <c r="AS105" s="107"/>
      <c r="AT105" s="107"/>
      <c r="AU105" s="107"/>
      <c r="AV105" s="107"/>
      <c r="AW105" s="107"/>
      <c r="AX105" s="107"/>
      <c r="AY105" s="107"/>
      <c r="AZ105" s="107"/>
      <c r="BA105" s="107"/>
      <c r="BB105" s="107"/>
      <c r="BC105" s="107"/>
      <c r="BD105" s="107"/>
      <c r="BE105" s="107"/>
      <c r="BF105" s="107"/>
      <c r="BG105" s="107"/>
      <c r="BH105" s="107"/>
      <c r="BI105" s="107"/>
      <c r="BJ105" s="107"/>
      <c r="BK105" s="107"/>
      <c r="BL105" s="107"/>
      <c r="BM105" s="107"/>
      <c r="BN105" s="107"/>
      <c r="BO105" s="107"/>
      <c r="BP105" s="107"/>
      <c r="BQ105" s="107"/>
      <c r="BR105" s="107"/>
      <c r="BS105" s="107"/>
      <c r="BT105" s="107"/>
      <c r="BU105" s="107"/>
      <c r="BV105" s="107"/>
      <c r="BW105" s="107"/>
      <c r="BX105" s="107"/>
      <c r="BY105" s="107"/>
      <c r="BZ105" s="107"/>
      <c r="CA105" s="107"/>
      <c r="CB105" s="107"/>
      <c r="CC105" s="107"/>
      <c r="CD105" s="107"/>
      <c r="CE105" s="107"/>
      <c r="CF105" s="107"/>
      <c r="CG105" s="107"/>
      <c r="CH105" s="107"/>
      <c r="CI105" s="107"/>
      <c r="CJ105" s="107"/>
      <c r="CK105" s="107"/>
      <c r="CL105" s="107"/>
      <c r="CM105" s="107"/>
      <c r="CN105" s="107"/>
      <c r="CO105" s="107"/>
      <c r="CP105" s="107"/>
      <c r="CQ105" s="107"/>
      <c r="CR105" s="107"/>
      <c r="CS105" s="107"/>
      <c r="CT105" s="107"/>
      <c r="CU105" s="107"/>
      <c r="CV105" s="107"/>
      <c r="CW105" s="107"/>
      <c r="CX105" s="107"/>
      <c r="CY105" s="107"/>
      <c r="CZ105" s="107"/>
      <c r="DA105" s="107"/>
      <c r="DB105" s="107"/>
      <c r="DC105" s="107"/>
      <c r="DD105" s="107"/>
      <c r="DE105" s="107"/>
      <c r="DF105" s="107"/>
      <c r="DG105" s="107"/>
      <c r="DH105" s="107"/>
    </row>
    <row r="106" spans="7:112" ht="14.1" customHeight="1" thickTop="1" x14ac:dyDescent="0.3">
      <c r="G106" s="106"/>
      <c r="H106" s="203"/>
      <c r="J106" s="210"/>
      <c r="K106" s="121" t="s">
        <v>371</v>
      </c>
      <c r="L106" s="258">
        <v>0.38600000000000001</v>
      </c>
      <c r="M106" s="258">
        <v>0.32300000000000001</v>
      </c>
      <c r="N106" s="258">
        <v>0.32700000000000001</v>
      </c>
      <c r="O106" s="258">
        <v>0.42899999999999999</v>
      </c>
      <c r="P106"/>
      <c r="Q106"/>
      <c r="R106"/>
      <c r="S106"/>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c r="BS106" s="107"/>
      <c r="BT106" s="107"/>
      <c r="BU106" s="107"/>
      <c r="BV106" s="107"/>
      <c r="BW106" s="107"/>
      <c r="BX106" s="107"/>
      <c r="BY106" s="107"/>
      <c r="BZ106" s="107"/>
      <c r="CA106" s="107"/>
      <c r="CB106" s="107"/>
      <c r="CC106" s="107"/>
      <c r="CD106" s="107"/>
      <c r="CE106" s="107"/>
      <c r="CF106" s="107"/>
      <c r="CG106" s="107"/>
      <c r="CH106" s="107"/>
      <c r="CI106" s="107"/>
      <c r="CJ106" s="107"/>
      <c r="CK106" s="107"/>
      <c r="CL106" s="107"/>
      <c r="CM106" s="107"/>
      <c r="CN106" s="107"/>
      <c r="CO106" s="107"/>
      <c r="CP106" s="107"/>
      <c r="CQ106" s="107"/>
      <c r="CR106" s="107"/>
      <c r="CS106" s="107"/>
      <c r="CT106" s="107"/>
      <c r="CU106" s="107"/>
      <c r="CV106" s="107"/>
      <c r="CW106" s="107"/>
      <c r="CX106" s="107"/>
      <c r="CY106" s="107"/>
      <c r="CZ106" s="107"/>
      <c r="DA106" s="107"/>
      <c r="DB106" s="107"/>
      <c r="DC106" s="107"/>
      <c r="DD106" s="107"/>
      <c r="DE106" s="107"/>
      <c r="DF106" s="107"/>
      <c r="DG106" s="107"/>
      <c r="DH106" s="107"/>
    </row>
    <row r="107" spans="7:112" ht="14.1" customHeight="1" thickBot="1" x14ac:dyDescent="0.35">
      <c r="G107" s="106"/>
      <c r="H107" s="203"/>
      <c r="L107" s="107" t="s">
        <v>365</v>
      </c>
      <c r="M107" s="107" t="s">
        <v>366</v>
      </c>
      <c r="N107" s="107" t="s">
        <v>367</v>
      </c>
      <c r="O107" s="107" t="s">
        <v>368</v>
      </c>
      <c r="P107"/>
      <c r="Q107"/>
      <c r="R107"/>
      <c r="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c r="BS107" s="107"/>
      <c r="BT107" s="107"/>
      <c r="BU107" s="107"/>
      <c r="BV107" s="107"/>
      <c r="BW107" s="107"/>
      <c r="BX107" s="107"/>
      <c r="BY107" s="107"/>
      <c r="BZ107" s="107"/>
      <c r="CA107" s="107"/>
      <c r="CB107" s="107"/>
      <c r="CC107" s="107"/>
      <c r="CD107" s="107"/>
      <c r="CE107" s="107"/>
      <c r="CF107" s="107"/>
      <c r="CG107" s="107"/>
      <c r="CH107" s="107"/>
      <c r="CI107" s="107"/>
      <c r="CJ107" s="107"/>
      <c r="CK107" s="107"/>
      <c r="CL107" s="107"/>
      <c r="CM107" s="107"/>
      <c r="CN107" s="107"/>
      <c r="CO107" s="107"/>
      <c r="CP107" s="107"/>
      <c r="CQ107" s="107"/>
      <c r="CR107" s="107"/>
      <c r="CS107" s="107"/>
      <c r="CT107" s="107"/>
      <c r="CU107" s="107"/>
      <c r="CV107" s="107"/>
      <c r="CW107" s="107"/>
      <c r="CX107" s="107"/>
      <c r="CY107" s="107"/>
      <c r="CZ107" s="107"/>
      <c r="DA107" s="107"/>
      <c r="DB107" s="107"/>
      <c r="DC107" s="107"/>
      <c r="DD107" s="107"/>
      <c r="DE107" s="107"/>
      <c r="DF107" s="107"/>
      <c r="DG107" s="107"/>
      <c r="DH107" s="107"/>
    </row>
    <row r="108" spans="7:112" ht="14.1" customHeight="1" thickTop="1" thickBot="1" x14ac:dyDescent="0.35">
      <c r="G108" s="106"/>
      <c r="H108" s="203"/>
      <c r="J108" s="210" t="s">
        <v>386</v>
      </c>
      <c r="K108" s="119" t="s">
        <v>116</v>
      </c>
      <c r="L108" s="205">
        <f t="shared" ref="L108:O113" si="3">L94-(L101*L94)</f>
        <v>0.313141</v>
      </c>
      <c r="M108" s="205">
        <f t="shared" si="3"/>
        <v>0.37568699999999999</v>
      </c>
      <c r="N108" s="205">
        <f t="shared" si="3"/>
        <v>0.36556</v>
      </c>
      <c r="O108" s="205">
        <f t="shared" si="3"/>
        <v>0.33295400000000003</v>
      </c>
      <c r="P108"/>
      <c r="Q108"/>
      <c r="R108"/>
      <c r="S108"/>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c r="BS108" s="107"/>
      <c r="BT108" s="107"/>
      <c r="BU108" s="107"/>
      <c r="BV108" s="107"/>
      <c r="BW108" s="107"/>
      <c r="BX108" s="107"/>
      <c r="BY108" s="107"/>
      <c r="BZ108" s="107"/>
      <c r="CA108" s="107"/>
      <c r="CB108" s="107"/>
      <c r="CC108" s="107"/>
      <c r="CD108" s="107"/>
      <c r="CE108" s="107"/>
      <c r="CF108" s="107"/>
      <c r="CG108" s="107"/>
      <c r="CH108" s="107"/>
      <c r="CI108" s="107"/>
      <c r="CJ108" s="107"/>
      <c r="CK108" s="107"/>
      <c r="CL108" s="107"/>
      <c r="CM108" s="107"/>
      <c r="CN108" s="107"/>
      <c r="CO108" s="107"/>
      <c r="CP108" s="107"/>
      <c r="CQ108" s="107"/>
      <c r="CR108" s="107"/>
      <c r="CS108" s="107"/>
      <c r="CT108" s="107"/>
      <c r="CU108" s="107"/>
      <c r="CV108" s="107"/>
      <c r="CW108" s="107"/>
      <c r="CX108" s="107"/>
      <c r="CY108" s="107"/>
      <c r="CZ108" s="107"/>
      <c r="DA108" s="107"/>
      <c r="DB108" s="107"/>
      <c r="DC108" s="107"/>
      <c r="DD108" s="107"/>
      <c r="DE108" s="107"/>
      <c r="DF108" s="107"/>
      <c r="DG108" s="107"/>
      <c r="DH108" s="107"/>
    </row>
    <row r="109" spans="7:112" ht="14.1" customHeight="1" thickTop="1" thickBot="1" x14ac:dyDescent="0.35">
      <c r="G109" s="106"/>
      <c r="H109" s="203"/>
      <c r="I109" s="201"/>
      <c r="J109" s="210"/>
      <c r="K109" s="7" t="s">
        <v>117</v>
      </c>
      <c r="L109" s="205">
        <f t="shared" si="3"/>
        <v>0.313141</v>
      </c>
      <c r="M109" s="205">
        <f t="shared" si="3"/>
        <v>0.37568699999999999</v>
      </c>
      <c r="N109" s="205">
        <f t="shared" si="3"/>
        <v>0.36556</v>
      </c>
      <c r="O109" s="205">
        <f t="shared" si="3"/>
        <v>0.33295400000000003</v>
      </c>
      <c r="P109"/>
      <c r="Q109"/>
      <c r="R109"/>
      <c r="S109"/>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c r="BS109" s="107"/>
      <c r="BT109" s="107"/>
      <c r="BU109" s="107"/>
      <c r="BV109" s="107"/>
      <c r="BW109" s="107"/>
      <c r="BX109" s="107"/>
      <c r="BY109" s="107"/>
      <c r="BZ109" s="107"/>
      <c r="CA109" s="107"/>
      <c r="CB109" s="107"/>
      <c r="CC109" s="107"/>
      <c r="CD109" s="107"/>
      <c r="CE109" s="107"/>
      <c r="CF109" s="107"/>
      <c r="CG109" s="107"/>
      <c r="CH109" s="107"/>
      <c r="CI109" s="107"/>
      <c r="CJ109" s="107"/>
      <c r="CK109" s="107"/>
      <c r="CL109" s="107"/>
      <c r="CM109" s="107"/>
      <c r="CN109" s="107"/>
      <c r="CO109" s="107"/>
      <c r="CP109" s="107"/>
      <c r="CQ109" s="107"/>
      <c r="CR109" s="107"/>
      <c r="CS109" s="107"/>
      <c r="CT109" s="107"/>
      <c r="CU109" s="107"/>
      <c r="CV109" s="107"/>
      <c r="CW109" s="107"/>
      <c r="CX109" s="107"/>
      <c r="CY109" s="107"/>
      <c r="CZ109" s="107"/>
      <c r="DA109" s="107"/>
      <c r="DB109" s="107"/>
      <c r="DC109" s="107"/>
      <c r="DD109" s="107"/>
      <c r="DE109" s="107"/>
      <c r="DF109" s="107"/>
      <c r="DG109" s="107"/>
      <c r="DH109" s="107"/>
    </row>
    <row r="110" spans="7:112" ht="14.1" customHeight="1" thickTop="1" thickBot="1" x14ac:dyDescent="0.35">
      <c r="G110" s="106"/>
      <c r="H110" s="203"/>
      <c r="J110" s="210"/>
      <c r="K110" s="121" t="s">
        <v>118</v>
      </c>
      <c r="L110" s="205">
        <f t="shared" si="3"/>
        <v>0.313141</v>
      </c>
      <c r="M110" s="205">
        <f t="shared" si="3"/>
        <v>0.37568699999999999</v>
      </c>
      <c r="N110" s="205">
        <f t="shared" si="3"/>
        <v>0.36556</v>
      </c>
      <c r="O110" s="205">
        <f t="shared" si="3"/>
        <v>0.33295400000000003</v>
      </c>
      <c r="P110"/>
      <c r="Q110"/>
      <c r="R110"/>
      <c r="S110"/>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c r="BS110" s="107"/>
      <c r="BT110" s="107"/>
      <c r="BU110" s="107"/>
      <c r="BV110" s="107"/>
      <c r="BW110" s="107"/>
      <c r="BX110" s="107"/>
      <c r="BY110" s="107"/>
      <c r="BZ110" s="107"/>
      <c r="CA110" s="107"/>
      <c r="CB110" s="107"/>
      <c r="CC110" s="107"/>
      <c r="CD110" s="107"/>
      <c r="CE110" s="107"/>
      <c r="CF110" s="107"/>
      <c r="CG110" s="107"/>
      <c r="CH110" s="107"/>
      <c r="CI110" s="107"/>
      <c r="CJ110" s="107"/>
      <c r="CK110" s="107"/>
      <c r="CL110" s="107"/>
      <c r="CM110" s="107"/>
      <c r="CN110" s="107"/>
      <c r="CO110" s="107"/>
      <c r="CP110" s="107"/>
      <c r="CQ110" s="107"/>
      <c r="CR110" s="107"/>
      <c r="CS110" s="107"/>
      <c r="CT110" s="107"/>
      <c r="CU110" s="107"/>
      <c r="CV110" s="107"/>
      <c r="CW110" s="107"/>
      <c r="CX110" s="107"/>
      <c r="CY110" s="107"/>
      <c r="CZ110" s="107"/>
      <c r="DA110" s="107"/>
      <c r="DB110" s="107"/>
      <c r="DC110" s="107"/>
      <c r="DD110" s="107"/>
      <c r="DE110" s="107"/>
      <c r="DF110" s="107"/>
      <c r="DG110" s="107"/>
      <c r="DH110" s="107"/>
    </row>
    <row r="111" spans="7:112" ht="14.1" customHeight="1" thickTop="1" thickBot="1" x14ac:dyDescent="0.35">
      <c r="G111" s="106"/>
      <c r="H111" s="203"/>
      <c r="J111" s="210"/>
      <c r="K111" s="119" t="s">
        <v>134</v>
      </c>
      <c r="L111" s="205">
        <f t="shared" si="3"/>
        <v>0.163938</v>
      </c>
      <c r="M111" s="205">
        <f t="shared" si="3"/>
        <v>0.194299</v>
      </c>
      <c r="N111" s="205">
        <f t="shared" si="3"/>
        <v>0.20189999999999997</v>
      </c>
      <c r="O111" s="205">
        <f t="shared" si="3"/>
        <v>0.19071400000000002</v>
      </c>
      <c r="P111"/>
      <c r="Q111"/>
      <c r="R111"/>
      <c r="S111"/>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c r="BC111" s="107"/>
      <c r="BD111" s="107"/>
      <c r="BE111" s="107"/>
      <c r="BF111" s="107"/>
      <c r="BG111" s="107"/>
      <c r="BH111" s="107"/>
      <c r="BI111" s="107"/>
      <c r="BJ111" s="107"/>
      <c r="BK111" s="107"/>
      <c r="BL111" s="107"/>
      <c r="BM111" s="107"/>
      <c r="BN111" s="107"/>
      <c r="BO111" s="107"/>
      <c r="BP111" s="107"/>
      <c r="BQ111" s="107"/>
      <c r="BR111" s="107"/>
      <c r="BS111" s="107"/>
      <c r="BT111" s="107"/>
      <c r="BU111" s="107"/>
      <c r="BV111" s="107"/>
      <c r="BW111" s="107"/>
      <c r="BX111" s="107"/>
      <c r="BY111" s="107"/>
      <c r="BZ111" s="107"/>
      <c r="CA111" s="107"/>
      <c r="CB111" s="107"/>
      <c r="CC111" s="107"/>
      <c r="CD111" s="107"/>
      <c r="CE111" s="107"/>
      <c r="CF111" s="107"/>
      <c r="CG111" s="107"/>
      <c r="CH111" s="107"/>
      <c r="CI111" s="107"/>
      <c r="CJ111" s="107"/>
      <c r="CK111" s="107"/>
      <c r="CL111" s="107"/>
      <c r="CM111" s="107"/>
      <c r="CN111" s="107"/>
      <c r="CO111" s="107"/>
      <c r="CP111" s="107"/>
      <c r="CQ111" s="107"/>
      <c r="CR111" s="107"/>
      <c r="CS111" s="107"/>
      <c r="CT111" s="107"/>
      <c r="CU111" s="107"/>
      <c r="CV111" s="107"/>
      <c r="CW111" s="107"/>
      <c r="CX111" s="107"/>
      <c r="CY111" s="107"/>
      <c r="CZ111" s="107"/>
      <c r="DA111" s="107"/>
      <c r="DB111" s="107"/>
      <c r="DC111" s="107"/>
      <c r="DD111" s="107"/>
      <c r="DE111" s="107"/>
      <c r="DF111" s="107"/>
      <c r="DG111" s="107"/>
      <c r="DH111" s="107"/>
    </row>
    <row r="112" spans="7:112" ht="14.1" customHeight="1" thickTop="1" thickBot="1" x14ac:dyDescent="0.35">
      <c r="G112" s="106"/>
      <c r="H112" s="203"/>
      <c r="I112" s="201"/>
      <c r="J112" s="210"/>
      <c r="K112" s="7" t="s">
        <v>135</v>
      </c>
      <c r="L112" s="205">
        <f t="shared" si="3"/>
        <v>0.163938</v>
      </c>
      <c r="M112" s="205">
        <f t="shared" si="3"/>
        <v>0.194299</v>
      </c>
      <c r="N112" s="205">
        <f t="shared" si="3"/>
        <v>0.20189999999999997</v>
      </c>
      <c r="O112" s="205">
        <f t="shared" si="3"/>
        <v>0.19071400000000002</v>
      </c>
      <c r="P112"/>
      <c r="Q112"/>
      <c r="R112"/>
      <c r="S112"/>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c r="BS112" s="107"/>
      <c r="BT112" s="107"/>
      <c r="BU112" s="107"/>
      <c r="BV112" s="107"/>
      <c r="BW112" s="107"/>
      <c r="BX112" s="107"/>
      <c r="BY112" s="107"/>
      <c r="BZ112" s="107"/>
      <c r="CA112" s="107"/>
      <c r="CB112" s="107"/>
      <c r="CC112" s="107"/>
      <c r="CD112" s="107"/>
      <c r="CE112" s="107"/>
      <c r="CF112" s="107"/>
      <c r="CG112" s="107"/>
      <c r="CH112" s="107"/>
      <c r="CI112" s="107"/>
      <c r="CJ112" s="107"/>
      <c r="CK112" s="107"/>
      <c r="CL112" s="107"/>
      <c r="CM112" s="107"/>
      <c r="CN112" s="107"/>
      <c r="CO112" s="107"/>
      <c r="CP112" s="107"/>
      <c r="CQ112" s="107"/>
      <c r="CR112" s="107"/>
      <c r="CS112" s="107"/>
      <c r="CT112" s="107"/>
      <c r="CU112" s="107"/>
      <c r="CV112" s="107"/>
      <c r="CW112" s="107"/>
      <c r="CX112" s="107"/>
      <c r="CY112" s="107"/>
      <c r="CZ112" s="107"/>
      <c r="DA112" s="107"/>
      <c r="DB112" s="107"/>
      <c r="DC112" s="107"/>
      <c r="DD112" s="107"/>
      <c r="DE112" s="107"/>
      <c r="DF112" s="107"/>
      <c r="DG112" s="107"/>
      <c r="DH112" s="107"/>
    </row>
    <row r="113" spans="7:112" ht="14.1" customHeight="1" thickTop="1" x14ac:dyDescent="0.3">
      <c r="G113" s="106"/>
      <c r="H113" s="203"/>
      <c r="J113" s="210"/>
      <c r="K113" s="121" t="s">
        <v>136</v>
      </c>
      <c r="L113" s="205">
        <f t="shared" si="3"/>
        <v>0.163938</v>
      </c>
      <c r="M113" s="205">
        <f t="shared" si="3"/>
        <v>0.194299</v>
      </c>
      <c r="N113" s="205">
        <f t="shared" si="3"/>
        <v>0.20189999999999997</v>
      </c>
      <c r="O113" s="205">
        <f t="shared" si="3"/>
        <v>0.19071400000000002</v>
      </c>
      <c r="P113"/>
      <c r="Q113"/>
      <c r="R113"/>
      <c r="S113"/>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c r="BS113" s="107"/>
      <c r="BT113" s="107"/>
      <c r="BU113" s="107"/>
      <c r="BV113" s="107"/>
      <c r="BW113" s="107"/>
      <c r="BX113" s="107"/>
      <c r="BY113" s="107"/>
      <c r="BZ113" s="107"/>
      <c r="CA113" s="107"/>
      <c r="CB113" s="107"/>
      <c r="CC113" s="107"/>
      <c r="CD113" s="107"/>
      <c r="CE113" s="107"/>
      <c r="CF113" s="107"/>
      <c r="CG113" s="107"/>
      <c r="CH113" s="107"/>
      <c r="CI113" s="107"/>
      <c r="CJ113" s="107"/>
      <c r="CK113" s="107"/>
      <c r="CL113" s="107"/>
      <c r="CM113" s="107"/>
      <c r="CN113" s="107"/>
      <c r="CO113" s="107"/>
      <c r="CP113" s="107"/>
      <c r="CQ113" s="107"/>
      <c r="CR113" s="107"/>
      <c r="CS113" s="107"/>
      <c r="CT113" s="107"/>
      <c r="CU113" s="107"/>
      <c r="CV113" s="107"/>
      <c r="CW113" s="107"/>
      <c r="CX113" s="107"/>
      <c r="CY113" s="107"/>
      <c r="CZ113" s="107"/>
      <c r="DA113" s="107"/>
      <c r="DB113" s="107"/>
      <c r="DC113" s="107"/>
      <c r="DD113" s="107"/>
      <c r="DE113" s="107"/>
      <c r="DF113" s="107"/>
      <c r="DG113" s="107"/>
      <c r="DH113" s="107"/>
    </row>
    <row r="114" spans="7:112" ht="14.1" customHeight="1" thickBot="1" x14ac:dyDescent="0.35">
      <c r="G114" s="106"/>
      <c r="H114" s="203"/>
      <c r="J114" s="18"/>
      <c r="L114" s="107" t="s">
        <v>365</v>
      </c>
      <c r="M114" s="107" t="s">
        <v>366</v>
      </c>
      <c r="N114" s="107" t="s">
        <v>367</v>
      </c>
      <c r="O114" s="107" t="s">
        <v>368</v>
      </c>
      <c r="P114"/>
      <c r="Q114"/>
      <c r="R114"/>
      <c r="S114"/>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c r="BS114" s="107"/>
      <c r="BT114" s="107"/>
      <c r="BU114" s="107"/>
      <c r="BV114" s="107"/>
      <c r="BW114" s="107"/>
      <c r="BX114" s="107"/>
      <c r="BY114" s="107"/>
      <c r="BZ114" s="107"/>
      <c r="CA114" s="107"/>
      <c r="CB114" s="107"/>
      <c r="CC114" s="107"/>
      <c r="CD114" s="107"/>
      <c r="CE114" s="107"/>
      <c r="CF114" s="107"/>
      <c r="CG114" s="107"/>
      <c r="CH114" s="107"/>
      <c r="CI114" s="107"/>
      <c r="CJ114" s="107"/>
      <c r="CK114" s="107"/>
      <c r="CL114" s="107"/>
      <c r="CM114" s="107"/>
      <c r="CN114" s="107"/>
      <c r="CO114" s="107"/>
      <c r="CP114" s="107"/>
      <c r="CQ114" s="107"/>
      <c r="CR114" s="107"/>
      <c r="CS114" s="107"/>
      <c r="CT114" s="107"/>
      <c r="CU114" s="107"/>
      <c r="CV114" s="107"/>
      <c r="CW114" s="107"/>
      <c r="CX114" s="107"/>
      <c r="CY114" s="107"/>
      <c r="CZ114" s="107"/>
      <c r="DA114" s="107"/>
      <c r="DB114" s="107"/>
      <c r="DC114" s="107"/>
      <c r="DD114" s="107"/>
      <c r="DE114" s="107"/>
      <c r="DF114" s="107"/>
      <c r="DG114" s="107"/>
      <c r="DH114" s="107"/>
    </row>
    <row r="115" spans="7:112" ht="14.1" customHeight="1" thickTop="1" x14ac:dyDescent="0.3">
      <c r="G115" s="106"/>
      <c r="H115" s="203"/>
      <c r="J115" s="210" t="s">
        <v>137</v>
      </c>
      <c r="K115" s="119" t="s">
        <v>116</v>
      </c>
      <c r="L115" s="134">
        <f t="shared" ref="L115:O120" si="4">(L108)*8760</f>
        <v>2743.1151599999998</v>
      </c>
      <c r="M115" s="134">
        <f t="shared" si="4"/>
        <v>3291.0181199999997</v>
      </c>
      <c r="N115" s="134">
        <f t="shared" si="4"/>
        <v>3202.3056000000001</v>
      </c>
      <c r="O115" s="134">
        <f t="shared" si="4"/>
        <v>2916.67704</v>
      </c>
      <c r="P115"/>
      <c r="Q115"/>
      <c r="R115"/>
      <c r="S115"/>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c r="BS115" s="107"/>
      <c r="BT115" s="107"/>
      <c r="BU115" s="107"/>
      <c r="BV115" s="107"/>
      <c r="BW115" s="107"/>
      <c r="BX115" s="107"/>
      <c r="BY115" s="107"/>
      <c r="BZ115" s="107"/>
      <c r="CA115" s="107"/>
      <c r="CB115" s="107"/>
      <c r="CC115" s="107"/>
      <c r="CD115" s="107"/>
      <c r="CE115" s="107"/>
      <c r="CF115" s="107"/>
      <c r="CG115" s="107"/>
      <c r="CH115" s="107"/>
      <c r="CI115" s="107"/>
      <c r="CJ115" s="107"/>
      <c r="CK115" s="107"/>
      <c r="CL115" s="107"/>
      <c r="CM115" s="107"/>
      <c r="CN115" s="107"/>
      <c r="CO115" s="107"/>
      <c r="CP115" s="107"/>
      <c r="CQ115" s="107"/>
      <c r="CR115" s="107"/>
      <c r="CS115" s="107"/>
      <c r="CT115" s="107"/>
      <c r="CU115" s="107"/>
      <c r="CV115" s="107"/>
      <c r="CW115" s="107"/>
      <c r="CX115" s="107"/>
      <c r="CY115" s="107"/>
      <c r="CZ115" s="107"/>
      <c r="DA115" s="107"/>
      <c r="DB115" s="107"/>
      <c r="DC115" s="107"/>
      <c r="DD115" s="107"/>
      <c r="DE115" s="107"/>
      <c r="DF115" s="107"/>
      <c r="DG115" s="107"/>
      <c r="DH115" s="107"/>
    </row>
    <row r="116" spans="7:112" ht="14.1" customHeight="1" x14ac:dyDescent="0.3">
      <c r="G116" s="106"/>
      <c r="H116" s="203"/>
      <c r="J116" s="210"/>
      <c r="K116" s="7" t="s">
        <v>117</v>
      </c>
      <c r="L116" s="132">
        <f t="shared" si="4"/>
        <v>2743.1151599999998</v>
      </c>
      <c r="M116" s="132">
        <f t="shared" si="4"/>
        <v>3291.0181199999997</v>
      </c>
      <c r="N116" s="132">
        <f t="shared" si="4"/>
        <v>3202.3056000000001</v>
      </c>
      <c r="O116" s="132">
        <f t="shared" si="4"/>
        <v>2916.67704</v>
      </c>
      <c r="P116"/>
      <c r="Q116"/>
      <c r="R116"/>
      <c r="S116"/>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c r="BS116" s="107"/>
      <c r="BT116" s="107"/>
      <c r="BU116" s="107"/>
      <c r="BV116" s="107"/>
      <c r="BW116" s="107"/>
      <c r="BX116" s="107"/>
      <c r="BY116" s="107"/>
      <c r="BZ116" s="107"/>
      <c r="CA116" s="107"/>
      <c r="CB116" s="107"/>
      <c r="CC116" s="107"/>
      <c r="CD116" s="107"/>
      <c r="CE116" s="107"/>
      <c r="CF116" s="107"/>
      <c r="CG116" s="107"/>
      <c r="CH116" s="107"/>
      <c r="CI116" s="107"/>
      <c r="CJ116" s="107"/>
      <c r="CK116" s="107"/>
      <c r="CL116" s="107"/>
      <c r="CM116" s="107"/>
      <c r="CN116" s="107"/>
      <c r="CO116" s="107"/>
      <c r="CP116" s="107"/>
      <c r="CQ116" s="107"/>
      <c r="CR116" s="107"/>
      <c r="CS116" s="107"/>
      <c r="CT116" s="107"/>
      <c r="CU116" s="107"/>
      <c r="CV116" s="107"/>
      <c r="CW116" s="107"/>
      <c r="CX116" s="107"/>
      <c r="CY116" s="107"/>
      <c r="CZ116" s="107"/>
      <c r="DA116" s="107"/>
      <c r="DB116" s="107"/>
      <c r="DC116" s="107"/>
      <c r="DD116" s="107"/>
      <c r="DE116" s="107"/>
      <c r="DF116" s="107"/>
      <c r="DG116" s="107"/>
      <c r="DH116" s="107"/>
    </row>
    <row r="117" spans="7:112" ht="14.1" customHeight="1" thickBot="1" x14ac:dyDescent="0.35">
      <c r="G117" s="106"/>
      <c r="H117" s="203"/>
      <c r="J117" s="210"/>
      <c r="K117" s="121" t="s">
        <v>118</v>
      </c>
      <c r="L117" s="133">
        <f t="shared" si="4"/>
        <v>2743.1151599999998</v>
      </c>
      <c r="M117" s="133">
        <f t="shared" si="4"/>
        <v>3291.0181199999997</v>
      </c>
      <c r="N117" s="133">
        <f t="shared" si="4"/>
        <v>3202.3056000000001</v>
      </c>
      <c r="O117" s="133">
        <f t="shared" si="4"/>
        <v>2916.67704</v>
      </c>
      <c r="P117"/>
      <c r="Q117"/>
      <c r="R117"/>
      <c r="S11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c r="BS117" s="107"/>
      <c r="BT117" s="107"/>
      <c r="BU117" s="107"/>
      <c r="BV117" s="107"/>
      <c r="BW117" s="107"/>
      <c r="BX117" s="107"/>
      <c r="BY117" s="107"/>
      <c r="BZ117" s="107"/>
      <c r="CA117" s="107"/>
      <c r="CB117" s="107"/>
      <c r="CC117" s="107"/>
      <c r="CD117" s="107"/>
      <c r="CE117" s="107"/>
      <c r="CF117" s="107"/>
      <c r="CG117" s="107"/>
      <c r="CH117" s="107"/>
      <c r="CI117" s="107"/>
      <c r="CJ117" s="107"/>
      <c r="CK117" s="107"/>
      <c r="CL117" s="107"/>
      <c r="CM117" s="107"/>
      <c r="CN117" s="107"/>
      <c r="CO117" s="107"/>
      <c r="CP117" s="107"/>
      <c r="CQ117" s="107"/>
      <c r="CR117" s="107"/>
      <c r="CS117" s="107"/>
      <c r="CT117" s="107"/>
      <c r="CU117" s="107"/>
      <c r="CV117" s="107"/>
      <c r="CW117" s="107"/>
      <c r="CX117" s="107"/>
      <c r="CY117" s="107"/>
      <c r="CZ117" s="107"/>
      <c r="DA117" s="107"/>
      <c r="DB117" s="107"/>
      <c r="DC117" s="107"/>
      <c r="DD117" s="107"/>
      <c r="DE117" s="107"/>
      <c r="DF117" s="107"/>
      <c r="DG117" s="107"/>
      <c r="DH117" s="107"/>
    </row>
    <row r="118" spans="7:112" ht="14.1" customHeight="1" thickTop="1" x14ac:dyDescent="0.3">
      <c r="G118" s="106"/>
      <c r="H118" s="203"/>
      <c r="J118" s="211"/>
      <c r="K118" s="119" t="s">
        <v>134</v>
      </c>
      <c r="L118" s="134">
        <f t="shared" si="4"/>
        <v>1436.0968800000001</v>
      </c>
      <c r="M118" s="134">
        <f t="shared" si="4"/>
        <v>1702.05924</v>
      </c>
      <c r="N118" s="134">
        <f t="shared" si="4"/>
        <v>1768.6439999999998</v>
      </c>
      <c r="O118" s="134">
        <f t="shared" si="4"/>
        <v>1670.6546400000002</v>
      </c>
      <c r="P118"/>
      <c r="Q118"/>
      <c r="R118"/>
      <c r="S118"/>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c r="BS118" s="107"/>
      <c r="BT118" s="107"/>
      <c r="BU118" s="107"/>
      <c r="BV118" s="107"/>
      <c r="BW118" s="107"/>
      <c r="BX118" s="107"/>
      <c r="BY118" s="107"/>
      <c r="BZ118" s="107"/>
      <c r="CA118" s="107"/>
      <c r="CB118" s="107"/>
      <c r="CC118" s="107"/>
      <c r="CD118" s="107"/>
      <c r="CE118" s="107"/>
      <c r="CF118" s="107"/>
      <c r="CG118" s="107"/>
      <c r="CH118" s="107"/>
      <c r="CI118" s="107"/>
      <c r="CJ118" s="107"/>
      <c r="CK118" s="107"/>
      <c r="CL118" s="107"/>
      <c r="CM118" s="107"/>
      <c r="CN118" s="107"/>
      <c r="CO118" s="107"/>
      <c r="CP118" s="107"/>
      <c r="CQ118" s="107"/>
      <c r="CR118" s="107"/>
      <c r="CS118" s="107"/>
      <c r="CT118" s="107"/>
      <c r="CU118" s="107"/>
      <c r="CV118" s="107"/>
      <c r="CW118" s="107"/>
      <c r="CX118" s="107"/>
      <c r="CY118" s="107"/>
      <c r="CZ118" s="107"/>
      <c r="DA118" s="107"/>
      <c r="DB118" s="107"/>
      <c r="DC118" s="107"/>
      <c r="DD118" s="107"/>
      <c r="DE118" s="107"/>
      <c r="DF118" s="107"/>
      <c r="DG118" s="107"/>
      <c r="DH118" s="107"/>
    </row>
    <row r="119" spans="7:112" ht="14.1" customHeight="1" x14ac:dyDescent="0.3">
      <c r="G119" s="106"/>
      <c r="H119" s="203"/>
      <c r="J119" s="211"/>
      <c r="K119" s="7" t="s">
        <v>135</v>
      </c>
      <c r="L119" s="132">
        <f t="shared" si="4"/>
        <v>1436.0968800000001</v>
      </c>
      <c r="M119" s="132">
        <f t="shared" si="4"/>
        <v>1702.05924</v>
      </c>
      <c r="N119" s="132">
        <f t="shared" si="4"/>
        <v>1768.6439999999998</v>
      </c>
      <c r="O119" s="132">
        <f t="shared" si="4"/>
        <v>1670.6546400000002</v>
      </c>
      <c r="P119"/>
      <c r="Q119"/>
      <c r="R119"/>
      <c r="S119"/>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c r="BS119" s="107"/>
      <c r="BT119" s="107"/>
      <c r="BU119" s="107"/>
      <c r="BV119" s="107"/>
      <c r="BW119" s="107"/>
      <c r="BX119" s="107"/>
      <c r="BY119" s="107"/>
      <c r="BZ119" s="107"/>
      <c r="CA119" s="107"/>
      <c r="CB119" s="107"/>
      <c r="CC119" s="107"/>
      <c r="CD119" s="107"/>
      <c r="CE119" s="107"/>
      <c r="CF119" s="107"/>
      <c r="CG119" s="107"/>
      <c r="CH119" s="107"/>
      <c r="CI119" s="107"/>
      <c r="CJ119" s="107"/>
      <c r="CK119" s="107"/>
      <c r="CL119" s="107"/>
      <c r="CM119" s="107"/>
      <c r="CN119" s="107"/>
      <c r="CO119" s="107"/>
      <c r="CP119" s="107"/>
      <c r="CQ119" s="107"/>
      <c r="CR119" s="107"/>
      <c r="CS119" s="107"/>
      <c r="CT119" s="107"/>
      <c r="CU119" s="107"/>
      <c r="CV119" s="107"/>
      <c r="CW119" s="107"/>
      <c r="CX119" s="107"/>
      <c r="CY119" s="107"/>
      <c r="CZ119" s="107"/>
      <c r="DA119" s="107"/>
      <c r="DB119" s="107"/>
      <c r="DC119" s="107"/>
      <c r="DD119" s="107"/>
      <c r="DE119" s="107"/>
      <c r="DF119" s="107"/>
      <c r="DG119" s="107"/>
      <c r="DH119" s="107"/>
    </row>
    <row r="120" spans="7:112" ht="14.1" customHeight="1" thickBot="1" x14ac:dyDescent="0.35">
      <c r="G120" s="106"/>
      <c r="H120" s="203"/>
      <c r="J120" s="211"/>
      <c r="K120" s="121" t="s">
        <v>136</v>
      </c>
      <c r="L120" s="133">
        <f t="shared" si="4"/>
        <v>1436.0968800000001</v>
      </c>
      <c r="M120" s="133">
        <f t="shared" si="4"/>
        <v>1702.05924</v>
      </c>
      <c r="N120" s="133">
        <f t="shared" si="4"/>
        <v>1768.6439999999998</v>
      </c>
      <c r="O120" s="133">
        <f t="shared" si="4"/>
        <v>1670.6546400000002</v>
      </c>
      <c r="P120"/>
      <c r="Q120"/>
      <c r="R120"/>
      <c r="S120"/>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c r="BS120" s="107"/>
      <c r="BT120" s="107"/>
      <c r="BU120" s="107"/>
      <c r="BV120" s="107"/>
      <c r="BW120" s="107"/>
      <c r="BX120" s="107"/>
      <c r="BY120" s="107"/>
      <c r="BZ120" s="107"/>
      <c r="CA120" s="107"/>
      <c r="CB120" s="107"/>
      <c r="CC120" s="107"/>
      <c r="CD120" s="107"/>
      <c r="CE120" s="107"/>
      <c r="CF120" s="107"/>
      <c r="CG120" s="107"/>
      <c r="CH120" s="107"/>
      <c r="CI120" s="107"/>
      <c r="CJ120" s="107"/>
      <c r="CK120" s="107"/>
      <c r="CL120" s="107"/>
      <c r="CM120" s="107"/>
      <c r="CN120" s="107"/>
      <c r="CO120" s="107"/>
      <c r="CP120" s="107"/>
      <c r="CQ120" s="107"/>
      <c r="CR120" s="107"/>
      <c r="CS120" s="107"/>
      <c r="CT120" s="107"/>
      <c r="CU120" s="107"/>
      <c r="CV120" s="107"/>
      <c r="CW120" s="107"/>
      <c r="CX120" s="107"/>
      <c r="CY120" s="107"/>
      <c r="CZ120" s="107"/>
      <c r="DA120" s="107"/>
      <c r="DB120" s="107"/>
      <c r="DC120" s="107"/>
      <c r="DD120" s="107"/>
      <c r="DE120" s="107"/>
      <c r="DF120" s="107"/>
      <c r="DG120" s="107"/>
      <c r="DH120" s="107"/>
    </row>
    <row r="121" spans="7:112" ht="14.1" customHeight="1" thickTop="1" x14ac:dyDescent="0.3">
      <c r="G121" s="106"/>
      <c r="H121" s="203"/>
      <c r="J121" s="129"/>
      <c r="K121" s="7"/>
      <c r="L121" s="138"/>
      <c r="M121" s="138"/>
      <c r="N121" s="138"/>
      <c r="O121" s="138"/>
      <c r="P121"/>
      <c r="Q121"/>
      <c r="R121"/>
      <c r="S121"/>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c r="BS121" s="107"/>
      <c r="BT121" s="107"/>
      <c r="BU121" s="107"/>
      <c r="BV121" s="107"/>
      <c r="BW121" s="107"/>
      <c r="BX121" s="107"/>
      <c r="BY121" s="107"/>
      <c r="BZ121" s="107"/>
      <c r="CA121" s="107"/>
      <c r="CB121" s="107"/>
      <c r="CC121" s="107"/>
      <c r="CD121" s="107"/>
      <c r="CE121" s="107"/>
      <c r="CF121" s="107"/>
      <c r="CG121" s="107"/>
      <c r="CH121" s="107"/>
      <c r="CI121" s="107"/>
      <c r="CJ121" s="107"/>
      <c r="CK121" s="107"/>
      <c r="CL121" s="107"/>
      <c r="CM121" s="107"/>
      <c r="CN121" s="107"/>
      <c r="CO121" s="107"/>
      <c r="CP121" s="107"/>
      <c r="CQ121" s="107"/>
      <c r="CR121" s="107"/>
      <c r="CS121" s="107"/>
      <c r="CT121" s="107"/>
      <c r="CU121" s="107"/>
      <c r="CV121" s="107"/>
      <c r="CW121" s="107"/>
      <c r="CX121" s="107"/>
      <c r="CY121" s="107"/>
      <c r="CZ121" s="107"/>
      <c r="DA121" s="107"/>
      <c r="DB121" s="107"/>
      <c r="DC121" s="107"/>
      <c r="DD121" s="107"/>
      <c r="DE121" s="107"/>
      <c r="DF121" s="107"/>
      <c r="DG121" s="107"/>
      <c r="DH121" s="107"/>
    </row>
    <row r="122" spans="7:112" ht="14.1" customHeight="1" thickBot="1" x14ac:dyDescent="0.35">
      <c r="G122" s="106"/>
      <c r="H122" s="203"/>
      <c r="J122" s="18"/>
      <c r="L122" s="107" t="s">
        <v>365</v>
      </c>
      <c r="M122" s="107" t="s">
        <v>366</v>
      </c>
      <c r="N122" s="107" t="s">
        <v>367</v>
      </c>
      <c r="O122" s="107" t="s">
        <v>368</v>
      </c>
      <c r="P122"/>
      <c r="Q122"/>
      <c r="R122"/>
      <c r="S122"/>
      <c r="U122" s="107"/>
      <c r="V122" s="107"/>
      <c r="W122" s="107"/>
      <c r="X122" s="107"/>
      <c r="Y122" s="107"/>
      <c r="Z122" s="107"/>
      <c r="AA122" s="107"/>
      <c r="AB122" s="107"/>
      <c r="AC122" s="107"/>
      <c r="AD122" s="107"/>
      <c r="AE122" s="107"/>
      <c r="AF122" s="107"/>
      <c r="AG122" s="107"/>
      <c r="AH122" s="107"/>
      <c r="AI122" s="107"/>
      <c r="AJ122" s="107"/>
      <c r="AK122" s="107"/>
      <c r="AL122" s="107"/>
      <c r="AM122" s="107"/>
      <c r="AN122" s="107"/>
      <c r="AO122" s="107"/>
      <c r="AP122" s="107"/>
      <c r="AQ122" s="107"/>
      <c r="AR122" s="107"/>
      <c r="AS122" s="107"/>
      <c r="AT122" s="107"/>
      <c r="AU122" s="107"/>
      <c r="AV122" s="107"/>
      <c r="AW122" s="107"/>
      <c r="AX122" s="107"/>
      <c r="AY122" s="107"/>
      <c r="AZ122" s="107"/>
      <c r="BA122" s="107"/>
      <c r="BB122" s="107"/>
      <c r="BC122" s="107"/>
      <c r="BD122" s="107"/>
      <c r="BE122" s="107"/>
      <c r="BF122" s="107"/>
      <c r="BG122" s="107"/>
      <c r="BH122" s="107"/>
      <c r="BI122" s="107"/>
      <c r="BJ122" s="107"/>
      <c r="BK122" s="107"/>
      <c r="BL122" s="107"/>
      <c r="BM122" s="107"/>
      <c r="BN122" s="107"/>
      <c r="BO122" s="107"/>
      <c r="BP122" s="107"/>
      <c r="BQ122" s="107"/>
      <c r="BR122" s="107"/>
      <c r="BS122" s="107"/>
      <c r="BT122" s="107"/>
      <c r="BU122" s="107"/>
      <c r="BV122" s="107"/>
      <c r="BW122" s="107"/>
      <c r="BX122" s="107"/>
      <c r="BY122" s="107"/>
      <c r="BZ122" s="107"/>
      <c r="CA122" s="107"/>
      <c r="CB122" s="107"/>
      <c r="CC122" s="107"/>
      <c r="CD122" s="107"/>
      <c r="CE122" s="107"/>
      <c r="CF122" s="107"/>
      <c r="CG122" s="107"/>
      <c r="CH122" s="107"/>
      <c r="CI122" s="107"/>
      <c r="CJ122" s="107"/>
      <c r="CK122" s="107"/>
      <c r="CL122" s="107"/>
      <c r="CM122" s="107"/>
      <c r="CN122" s="107"/>
      <c r="CO122" s="107"/>
      <c r="CP122" s="107"/>
      <c r="CQ122" s="107"/>
      <c r="CR122" s="107"/>
      <c r="CS122" s="107"/>
      <c r="CT122" s="107"/>
      <c r="CU122" s="107"/>
      <c r="CV122" s="107"/>
      <c r="CW122" s="107"/>
      <c r="CX122" s="107"/>
      <c r="CY122" s="107"/>
      <c r="CZ122" s="107"/>
      <c r="DA122" s="107"/>
      <c r="DB122" s="107"/>
      <c r="DC122" s="107"/>
      <c r="DD122" s="107"/>
      <c r="DE122" s="107"/>
      <c r="DF122" s="107"/>
      <c r="DG122" s="107"/>
      <c r="DH122" s="107"/>
    </row>
    <row r="123" spans="7:112" ht="14.1" customHeight="1" thickTop="1" x14ac:dyDescent="0.3">
      <c r="G123" s="106"/>
      <c r="H123" s="203"/>
      <c r="J123" s="210" t="s">
        <v>138</v>
      </c>
      <c r="K123" s="119" t="s">
        <v>116</v>
      </c>
      <c r="L123" s="142">
        <f t="shared" ref="L123:O128" si="5" xml:space="preserve"> $N$43*(L155 + L188)</f>
        <v>4990.3578752607636</v>
      </c>
      <c r="M123" s="142">
        <f t="shared" si="5"/>
        <v>4421.2511545666657</v>
      </c>
      <c r="N123" s="142">
        <f t="shared" si="5"/>
        <v>4610.9533947980317</v>
      </c>
      <c r="O123" s="142">
        <f t="shared" si="5"/>
        <v>5244.0107290545438</v>
      </c>
      <c r="P123"/>
      <c r="Q123"/>
      <c r="R123"/>
      <c r="S123"/>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c r="BS123" s="107"/>
      <c r="BT123" s="107"/>
      <c r="BU123" s="107"/>
      <c r="BV123" s="107"/>
      <c r="BW123" s="107"/>
      <c r="BX123" s="107"/>
      <c r="BY123" s="107"/>
      <c r="BZ123" s="107"/>
      <c r="CA123" s="107"/>
      <c r="CB123" s="107"/>
      <c r="CC123" s="107"/>
      <c r="CD123" s="107"/>
      <c r="CE123" s="107"/>
      <c r="CF123" s="107"/>
      <c r="CG123" s="107"/>
      <c r="CH123" s="107"/>
      <c r="CI123" s="107"/>
      <c r="CJ123" s="107"/>
      <c r="CK123" s="107"/>
      <c r="CL123" s="107"/>
      <c r="CM123" s="107"/>
      <c r="CN123" s="107"/>
      <c r="CO123" s="107"/>
      <c r="CP123" s="107"/>
      <c r="CQ123" s="107"/>
      <c r="CR123" s="107"/>
      <c r="CS123" s="107"/>
      <c r="CT123" s="107"/>
      <c r="CU123" s="107"/>
      <c r="CV123" s="107"/>
      <c r="CW123" s="107"/>
      <c r="CX123" s="107"/>
      <c r="CY123" s="107"/>
      <c r="CZ123" s="107"/>
      <c r="DA123" s="107"/>
      <c r="DB123" s="107"/>
      <c r="DC123" s="107"/>
      <c r="DD123" s="107"/>
      <c r="DE123" s="107"/>
      <c r="DF123" s="107"/>
      <c r="DG123" s="107"/>
      <c r="DH123" s="107"/>
    </row>
    <row r="124" spans="7:112" ht="14.1" customHeight="1" x14ac:dyDescent="0.3">
      <c r="G124" s="106"/>
      <c r="H124" s="203"/>
      <c r="J124" s="210"/>
      <c r="K124" s="7" t="s">
        <v>117</v>
      </c>
      <c r="L124" s="140">
        <f t="shared" si="5"/>
        <v>5116.0212842768469</v>
      </c>
      <c r="M124" s="140">
        <f t="shared" si="5"/>
        <v>4546.914563582749</v>
      </c>
      <c r="N124" s="140">
        <f t="shared" si="5"/>
        <v>4736.616803814115</v>
      </c>
      <c r="O124" s="140">
        <f t="shared" si="5"/>
        <v>5369.6741380706271</v>
      </c>
      <c r="P124"/>
      <c r="Q124"/>
      <c r="R124"/>
      <c r="S124"/>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c r="BS124" s="107"/>
      <c r="BT124" s="107"/>
      <c r="BU124" s="107"/>
      <c r="BV124" s="107"/>
      <c r="BW124" s="107"/>
      <c r="BX124" s="107"/>
      <c r="BY124" s="107"/>
      <c r="BZ124" s="107"/>
      <c r="CA124" s="107"/>
      <c r="CB124" s="107"/>
      <c r="CC124" s="107"/>
      <c r="CD124" s="107"/>
      <c r="CE124" s="107"/>
      <c r="CF124" s="107"/>
      <c r="CG124" s="107"/>
      <c r="CH124" s="107"/>
      <c r="CI124" s="107"/>
      <c r="CJ124" s="107"/>
      <c r="CK124" s="107"/>
      <c r="CL124" s="107"/>
      <c r="CM124" s="107"/>
      <c r="CN124" s="107"/>
      <c r="CO124" s="107"/>
      <c r="CP124" s="107"/>
      <c r="CQ124" s="107"/>
      <c r="CR124" s="107"/>
      <c r="CS124" s="107"/>
      <c r="CT124" s="107"/>
      <c r="CU124" s="107"/>
      <c r="CV124" s="107"/>
      <c r="CW124" s="107"/>
      <c r="CX124" s="107"/>
      <c r="CY124" s="107"/>
      <c r="CZ124" s="107"/>
      <c r="DA124" s="107"/>
      <c r="DB124" s="107"/>
      <c r="DC124" s="107"/>
      <c r="DD124" s="107"/>
      <c r="DE124" s="107"/>
      <c r="DF124" s="107"/>
      <c r="DG124" s="107"/>
      <c r="DH124" s="107"/>
    </row>
    <row r="125" spans="7:112" ht="14.1" customHeight="1" thickBot="1" x14ac:dyDescent="0.35">
      <c r="G125" s="106"/>
      <c r="H125" s="203"/>
      <c r="J125" s="210"/>
      <c r="K125" s="121" t="s">
        <v>118</v>
      </c>
      <c r="L125" s="141">
        <f t="shared" si="5"/>
        <v>5314.6602475106947</v>
      </c>
      <c r="M125" s="141">
        <f t="shared" si="5"/>
        <v>4745.5535268165977</v>
      </c>
      <c r="N125" s="141">
        <f t="shared" si="5"/>
        <v>4935.2557670479637</v>
      </c>
      <c r="O125" s="141">
        <f t="shared" si="5"/>
        <v>5568.3131013044758</v>
      </c>
      <c r="P125"/>
      <c r="Q125"/>
      <c r="R125"/>
      <c r="S125"/>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c r="BS125" s="107"/>
      <c r="BT125" s="107"/>
      <c r="BU125" s="107"/>
      <c r="BV125" s="107"/>
      <c r="BW125" s="107"/>
      <c r="BX125" s="107"/>
      <c r="BY125" s="107"/>
      <c r="BZ125" s="107"/>
      <c r="CA125" s="107"/>
      <c r="CB125" s="107"/>
      <c r="CC125" s="107"/>
      <c r="CD125" s="107"/>
      <c r="CE125" s="107"/>
      <c r="CF125" s="107"/>
      <c r="CG125" s="107"/>
      <c r="CH125" s="107"/>
      <c r="CI125" s="107"/>
      <c r="CJ125" s="107"/>
      <c r="CK125" s="107"/>
      <c r="CL125" s="107"/>
      <c r="CM125" s="107"/>
      <c r="CN125" s="107"/>
      <c r="CO125" s="107"/>
      <c r="CP125" s="107"/>
      <c r="CQ125" s="107"/>
      <c r="CR125" s="107"/>
      <c r="CS125" s="107"/>
      <c r="CT125" s="107"/>
      <c r="CU125" s="107"/>
      <c r="CV125" s="107"/>
      <c r="CW125" s="107"/>
      <c r="CX125" s="107"/>
      <c r="CY125" s="107"/>
      <c r="CZ125" s="107"/>
      <c r="DA125" s="107"/>
      <c r="DB125" s="107"/>
      <c r="DC125" s="107"/>
      <c r="DD125" s="107"/>
      <c r="DE125" s="107"/>
      <c r="DF125" s="107"/>
      <c r="DG125" s="107"/>
      <c r="DH125" s="107"/>
    </row>
    <row r="126" spans="7:112" ht="14.1" customHeight="1" thickTop="1" x14ac:dyDescent="0.3">
      <c r="G126" s="106"/>
      <c r="H126" s="203"/>
      <c r="J126" s="211"/>
      <c r="K126" s="119" t="s">
        <v>134</v>
      </c>
      <c r="L126" s="142">
        <f t="shared" si="5"/>
        <v>6403.0777885094594</v>
      </c>
      <c r="M126" s="142">
        <f t="shared" si="5"/>
        <v>5312.9616573215681</v>
      </c>
      <c r="N126" s="142">
        <f t="shared" si="5"/>
        <v>5644.2688275839964</v>
      </c>
      <c r="O126" s="142">
        <f t="shared" si="5"/>
        <v>6276.9678950978614</v>
      </c>
      <c r="P126"/>
      <c r="Q126"/>
      <c r="R126"/>
      <c r="S126"/>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c r="BS126" s="107"/>
      <c r="BT126" s="107"/>
      <c r="BU126" s="107"/>
      <c r="BV126" s="107"/>
      <c r="BW126" s="107"/>
      <c r="BX126" s="107"/>
      <c r="BY126" s="107"/>
      <c r="BZ126" s="107"/>
      <c r="CA126" s="107"/>
      <c r="CB126" s="107"/>
      <c r="CC126" s="107"/>
      <c r="CD126" s="107"/>
      <c r="CE126" s="107"/>
      <c r="CF126" s="107"/>
      <c r="CG126" s="107"/>
      <c r="CH126" s="107"/>
      <c r="CI126" s="107"/>
      <c r="CJ126" s="107"/>
      <c r="CK126" s="107"/>
      <c r="CL126" s="107"/>
      <c r="CM126" s="107"/>
      <c r="CN126" s="107"/>
      <c r="CO126" s="107"/>
      <c r="CP126" s="107"/>
      <c r="CQ126" s="107"/>
      <c r="CR126" s="107"/>
      <c r="CS126" s="107"/>
      <c r="CT126" s="107"/>
      <c r="CU126" s="107"/>
      <c r="CV126" s="107"/>
      <c r="CW126" s="107"/>
      <c r="CX126" s="107"/>
      <c r="CY126" s="107"/>
      <c r="CZ126" s="107"/>
      <c r="DA126" s="107"/>
      <c r="DB126" s="107"/>
      <c r="DC126" s="107"/>
      <c r="DD126" s="107"/>
      <c r="DE126" s="107"/>
      <c r="DF126" s="107"/>
      <c r="DG126" s="107"/>
      <c r="DH126" s="107"/>
    </row>
    <row r="127" spans="7:112" ht="14.1" customHeight="1" x14ac:dyDescent="0.3">
      <c r="G127" s="106"/>
      <c r="H127" s="203"/>
      <c r="J127" s="211"/>
      <c r="K127" s="7" t="s">
        <v>135</v>
      </c>
      <c r="L127" s="140">
        <f t="shared" si="5"/>
        <v>6552.4034010202786</v>
      </c>
      <c r="M127" s="140">
        <f t="shared" si="5"/>
        <v>5462.2872698323881</v>
      </c>
      <c r="N127" s="140">
        <f t="shared" si="5"/>
        <v>5793.5944400948156</v>
      </c>
      <c r="O127" s="140">
        <f t="shared" si="5"/>
        <v>6426.2935076086824</v>
      </c>
      <c r="P127"/>
      <c r="Q127"/>
      <c r="R127"/>
      <c r="S12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c r="BS127" s="107"/>
      <c r="BT127" s="107"/>
      <c r="BU127" s="107"/>
      <c r="BV127" s="107"/>
      <c r="BW127" s="107"/>
      <c r="BX127" s="107"/>
      <c r="BY127" s="107"/>
      <c r="BZ127" s="107"/>
      <c r="CA127" s="107"/>
      <c r="CB127" s="107"/>
      <c r="CC127" s="107"/>
      <c r="CD127" s="107"/>
      <c r="CE127" s="107"/>
      <c r="CF127" s="107"/>
      <c r="CG127" s="107"/>
      <c r="CH127" s="107"/>
      <c r="CI127" s="107"/>
      <c r="CJ127" s="107"/>
      <c r="CK127" s="107"/>
      <c r="CL127" s="107"/>
      <c r="CM127" s="107"/>
      <c r="CN127" s="107"/>
      <c r="CO127" s="107"/>
      <c r="CP127" s="107"/>
      <c r="CQ127" s="107"/>
      <c r="CR127" s="107"/>
      <c r="CS127" s="107"/>
      <c r="CT127" s="107"/>
      <c r="CU127" s="107"/>
      <c r="CV127" s="107"/>
      <c r="CW127" s="107"/>
      <c r="CX127" s="107"/>
      <c r="CY127" s="107"/>
      <c r="CZ127" s="107"/>
      <c r="DA127" s="107"/>
      <c r="DB127" s="107"/>
      <c r="DC127" s="107"/>
      <c r="DD127" s="107"/>
      <c r="DE127" s="107"/>
      <c r="DF127" s="107"/>
      <c r="DG127" s="107"/>
      <c r="DH127" s="107"/>
    </row>
    <row r="128" spans="7:112" ht="14.1" customHeight="1" thickBot="1" x14ac:dyDescent="0.35">
      <c r="G128" s="106"/>
      <c r="H128" s="203"/>
      <c r="J128" s="211"/>
      <c r="K128" s="121" t="s">
        <v>136</v>
      </c>
      <c r="L128" s="141">
        <f t="shared" si="5"/>
        <v>6788.4457389263953</v>
      </c>
      <c r="M128" s="141">
        <f t="shared" si="5"/>
        <v>5698.3296077385039</v>
      </c>
      <c r="N128" s="141">
        <f t="shared" si="5"/>
        <v>6029.6367780009323</v>
      </c>
      <c r="O128" s="141">
        <f t="shared" si="5"/>
        <v>6662.3358455147982</v>
      </c>
      <c r="P128"/>
      <c r="Q128"/>
      <c r="R128"/>
      <c r="S128"/>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07"/>
      <c r="AP128" s="107"/>
      <c r="AQ128" s="107"/>
      <c r="AR128" s="107"/>
      <c r="AS128" s="107"/>
      <c r="AT128" s="107"/>
      <c r="AU128" s="107"/>
      <c r="AV128" s="107"/>
      <c r="AW128" s="107"/>
      <c r="AX128" s="107"/>
      <c r="AY128" s="107"/>
      <c r="AZ128" s="107"/>
      <c r="BA128" s="107"/>
      <c r="BB128" s="107"/>
      <c r="BC128" s="107"/>
      <c r="BD128" s="107"/>
      <c r="BE128" s="107"/>
      <c r="BF128" s="107"/>
      <c r="BG128" s="107"/>
      <c r="BH128" s="107"/>
      <c r="BI128" s="107"/>
      <c r="BJ128" s="107"/>
      <c r="BK128" s="107"/>
      <c r="BL128" s="107"/>
      <c r="BM128" s="107"/>
      <c r="BN128" s="107"/>
      <c r="BO128" s="107"/>
      <c r="BP128" s="107"/>
      <c r="BQ128" s="107"/>
      <c r="BR128" s="107"/>
      <c r="BS128" s="107"/>
      <c r="BT128" s="107"/>
      <c r="BU128" s="107"/>
      <c r="BV128" s="107"/>
      <c r="BW128" s="107"/>
      <c r="BX128" s="107"/>
      <c r="BY128" s="107"/>
      <c r="BZ128" s="107"/>
      <c r="CA128" s="107"/>
      <c r="CB128" s="107"/>
      <c r="CC128" s="107"/>
      <c r="CD128" s="107"/>
      <c r="CE128" s="107"/>
      <c r="CF128" s="107"/>
      <c r="CG128" s="107"/>
      <c r="CH128" s="107"/>
      <c r="CI128" s="107"/>
      <c r="CJ128" s="107"/>
      <c r="CK128" s="107"/>
      <c r="CL128" s="107"/>
      <c r="CM128" s="107"/>
      <c r="CN128" s="107"/>
      <c r="CO128" s="107"/>
      <c r="CP128" s="107"/>
      <c r="CQ128" s="107"/>
      <c r="CR128" s="107"/>
      <c r="CS128" s="107"/>
      <c r="CT128" s="107"/>
      <c r="CU128" s="107"/>
      <c r="CV128" s="107"/>
      <c r="CW128" s="107"/>
      <c r="CX128" s="107"/>
      <c r="CY128" s="107"/>
      <c r="CZ128" s="107"/>
      <c r="DA128" s="107"/>
      <c r="DB128" s="107"/>
      <c r="DC128" s="107"/>
      <c r="DD128" s="107"/>
      <c r="DE128" s="107"/>
      <c r="DF128" s="107"/>
      <c r="DG128" s="107"/>
      <c r="DH128" s="107"/>
    </row>
    <row r="129" spans="7:112" ht="14.1" customHeight="1" thickTop="1" x14ac:dyDescent="0.3">
      <c r="G129" s="106"/>
      <c r="H129" s="203"/>
      <c r="J129" s="129"/>
      <c r="K129" s="7"/>
      <c r="L129" s="146"/>
      <c r="M129" s="146"/>
      <c r="N129" s="146"/>
      <c r="O129" s="146"/>
      <c r="P129"/>
      <c r="Q129"/>
      <c r="R129"/>
      <c r="S129"/>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c r="BS129" s="107"/>
      <c r="BT129" s="107"/>
      <c r="BU129" s="107"/>
      <c r="BV129" s="107"/>
      <c r="BW129" s="107"/>
      <c r="BX129" s="107"/>
      <c r="BY129" s="107"/>
      <c r="BZ129" s="107"/>
      <c r="CA129" s="107"/>
      <c r="CB129" s="107"/>
      <c r="CC129" s="107"/>
      <c r="CD129" s="107"/>
      <c r="CE129" s="107"/>
      <c r="CF129" s="107"/>
      <c r="CG129" s="107"/>
      <c r="CH129" s="107"/>
      <c r="CI129" s="107"/>
      <c r="CJ129" s="107"/>
      <c r="CK129" s="107"/>
      <c r="CL129" s="107"/>
      <c r="CM129" s="107"/>
      <c r="CN129" s="107"/>
      <c r="CO129" s="107"/>
      <c r="CP129" s="107"/>
      <c r="CQ129" s="107"/>
      <c r="CR129" s="107"/>
      <c r="CS129" s="107"/>
      <c r="CT129" s="107"/>
      <c r="CU129" s="107"/>
      <c r="CV129" s="107"/>
      <c r="CW129" s="107"/>
      <c r="CX129" s="107"/>
      <c r="CY129" s="107"/>
      <c r="CZ129" s="107"/>
      <c r="DA129" s="107"/>
      <c r="DB129" s="107"/>
      <c r="DC129" s="107"/>
      <c r="DD129" s="107"/>
      <c r="DE129" s="107"/>
      <c r="DF129" s="107"/>
      <c r="DG129" s="107"/>
      <c r="DH129" s="107"/>
    </row>
    <row r="130" spans="7:112" ht="14.1" customHeight="1" thickBot="1" x14ac:dyDescent="0.35">
      <c r="G130" s="106"/>
      <c r="H130" s="203"/>
      <c r="L130" s="107" t="s">
        <v>365</v>
      </c>
      <c r="M130" s="107" t="s">
        <v>366</v>
      </c>
      <c r="N130" s="107" t="s">
        <v>367</v>
      </c>
      <c r="O130" s="107" t="s">
        <v>368</v>
      </c>
      <c r="P130"/>
      <c r="Q130"/>
      <c r="R130"/>
      <c r="S130"/>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c r="BS130" s="107"/>
      <c r="BT130" s="107"/>
      <c r="BU130" s="107"/>
      <c r="BV130" s="107"/>
      <c r="BW130" s="107"/>
      <c r="BX130" s="107"/>
      <c r="BY130" s="107"/>
      <c r="BZ130" s="107"/>
      <c r="CA130" s="107"/>
      <c r="CB130" s="107"/>
      <c r="CC130" s="107"/>
      <c r="CD130" s="107"/>
      <c r="CE130" s="107"/>
      <c r="CF130" s="107"/>
      <c r="CG130" s="107"/>
      <c r="CH130" s="107"/>
      <c r="CI130" s="107"/>
      <c r="CJ130" s="107"/>
      <c r="CK130" s="107"/>
      <c r="CL130" s="107"/>
      <c r="CM130" s="107"/>
      <c r="CN130" s="107"/>
      <c r="CO130" s="107"/>
      <c r="CP130" s="107"/>
      <c r="CQ130" s="107"/>
      <c r="CR130" s="107"/>
      <c r="CS130" s="107"/>
      <c r="CT130" s="107"/>
      <c r="CU130" s="107"/>
      <c r="CV130" s="107"/>
      <c r="CW130" s="107"/>
      <c r="CX130" s="107"/>
      <c r="CY130" s="107"/>
      <c r="CZ130" s="107"/>
      <c r="DA130" s="107"/>
      <c r="DB130" s="107"/>
      <c r="DC130" s="107"/>
      <c r="DD130" s="107"/>
      <c r="DE130" s="107"/>
      <c r="DF130" s="107"/>
      <c r="DG130" s="107"/>
      <c r="DH130" s="107"/>
    </row>
    <row r="131" spans="7:112" ht="14.1" customHeight="1" thickTop="1" x14ac:dyDescent="0.3">
      <c r="G131" s="106"/>
      <c r="H131" s="203"/>
      <c r="J131" s="210" t="s">
        <v>139</v>
      </c>
      <c r="K131" s="119" t="s">
        <v>116</v>
      </c>
      <c r="L131" s="142">
        <f t="shared" ref="L131:O136" si="6">(L155+L188)*($N$43-1)</f>
        <v>347.30166301318854</v>
      </c>
      <c r="M131" s="142">
        <f t="shared" si="6"/>
        <v>307.69494231909118</v>
      </c>
      <c r="N131" s="142">
        <f t="shared" si="6"/>
        <v>320.89718255045693</v>
      </c>
      <c r="O131" s="142">
        <f t="shared" si="6"/>
        <v>364.95451680696942</v>
      </c>
      <c r="P131"/>
      <c r="Q131"/>
      <c r="R131"/>
      <c r="S131"/>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c r="BS131" s="107"/>
      <c r="BT131" s="107"/>
      <c r="BU131" s="107"/>
      <c r="BV131" s="107"/>
      <c r="BW131" s="107"/>
      <c r="BX131" s="107"/>
      <c r="BY131" s="107"/>
      <c r="BZ131" s="107"/>
      <c r="CA131" s="107"/>
      <c r="CB131" s="107"/>
      <c r="CC131" s="107"/>
      <c r="CD131" s="107"/>
      <c r="CE131" s="107"/>
      <c r="CF131" s="107"/>
      <c r="CG131" s="107"/>
      <c r="CH131" s="107"/>
      <c r="CI131" s="107"/>
      <c r="CJ131" s="107"/>
      <c r="CK131" s="107"/>
      <c r="CL131" s="107"/>
      <c r="CM131" s="107"/>
      <c r="CN131" s="107"/>
      <c r="CO131" s="107"/>
      <c r="CP131" s="107"/>
      <c r="CQ131" s="107"/>
      <c r="CR131" s="107"/>
      <c r="CS131" s="107"/>
      <c r="CT131" s="107"/>
      <c r="CU131" s="107"/>
      <c r="CV131" s="107"/>
      <c r="CW131" s="107"/>
      <c r="CX131" s="107"/>
      <c r="CY131" s="107"/>
      <c r="CZ131" s="107"/>
      <c r="DA131" s="107"/>
      <c r="DB131" s="107"/>
      <c r="DC131" s="107"/>
      <c r="DD131" s="107"/>
      <c r="DE131" s="107"/>
      <c r="DF131" s="107"/>
      <c r="DG131" s="107"/>
      <c r="DH131" s="107"/>
    </row>
    <row r="132" spans="7:112" ht="14.1" customHeight="1" x14ac:dyDescent="0.3">
      <c r="G132" s="106"/>
      <c r="H132" s="203"/>
      <c r="J132" s="210"/>
      <c r="K132" s="7" t="s">
        <v>117</v>
      </c>
      <c r="L132" s="140">
        <f t="shared" si="6"/>
        <v>356.04715021512828</v>
      </c>
      <c r="M132" s="140">
        <f t="shared" si="6"/>
        <v>316.44042952103092</v>
      </c>
      <c r="N132" s="140">
        <f t="shared" si="6"/>
        <v>329.64266975239667</v>
      </c>
      <c r="O132" s="140">
        <f t="shared" si="6"/>
        <v>373.70000400890916</v>
      </c>
      <c r="P132"/>
      <c r="Q132"/>
      <c r="R132"/>
      <c r="S132"/>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c r="BS132" s="107"/>
      <c r="BT132" s="107"/>
      <c r="BU132" s="107"/>
      <c r="BV132" s="107"/>
      <c r="BW132" s="107"/>
      <c r="BX132" s="107"/>
      <c r="BY132" s="107"/>
      <c r="BZ132" s="107"/>
      <c r="CA132" s="107"/>
      <c r="CB132" s="107"/>
      <c r="CC132" s="107"/>
      <c r="CD132" s="107"/>
      <c r="CE132" s="107"/>
      <c r="CF132" s="107"/>
      <c r="CG132" s="107"/>
      <c r="CH132" s="107"/>
      <c r="CI132" s="107"/>
      <c r="CJ132" s="107"/>
      <c r="CK132" s="107"/>
      <c r="CL132" s="107"/>
      <c r="CM132" s="107"/>
      <c r="CN132" s="107"/>
      <c r="CO132" s="107"/>
      <c r="CP132" s="107"/>
      <c r="CQ132" s="107"/>
      <c r="CR132" s="107"/>
      <c r="CS132" s="107"/>
      <c r="CT132" s="107"/>
      <c r="CU132" s="107"/>
      <c r="CV132" s="107"/>
      <c r="CW132" s="107"/>
      <c r="CX132" s="107"/>
      <c r="CY132" s="107"/>
      <c r="CZ132" s="107"/>
      <c r="DA132" s="107"/>
      <c r="DB132" s="107"/>
      <c r="DC132" s="107"/>
      <c r="DD132" s="107"/>
      <c r="DE132" s="107"/>
      <c r="DF132" s="107"/>
      <c r="DG132" s="107"/>
      <c r="DH132" s="107"/>
    </row>
    <row r="133" spans="7:112" ht="14.1" customHeight="1" thickBot="1" x14ac:dyDescent="0.35">
      <c r="G133" s="106"/>
      <c r="H133" s="203"/>
      <c r="J133" s="210"/>
      <c r="K133" s="121" t="s">
        <v>118</v>
      </c>
      <c r="L133" s="141">
        <f t="shared" si="6"/>
        <v>369.87133757698683</v>
      </c>
      <c r="M133" s="141">
        <f t="shared" si="6"/>
        <v>330.26461688288947</v>
      </c>
      <c r="N133" s="141">
        <f t="shared" si="6"/>
        <v>343.46685711425522</v>
      </c>
      <c r="O133" s="141">
        <f t="shared" si="6"/>
        <v>387.52419137076771</v>
      </c>
      <c r="P133"/>
      <c r="Q133"/>
      <c r="R133"/>
      <c r="S133"/>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c r="BS133" s="107"/>
      <c r="BT133" s="107"/>
      <c r="BU133" s="107"/>
      <c r="BV133" s="107"/>
      <c r="BW133" s="107"/>
      <c r="BX133" s="107"/>
      <c r="BY133" s="107"/>
      <c r="BZ133" s="107"/>
      <c r="CA133" s="107"/>
      <c r="CB133" s="107"/>
      <c r="CC133" s="107"/>
      <c r="CD133" s="107"/>
      <c r="CE133" s="107"/>
      <c r="CF133" s="107"/>
      <c r="CG133" s="107"/>
      <c r="CH133" s="107"/>
      <c r="CI133" s="107"/>
      <c r="CJ133" s="107"/>
      <c r="CK133" s="107"/>
      <c r="CL133" s="107"/>
      <c r="CM133" s="107"/>
      <c r="CN133" s="107"/>
      <c r="CO133" s="107"/>
      <c r="CP133" s="107"/>
      <c r="CQ133" s="107"/>
      <c r="CR133" s="107"/>
      <c r="CS133" s="107"/>
      <c r="CT133" s="107"/>
      <c r="CU133" s="107"/>
      <c r="CV133" s="107"/>
      <c r="CW133" s="107"/>
      <c r="CX133" s="107"/>
      <c r="CY133" s="107"/>
      <c r="CZ133" s="107"/>
      <c r="DA133" s="107"/>
      <c r="DB133" s="107"/>
      <c r="DC133" s="107"/>
      <c r="DD133" s="107"/>
      <c r="DE133" s="107"/>
      <c r="DF133" s="107"/>
      <c r="DG133" s="107"/>
      <c r="DH133" s="107"/>
    </row>
    <row r="134" spans="7:112" ht="14.1" customHeight="1" thickTop="1" x14ac:dyDescent="0.3">
      <c r="G134" s="106"/>
      <c r="H134" s="203"/>
      <c r="J134" s="211"/>
      <c r="K134" s="119" t="s">
        <v>134</v>
      </c>
      <c r="L134" s="142">
        <f t="shared" si="6"/>
        <v>445.61925616125143</v>
      </c>
      <c r="M134" s="142">
        <f t="shared" si="6"/>
        <v>369.75312497336051</v>
      </c>
      <c r="N134" s="142">
        <f t="shared" si="6"/>
        <v>392.81029523578832</v>
      </c>
      <c r="O134" s="142">
        <f t="shared" si="6"/>
        <v>436.84269608298746</v>
      </c>
      <c r="P134"/>
      <c r="Q134"/>
      <c r="R134"/>
      <c r="S134"/>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c r="BS134" s="107"/>
      <c r="BT134" s="107"/>
      <c r="BU134" s="107"/>
      <c r="BV134" s="107"/>
      <c r="BW134" s="107"/>
      <c r="BX134" s="107"/>
      <c r="BY134" s="107"/>
      <c r="BZ134" s="107"/>
      <c r="CA134" s="107"/>
      <c r="CB134" s="107"/>
      <c r="CC134" s="107"/>
      <c r="CD134" s="107"/>
      <c r="CE134" s="107"/>
      <c r="CF134" s="107"/>
      <c r="CG134" s="107"/>
      <c r="CH134" s="107"/>
      <c r="CI134" s="107"/>
      <c r="CJ134" s="107"/>
      <c r="CK134" s="107"/>
      <c r="CL134" s="107"/>
      <c r="CM134" s="107"/>
      <c r="CN134" s="107"/>
      <c r="CO134" s="107"/>
      <c r="CP134" s="107"/>
      <c r="CQ134" s="107"/>
      <c r="CR134" s="107"/>
      <c r="CS134" s="107"/>
      <c r="CT134" s="107"/>
      <c r="CU134" s="107"/>
      <c r="CV134" s="107"/>
      <c r="CW134" s="107"/>
      <c r="CX134" s="107"/>
      <c r="CY134" s="107"/>
      <c r="CZ134" s="107"/>
      <c r="DA134" s="107"/>
      <c r="DB134" s="107"/>
      <c r="DC134" s="107"/>
      <c r="DD134" s="107"/>
      <c r="DE134" s="107"/>
      <c r="DF134" s="107"/>
      <c r="DG134" s="107"/>
      <c r="DH134" s="107"/>
    </row>
    <row r="135" spans="7:112" ht="14.1" customHeight="1" x14ac:dyDescent="0.3">
      <c r="G135" s="106"/>
      <c r="H135" s="203"/>
      <c r="J135" s="211"/>
      <c r="K135" s="7" t="s">
        <v>135</v>
      </c>
      <c r="L135" s="140">
        <f t="shared" si="6"/>
        <v>456.01150354145778</v>
      </c>
      <c r="M135" s="140">
        <f t="shared" si="6"/>
        <v>380.14537235356687</v>
      </c>
      <c r="N135" s="140">
        <f t="shared" si="6"/>
        <v>403.20254261599462</v>
      </c>
      <c r="O135" s="140">
        <f t="shared" si="6"/>
        <v>447.23494346319387</v>
      </c>
      <c r="P135"/>
      <c r="Q135"/>
      <c r="R135"/>
      <c r="S135"/>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c r="BS135" s="107"/>
      <c r="BT135" s="107"/>
      <c r="BU135" s="107"/>
      <c r="BV135" s="107"/>
      <c r="BW135" s="107"/>
      <c r="BX135" s="107"/>
      <c r="BY135" s="107"/>
      <c r="BZ135" s="107"/>
      <c r="CA135" s="107"/>
      <c r="CB135" s="107"/>
      <c r="CC135" s="107"/>
      <c r="CD135" s="107"/>
      <c r="CE135" s="107"/>
      <c r="CF135" s="107"/>
      <c r="CG135" s="107"/>
      <c r="CH135" s="107"/>
      <c r="CI135" s="107"/>
      <c r="CJ135" s="107"/>
      <c r="CK135" s="107"/>
      <c r="CL135" s="107"/>
      <c r="CM135" s="107"/>
      <c r="CN135" s="107"/>
      <c r="CO135" s="107"/>
      <c r="CP135" s="107"/>
      <c r="CQ135" s="107"/>
      <c r="CR135" s="107"/>
      <c r="CS135" s="107"/>
      <c r="CT135" s="107"/>
      <c r="CU135" s="107"/>
      <c r="CV135" s="107"/>
      <c r="CW135" s="107"/>
      <c r="CX135" s="107"/>
      <c r="CY135" s="107"/>
      <c r="CZ135" s="107"/>
      <c r="DA135" s="107"/>
      <c r="DB135" s="107"/>
      <c r="DC135" s="107"/>
      <c r="DD135" s="107"/>
      <c r="DE135" s="107"/>
      <c r="DF135" s="107"/>
      <c r="DG135" s="107"/>
      <c r="DH135" s="107"/>
    </row>
    <row r="136" spans="7:112" ht="14.1" customHeight="1" thickBot="1" x14ac:dyDescent="0.35">
      <c r="G136" s="106"/>
      <c r="H136" s="203"/>
      <c r="J136" s="211"/>
      <c r="K136" s="121" t="s">
        <v>136</v>
      </c>
      <c r="L136" s="141">
        <f t="shared" si="6"/>
        <v>472.4387615749373</v>
      </c>
      <c r="M136" s="141">
        <f t="shared" si="6"/>
        <v>396.57263038704639</v>
      </c>
      <c r="N136" s="141">
        <f t="shared" si="6"/>
        <v>419.62980064947413</v>
      </c>
      <c r="O136" s="141">
        <f t="shared" si="6"/>
        <v>463.66220149667339</v>
      </c>
      <c r="P136"/>
      <c r="Q136"/>
      <c r="R136"/>
      <c r="S136"/>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c r="BS136" s="107"/>
      <c r="BT136" s="107"/>
      <c r="BU136" s="107"/>
      <c r="BV136" s="107"/>
      <c r="BW136" s="107"/>
      <c r="BX136" s="107"/>
      <c r="BY136" s="107"/>
      <c r="BZ136" s="107"/>
      <c r="CA136" s="107"/>
      <c r="CB136" s="107"/>
      <c r="CC136" s="107"/>
      <c r="CD136" s="107"/>
      <c r="CE136" s="107"/>
      <c r="CF136" s="107"/>
      <c r="CG136" s="107"/>
      <c r="CH136" s="107"/>
      <c r="CI136" s="107"/>
      <c r="CJ136" s="107"/>
      <c r="CK136" s="107"/>
      <c r="CL136" s="107"/>
      <c r="CM136" s="107"/>
      <c r="CN136" s="107"/>
      <c r="CO136" s="107"/>
      <c r="CP136" s="107"/>
      <c r="CQ136" s="107"/>
      <c r="CR136" s="107"/>
      <c r="CS136" s="107"/>
      <c r="CT136" s="107"/>
      <c r="CU136" s="107"/>
      <c r="CV136" s="107"/>
      <c r="CW136" s="107"/>
      <c r="CX136" s="107"/>
      <c r="CY136" s="107"/>
      <c r="CZ136" s="107"/>
      <c r="DA136" s="107"/>
      <c r="DB136" s="107"/>
      <c r="DC136" s="107"/>
      <c r="DD136" s="107"/>
      <c r="DE136" s="107"/>
      <c r="DF136" s="107"/>
      <c r="DG136" s="107"/>
      <c r="DH136" s="107"/>
    </row>
    <row r="137" spans="7:112" ht="14.1" customHeight="1" thickTop="1" x14ac:dyDescent="0.3">
      <c r="G137" s="106"/>
      <c r="H137" s="203"/>
      <c r="J137" s="129"/>
      <c r="K137" s="7"/>
      <c r="L137" s="153"/>
      <c r="M137" s="153"/>
      <c r="N137" s="153"/>
      <c r="O137" s="153"/>
      <c r="P137"/>
      <c r="Q137"/>
      <c r="R137"/>
      <c r="S13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c r="BS137" s="107"/>
      <c r="BT137" s="107"/>
      <c r="BU137" s="107"/>
      <c r="BV137" s="107"/>
      <c r="BW137" s="107"/>
      <c r="BX137" s="107"/>
      <c r="BY137" s="107"/>
      <c r="BZ137" s="107"/>
      <c r="CA137" s="107"/>
      <c r="CB137" s="107"/>
      <c r="CC137" s="107"/>
      <c r="CD137" s="107"/>
      <c r="CE137" s="107"/>
      <c r="CF137" s="107"/>
      <c r="CG137" s="107"/>
      <c r="CH137" s="107"/>
      <c r="CI137" s="107"/>
      <c r="CJ137" s="107"/>
      <c r="CK137" s="107"/>
      <c r="CL137" s="107"/>
      <c r="CM137" s="107"/>
      <c r="CN137" s="107"/>
      <c r="CO137" s="107"/>
      <c r="CP137" s="107"/>
      <c r="CQ137" s="107"/>
      <c r="CR137" s="107"/>
      <c r="CS137" s="107"/>
      <c r="CT137" s="107"/>
      <c r="CU137" s="107"/>
      <c r="CV137" s="107"/>
      <c r="CW137" s="107"/>
      <c r="CX137" s="107"/>
      <c r="CY137" s="107"/>
      <c r="CZ137" s="107"/>
      <c r="DA137" s="107"/>
      <c r="DB137" s="107"/>
      <c r="DC137" s="107"/>
      <c r="DD137" s="107"/>
      <c r="DE137" s="107"/>
      <c r="DF137" s="107"/>
      <c r="DG137" s="107"/>
      <c r="DH137" s="107"/>
    </row>
    <row r="138" spans="7:112" ht="14.1" customHeight="1" thickBot="1" x14ac:dyDescent="0.35">
      <c r="G138" s="106"/>
      <c r="H138" s="203"/>
      <c r="J138" s="129"/>
      <c r="K138" s="7"/>
      <c r="L138" s="107" t="s">
        <v>365</v>
      </c>
      <c r="M138" s="107" t="s">
        <v>366</v>
      </c>
      <c r="N138" s="107" t="s">
        <v>367</v>
      </c>
      <c r="O138" s="107" t="s">
        <v>368</v>
      </c>
      <c r="P138"/>
      <c r="Q138"/>
      <c r="R138"/>
      <c r="S138"/>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c r="BS138" s="107"/>
      <c r="BT138" s="107"/>
      <c r="BU138" s="107"/>
      <c r="BV138" s="107"/>
      <c r="BW138" s="107"/>
      <c r="BX138" s="107"/>
      <c r="BY138" s="107"/>
      <c r="BZ138" s="107"/>
      <c r="CA138" s="107"/>
      <c r="CB138" s="107"/>
      <c r="CC138" s="107"/>
      <c r="CD138" s="107"/>
      <c r="CE138" s="107"/>
      <c r="CF138" s="107"/>
      <c r="CG138" s="107"/>
      <c r="CH138" s="107"/>
      <c r="CI138" s="107"/>
      <c r="CJ138" s="107"/>
      <c r="CK138" s="107"/>
      <c r="CL138" s="107"/>
      <c r="CM138" s="107"/>
      <c r="CN138" s="107"/>
      <c r="CO138" s="107"/>
      <c r="CP138" s="107"/>
      <c r="CQ138" s="107"/>
      <c r="CR138" s="107"/>
      <c r="CS138" s="107"/>
      <c r="CT138" s="107"/>
      <c r="CU138" s="107"/>
      <c r="CV138" s="107"/>
      <c r="CW138" s="107"/>
      <c r="CX138" s="107"/>
      <c r="CY138" s="107"/>
      <c r="CZ138" s="107"/>
      <c r="DA138" s="107"/>
      <c r="DB138" s="107"/>
      <c r="DC138" s="107"/>
      <c r="DD138" s="107"/>
      <c r="DE138" s="107"/>
      <c r="DF138" s="107"/>
      <c r="DG138" s="107"/>
      <c r="DH138" s="107"/>
    </row>
    <row r="139" spans="7:112" ht="14.1" customHeight="1" thickTop="1" x14ac:dyDescent="0.3">
      <c r="G139" s="106"/>
      <c r="H139" s="203"/>
      <c r="J139" s="210" t="s">
        <v>372</v>
      </c>
      <c r="K139" s="119" t="s">
        <v>116</v>
      </c>
      <c r="L139" s="152">
        <v>3630.4002384804216</v>
      </c>
      <c r="M139" s="152">
        <v>3630.4002384804216</v>
      </c>
      <c r="N139" s="152">
        <v>3630.4002384804216</v>
      </c>
      <c r="O139" s="152">
        <v>3630.4002384804216</v>
      </c>
      <c r="P139"/>
      <c r="Q139"/>
      <c r="R139"/>
      <c r="S139"/>
      <c r="U139" s="107"/>
      <c r="V139" s="107"/>
      <c r="W139" s="107"/>
      <c r="X139" s="107"/>
      <c r="Y139" s="107"/>
      <c r="Z139" s="107"/>
      <c r="AA139" s="107"/>
      <c r="AB139" s="107"/>
      <c r="AC139" s="107"/>
      <c r="AD139" s="107"/>
      <c r="AE139" s="107"/>
      <c r="AF139" s="107"/>
      <c r="AG139" s="107"/>
      <c r="AH139" s="107"/>
      <c r="AI139" s="107"/>
      <c r="AJ139" s="107"/>
      <c r="AK139" s="107"/>
      <c r="AL139" s="107"/>
      <c r="AM139" s="107"/>
      <c r="AN139" s="107"/>
      <c r="AO139" s="107"/>
      <c r="AP139" s="107"/>
      <c r="AQ139" s="107"/>
      <c r="AR139" s="107"/>
      <c r="AS139" s="107"/>
      <c r="AT139" s="107"/>
      <c r="AU139" s="107"/>
      <c r="AV139" s="107"/>
      <c r="AW139" s="107"/>
      <c r="AX139" s="107"/>
      <c r="AY139" s="107"/>
      <c r="AZ139" s="107"/>
      <c r="BA139" s="107"/>
      <c r="BB139" s="107"/>
      <c r="BC139" s="107"/>
      <c r="BD139" s="107"/>
      <c r="BE139" s="107"/>
      <c r="BF139" s="107"/>
      <c r="BG139" s="107"/>
      <c r="BH139" s="107"/>
      <c r="BI139" s="107"/>
      <c r="BJ139" s="107"/>
      <c r="BK139" s="107"/>
      <c r="BL139" s="107"/>
      <c r="BM139" s="107"/>
      <c r="BN139" s="107"/>
      <c r="BO139" s="107"/>
      <c r="BP139" s="107"/>
      <c r="BQ139" s="107"/>
      <c r="BR139" s="107"/>
      <c r="BS139" s="107"/>
      <c r="BT139" s="107"/>
      <c r="BU139" s="107"/>
      <c r="BV139" s="107"/>
      <c r="BW139" s="107"/>
      <c r="BX139" s="107"/>
      <c r="BY139" s="107"/>
      <c r="BZ139" s="107"/>
      <c r="CA139" s="107"/>
      <c r="CB139" s="107"/>
      <c r="CC139" s="107"/>
      <c r="CD139" s="107"/>
      <c r="CE139" s="107"/>
      <c r="CF139" s="107"/>
      <c r="CG139" s="107"/>
      <c r="CH139" s="107"/>
      <c r="CI139" s="107"/>
      <c r="CJ139" s="107"/>
      <c r="CK139" s="107"/>
      <c r="CL139" s="107"/>
      <c r="CM139" s="107"/>
      <c r="CN139" s="107"/>
      <c r="CO139" s="107"/>
      <c r="CP139" s="107"/>
      <c r="CQ139" s="107"/>
      <c r="CR139" s="107"/>
      <c r="CS139" s="107"/>
      <c r="CT139" s="107"/>
      <c r="CU139" s="107"/>
      <c r="CV139" s="107"/>
      <c r="CW139" s="107"/>
      <c r="CX139" s="107"/>
      <c r="CY139" s="107"/>
      <c r="CZ139" s="107"/>
      <c r="DA139" s="107"/>
      <c r="DB139" s="107"/>
      <c r="DC139" s="107"/>
      <c r="DD139" s="107"/>
      <c r="DE139" s="107"/>
      <c r="DF139" s="107"/>
      <c r="DG139" s="107"/>
      <c r="DH139" s="107"/>
    </row>
    <row r="140" spans="7:112" ht="14.1" customHeight="1" x14ac:dyDescent="0.3">
      <c r="G140" s="106"/>
      <c r="H140" s="203"/>
      <c r="J140" s="210"/>
      <c r="K140" s="7" t="s">
        <v>117</v>
      </c>
      <c r="L140" s="150">
        <v>3761.7686899569867</v>
      </c>
      <c r="M140" s="150">
        <v>3761.7686899569867</v>
      </c>
      <c r="N140" s="150">
        <v>3761.7686899569867</v>
      </c>
      <c r="O140" s="150">
        <v>3761.7686899569867</v>
      </c>
      <c r="P140"/>
      <c r="Q140"/>
      <c r="R140"/>
      <c r="S140"/>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c r="BS140" s="107"/>
      <c r="BT140" s="107"/>
      <c r="BU140" s="107"/>
      <c r="BV140" s="107"/>
      <c r="BW140" s="107"/>
      <c r="BX140" s="107"/>
      <c r="BY140" s="107"/>
      <c r="BZ140" s="107"/>
      <c r="CA140" s="107"/>
      <c r="CB140" s="107"/>
      <c r="CC140" s="107"/>
      <c r="CD140" s="107"/>
      <c r="CE140" s="107"/>
      <c r="CF140" s="107"/>
      <c r="CG140" s="107"/>
      <c r="CH140" s="107"/>
      <c r="CI140" s="107"/>
      <c r="CJ140" s="107"/>
      <c r="CK140" s="107"/>
      <c r="CL140" s="107"/>
      <c r="CM140" s="107"/>
      <c r="CN140" s="107"/>
      <c r="CO140" s="107"/>
      <c r="CP140" s="107"/>
      <c r="CQ140" s="107"/>
      <c r="CR140" s="107"/>
      <c r="CS140" s="107"/>
      <c r="CT140" s="107"/>
      <c r="CU140" s="107"/>
      <c r="CV140" s="107"/>
      <c r="CW140" s="107"/>
      <c r="CX140" s="107"/>
      <c r="CY140" s="107"/>
      <c r="CZ140" s="107"/>
      <c r="DA140" s="107"/>
      <c r="DB140" s="107"/>
      <c r="DC140" s="107"/>
      <c r="DD140" s="107"/>
      <c r="DE140" s="107"/>
      <c r="DF140" s="107"/>
      <c r="DG140" s="107"/>
      <c r="DH140" s="107"/>
    </row>
    <row r="141" spans="7:112" ht="14.1" customHeight="1" thickBot="1" x14ac:dyDescent="0.35">
      <c r="G141" s="106"/>
      <c r="H141" s="203"/>
      <c r="J141" s="210"/>
      <c r="K141" s="121" t="s">
        <v>118</v>
      </c>
      <c r="L141" s="151">
        <v>3969.4257414985477</v>
      </c>
      <c r="M141" s="151">
        <v>3969.4257414985477</v>
      </c>
      <c r="N141" s="151">
        <v>3969.4257414985477</v>
      </c>
      <c r="O141" s="151">
        <v>3969.4257414985477</v>
      </c>
      <c r="P141"/>
      <c r="Q141"/>
      <c r="R141"/>
      <c r="S141"/>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c r="BS141" s="107"/>
      <c r="BT141" s="107"/>
      <c r="BU141" s="107"/>
      <c r="BV141" s="107"/>
      <c r="BW141" s="107"/>
      <c r="BX141" s="107"/>
      <c r="BY141" s="107"/>
      <c r="BZ141" s="107"/>
      <c r="CA141" s="107"/>
      <c r="CB141" s="107"/>
      <c r="CC141" s="107"/>
      <c r="CD141" s="107"/>
      <c r="CE141" s="107"/>
      <c r="CF141" s="107"/>
      <c r="CG141" s="107"/>
      <c r="CH141" s="107"/>
      <c r="CI141" s="107"/>
      <c r="CJ141" s="107"/>
      <c r="CK141" s="107"/>
      <c r="CL141" s="107"/>
      <c r="CM141" s="107"/>
      <c r="CN141" s="107"/>
      <c r="CO141" s="107"/>
      <c r="CP141" s="107"/>
      <c r="CQ141" s="107"/>
      <c r="CR141" s="107"/>
      <c r="CS141" s="107"/>
      <c r="CT141" s="107"/>
      <c r="CU141" s="107"/>
      <c r="CV141" s="107"/>
      <c r="CW141" s="107"/>
      <c r="CX141" s="107"/>
      <c r="CY141" s="107"/>
      <c r="CZ141" s="107"/>
      <c r="DA141" s="107"/>
      <c r="DB141" s="107"/>
      <c r="DC141" s="107"/>
      <c r="DD141" s="107"/>
      <c r="DE141" s="107"/>
      <c r="DF141" s="107"/>
      <c r="DG141" s="107"/>
      <c r="DH141" s="107"/>
    </row>
    <row r="142" spans="7:112" ht="14.1" customHeight="1" thickTop="1" x14ac:dyDescent="0.3">
      <c r="G142" s="106"/>
      <c r="H142" s="203"/>
      <c r="J142" s="210"/>
      <c r="K142" s="119" t="s">
        <v>134</v>
      </c>
      <c r="L142" s="152">
        <v>4313.9983509530421</v>
      </c>
      <c r="M142" s="152">
        <v>4313.9983509530421</v>
      </c>
      <c r="N142" s="152">
        <v>4313.9983509530421</v>
      </c>
      <c r="O142" s="152">
        <v>4313.9983509530421</v>
      </c>
      <c r="P142"/>
      <c r="Q142"/>
      <c r="R142"/>
      <c r="S142"/>
      <c r="U142" s="107"/>
      <c r="V142" s="107"/>
      <c r="W142" s="107"/>
      <c r="X142" s="107"/>
      <c r="Y142" s="107"/>
      <c r="Z142" s="107"/>
      <c r="AA142" s="107"/>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07"/>
      <c r="BB142" s="107"/>
      <c r="BC142" s="107"/>
      <c r="BD142" s="107"/>
      <c r="BE142" s="107"/>
      <c r="BF142" s="107"/>
      <c r="BG142" s="107"/>
      <c r="BH142" s="107"/>
      <c r="BI142" s="107"/>
      <c r="BJ142" s="107"/>
      <c r="BK142" s="107"/>
      <c r="BL142" s="107"/>
      <c r="BM142" s="107"/>
      <c r="BN142" s="107"/>
      <c r="BO142" s="107"/>
      <c r="BP142" s="107"/>
      <c r="BQ142" s="107"/>
      <c r="BR142" s="107"/>
      <c r="BS142" s="107"/>
      <c r="BT142" s="107"/>
      <c r="BU142" s="107"/>
      <c r="BV142" s="107"/>
      <c r="BW142" s="107"/>
      <c r="BX142" s="107"/>
      <c r="BY142" s="107"/>
      <c r="BZ142" s="107"/>
      <c r="CA142" s="107"/>
      <c r="CB142" s="107"/>
      <c r="CC142" s="107"/>
      <c r="CD142" s="107"/>
      <c r="CE142" s="107"/>
      <c r="CF142" s="107"/>
      <c r="CG142" s="107"/>
      <c r="CH142" s="107"/>
      <c r="CI142" s="107"/>
      <c r="CJ142" s="107"/>
      <c r="CK142" s="107"/>
      <c r="CL142" s="107"/>
      <c r="CM142" s="107"/>
      <c r="CN142" s="107"/>
      <c r="CO142" s="107"/>
      <c r="CP142" s="107"/>
      <c r="CQ142" s="107"/>
      <c r="CR142" s="107"/>
      <c r="CS142" s="107"/>
      <c r="CT142" s="107"/>
      <c r="CU142" s="107"/>
      <c r="CV142" s="107"/>
      <c r="CW142" s="107"/>
      <c r="CX142" s="107"/>
      <c r="CY142" s="107"/>
      <c r="CZ142" s="107"/>
      <c r="DA142" s="107"/>
      <c r="DB142" s="107"/>
      <c r="DC142" s="107"/>
      <c r="DD142" s="107"/>
      <c r="DE142" s="107"/>
      <c r="DF142" s="107"/>
      <c r="DG142" s="107"/>
      <c r="DH142" s="107"/>
    </row>
    <row r="143" spans="7:112" ht="14.1" customHeight="1" x14ac:dyDescent="0.3">
      <c r="G143" s="106"/>
      <c r="H143" s="203"/>
      <c r="J143" s="210"/>
      <c r="K143" s="7" t="s">
        <v>135</v>
      </c>
      <c r="L143" s="150">
        <v>4470.1032555941811</v>
      </c>
      <c r="M143" s="150">
        <v>4470.1032555941811</v>
      </c>
      <c r="N143" s="150">
        <v>4470.1032555941811</v>
      </c>
      <c r="O143" s="150">
        <v>4470.1032555941811</v>
      </c>
      <c r="P143"/>
      <c r="Q143"/>
      <c r="R143"/>
      <c r="S143"/>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c r="BS143" s="107"/>
      <c r="BT143" s="107"/>
      <c r="BU143" s="107"/>
      <c r="BV143" s="107"/>
      <c r="BW143" s="107"/>
      <c r="BX143" s="107"/>
      <c r="BY143" s="107"/>
      <c r="BZ143" s="107"/>
      <c r="CA143" s="107"/>
      <c r="CB143" s="107"/>
      <c r="CC143" s="107"/>
      <c r="CD143" s="107"/>
      <c r="CE143" s="107"/>
      <c r="CF143" s="107"/>
      <c r="CG143" s="107"/>
      <c r="CH143" s="107"/>
      <c r="CI143" s="107"/>
      <c r="CJ143" s="107"/>
      <c r="CK143" s="107"/>
      <c r="CL143" s="107"/>
      <c r="CM143" s="107"/>
      <c r="CN143" s="107"/>
      <c r="CO143" s="107"/>
      <c r="CP143" s="107"/>
      <c r="CQ143" s="107"/>
      <c r="CR143" s="107"/>
      <c r="CS143" s="107"/>
      <c r="CT143" s="107"/>
      <c r="CU143" s="107"/>
      <c r="CV143" s="107"/>
      <c r="CW143" s="107"/>
      <c r="CX143" s="107"/>
      <c r="CY143" s="107"/>
      <c r="CZ143" s="107"/>
      <c r="DA143" s="107"/>
      <c r="DB143" s="107"/>
      <c r="DC143" s="107"/>
      <c r="DD143" s="107"/>
      <c r="DE143" s="107"/>
      <c r="DF143" s="107"/>
      <c r="DG143" s="107"/>
      <c r="DH143" s="107"/>
    </row>
    <row r="144" spans="7:112" ht="14.1" customHeight="1" thickBot="1" x14ac:dyDescent="0.35">
      <c r="G144" s="106"/>
      <c r="H144" s="203"/>
      <c r="J144" s="210"/>
      <c r="K144" s="121" t="s">
        <v>136</v>
      </c>
      <c r="L144" s="151">
        <v>4716.8617723050093</v>
      </c>
      <c r="M144" s="151">
        <v>4716.8617723050093</v>
      </c>
      <c r="N144" s="151">
        <v>4716.8617723050093</v>
      </c>
      <c r="O144" s="151">
        <v>4716.8617723050093</v>
      </c>
      <c r="P144"/>
      <c r="Q144"/>
      <c r="R144"/>
      <c r="S144"/>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c r="BS144" s="107"/>
      <c r="BT144" s="107"/>
      <c r="BU144" s="107"/>
      <c r="BV144" s="107"/>
      <c r="BW144" s="107"/>
      <c r="BX144" s="107"/>
      <c r="BY144" s="107"/>
      <c r="BZ144" s="107"/>
      <c r="CA144" s="107"/>
      <c r="CB144" s="107"/>
      <c r="CC144" s="107"/>
      <c r="CD144" s="107"/>
      <c r="CE144" s="107"/>
      <c r="CF144" s="107"/>
      <c r="CG144" s="107"/>
      <c r="CH144" s="107"/>
      <c r="CI144" s="107"/>
      <c r="CJ144" s="107"/>
      <c r="CK144" s="107"/>
      <c r="CL144" s="107"/>
      <c r="CM144" s="107"/>
      <c r="CN144" s="107"/>
      <c r="CO144" s="107"/>
      <c r="CP144" s="107"/>
      <c r="CQ144" s="107"/>
      <c r="CR144" s="107"/>
      <c r="CS144" s="107"/>
      <c r="CT144" s="107"/>
      <c r="CU144" s="107"/>
      <c r="CV144" s="107"/>
      <c r="CW144" s="107"/>
      <c r="CX144" s="107"/>
      <c r="CY144" s="107"/>
      <c r="CZ144" s="107"/>
      <c r="DA144" s="107"/>
      <c r="DB144" s="107"/>
      <c r="DC144" s="107"/>
      <c r="DD144" s="107"/>
      <c r="DE144" s="107"/>
      <c r="DF144" s="107"/>
      <c r="DG144" s="107"/>
      <c r="DH144" s="107"/>
    </row>
    <row r="145" spans="7:112" ht="14.1" customHeight="1" thickTop="1" x14ac:dyDescent="0.3">
      <c r="G145" s="106"/>
      <c r="H145" s="203"/>
      <c r="J145" s="129"/>
      <c r="K145" s="109"/>
      <c r="L145" s="146"/>
      <c r="M145" s="146"/>
      <c r="N145" s="146"/>
      <c r="O145" s="146"/>
      <c r="P145"/>
      <c r="Q145"/>
      <c r="R145"/>
      <c r="S145"/>
      <c r="U145" s="107"/>
      <c r="V145" s="107"/>
      <c r="W145" s="107"/>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c r="BS145" s="107"/>
      <c r="BT145" s="107"/>
      <c r="BU145" s="107"/>
      <c r="BV145" s="107"/>
      <c r="BW145" s="107"/>
      <c r="BX145" s="107"/>
      <c r="BY145" s="107"/>
      <c r="BZ145" s="107"/>
      <c r="CA145" s="107"/>
      <c r="CB145" s="107"/>
      <c r="CC145" s="107"/>
      <c r="CD145" s="107"/>
      <c r="CE145" s="107"/>
      <c r="CF145" s="107"/>
      <c r="CG145" s="107"/>
      <c r="CH145" s="107"/>
      <c r="CI145" s="107"/>
      <c r="CJ145" s="107"/>
      <c r="CK145" s="107"/>
      <c r="CL145" s="107"/>
      <c r="CM145" s="107"/>
      <c r="CN145" s="107"/>
      <c r="CO145" s="107"/>
      <c r="CP145" s="107"/>
      <c r="CQ145" s="107"/>
      <c r="CR145" s="107"/>
      <c r="CS145" s="107"/>
      <c r="CT145" s="107"/>
      <c r="CU145" s="107"/>
      <c r="CV145" s="107"/>
      <c r="CW145" s="107"/>
      <c r="CX145" s="107"/>
      <c r="CY145" s="107"/>
      <c r="CZ145" s="107"/>
      <c r="DA145" s="107"/>
      <c r="DB145" s="107"/>
      <c r="DC145" s="107"/>
      <c r="DD145" s="107"/>
      <c r="DE145" s="107"/>
      <c r="DF145" s="107"/>
      <c r="DG145" s="107"/>
      <c r="DH145" s="107"/>
    </row>
    <row r="146" spans="7:112" ht="14.1" customHeight="1" thickBot="1" x14ac:dyDescent="0.35">
      <c r="G146" s="106"/>
      <c r="H146" s="203"/>
      <c r="J146" s="129"/>
      <c r="K146" s="7"/>
      <c r="L146" s="107" t="s">
        <v>365</v>
      </c>
      <c r="M146" s="107" t="s">
        <v>366</v>
      </c>
      <c r="N146" s="107" t="s">
        <v>367</v>
      </c>
      <c r="O146" s="107" t="s">
        <v>368</v>
      </c>
      <c r="P146"/>
      <c r="Q146"/>
      <c r="R146"/>
      <c r="S146"/>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c r="BS146" s="107"/>
      <c r="BT146" s="107"/>
      <c r="BU146" s="107"/>
      <c r="BV146" s="107"/>
      <c r="BW146" s="107"/>
      <c r="BX146" s="107"/>
      <c r="BY146" s="107"/>
      <c r="BZ146" s="107"/>
      <c r="CA146" s="107"/>
      <c r="CB146" s="107"/>
      <c r="CC146" s="107"/>
      <c r="CD146" s="107"/>
      <c r="CE146" s="107"/>
      <c r="CF146" s="107"/>
      <c r="CG146" s="107"/>
      <c r="CH146" s="107"/>
      <c r="CI146" s="107"/>
      <c r="CJ146" s="107"/>
      <c r="CK146" s="107"/>
      <c r="CL146" s="107"/>
      <c r="CM146" s="107"/>
      <c r="CN146" s="107"/>
      <c r="CO146" s="107"/>
      <c r="CP146" s="107"/>
      <c r="CQ146" s="107"/>
      <c r="CR146" s="107"/>
      <c r="CS146" s="107"/>
      <c r="CT146" s="107"/>
      <c r="CU146" s="107"/>
      <c r="CV146" s="107"/>
      <c r="CW146" s="107"/>
      <c r="CX146" s="107"/>
      <c r="CY146" s="107"/>
      <c r="CZ146" s="107"/>
      <c r="DA146" s="107"/>
      <c r="DB146" s="107"/>
      <c r="DC146" s="107"/>
      <c r="DD146" s="107"/>
      <c r="DE146" s="107"/>
      <c r="DF146" s="107"/>
      <c r="DG146" s="107"/>
      <c r="DH146" s="107"/>
    </row>
    <row r="147" spans="7:112" ht="14.1" customHeight="1" thickTop="1" thickBot="1" x14ac:dyDescent="0.35">
      <c r="G147" s="106"/>
      <c r="H147" s="203"/>
      <c r="J147" s="210" t="s">
        <v>373</v>
      </c>
      <c r="K147" s="121" t="s">
        <v>378</v>
      </c>
      <c r="L147" s="259">
        <v>7.06</v>
      </c>
      <c r="M147" s="259">
        <v>7.06</v>
      </c>
      <c r="N147" s="259">
        <v>10.59</v>
      </c>
      <c r="O147" s="259">
        <v>24.72</v>
      </c>
      <c r="P147"/>
      <c r="Q147"/>
      <c r="R147"/>
      <c r="S14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c r="BS147" s="107"/>
      <c r="BT147" s="107"/>
      <c r="BU147" s="107"/>
      <c r="BV147" s="107"/>
      <c r="BW147" s="107"/>
      <c r="BX147" s="107"/>
      <c r="BY147" s="107"/>
      <c r="BZ147" s="107"/>
      <c r="CA147" s="107"/>
      <c r="CB147" s="107"/>
      <c r="CC147" s="107"/>
      <c r="CD147" s="107"/>
      <c r="CE147" s="107"/>
      <c r="CF147" s="107"/>
      <c r="CG147" s="107"/>
      <c r="CH147" s="107"/>
      <c r="CI147" s="107"/>
      <c r="CJ147" s="107"/>
      <c r="CK147" s="107"/>
      <c r="CL147" s="107"/>
      <c r="CM147" s="107"/>
      <c r="CN147" s="107"/>
      <c r="CO147" s="107"/>
      <c r="CP147" s="107"/>
      <c r="CQ147" s="107"/>
      <c r="CR147" s="107"/>
      <c r="CS147" s="107"/>
      <c r="CT147" s="107"/>
      <c r="CU147" s="107"/>
      <c r="CV147" s="107"/>
      <c r="CW147" s="107"/>
      <c r="CX147" s="107"/>
      <c r="CY147" s="107"/>
      <c r="CZ147" s="107"/>
      <c r="DA147" s="107"/>
      <c r="DB147" s="107"/>
      <c r="DC147" s="107"/>
      <c r="DD147" s="107"/>
      <c r="DE147" s="107"/>
      <c r="DF147" s="107"/>
      <c r="DG147" s="107"/>
      <c r="DH147" s="107"/>
    </row>
    <row r="148" spans="7:112" ht="14.1" customHeight="1" thickTop="1" thickBot="1" x14ac:dyDescent="0.35">
      <c r="G148" s="106"/>
      <c r="H148" s="203"/>
      <c r="J148" s="210"/>
      <c r="K148" s="121" t="s">
        <v>378</v>
      </c>
      <c r="L148" s="259">
        <v>7.06</v>
      </c>
      <c r="M148" s="259">
        <v>7.06</v>
      </c>
      <c r="N148" s="259">
        <v>10.59</v>
      </c>
      <c r="O148" s="259">
        <v>24.72</v>
      </c>
      <c r="P148"/>
      <c r="Q148"/>
      <c r="R148"/>
      <c r="S148"/>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c r="BS148" s="107"/>
      <c r="BT148" s="107"/>
      <c r="BU148" s="107"/>
      <c r="BV148" s="107"/>
      <c r="BW148" s="107"/>
      <c r="BX148" s="107"/>
      <c r="BY148" s="107"/>
      <c r="BZ148" s="107"/>
      <c r="CA148" s="107"/>
      <c r="CB148" s="107"/>
      <c r="CC148" s="107"/>
      <c r="CD148" s="107"/>
      <c r="CE148" s="107"/>
      <c r="CF148" s="107"/>
      <c r="CG148" s="107"/>
      <c r="CH148" s="107"/>
      <c r="CI148" s="107"/>
      <c r="CJ148" s="107"/>
      <c r="CK148" s="107"/>
      <c r="CL148" s="107"/>
      <c r="CM148" s="107"/>
      <c r="CN148" s="107"/>
      <c r="CO148" s="107"/>
      <c r="CP148" s="107"/>
      <c r="CQ148" s="107"/>
      <c r="CR148" s="107"/>
      <c r="CS148" s="107"/>
      <c r="CT148" s="107"/>
      <c r="CU148" s="107"/>
      <c r="CV148" s="107"/>
      <c r="CW148" s="107"/>
      <c r="CX148" s="107"/>
      <c r="CY148" s="107"/>
      <c r="CZ148" s="107"/>
      <c r="DA148" s="107"/>
      <c r="DB148" s="107"/>
      <c r="DC148" s="107"/>
      <c r="DD148" s="107"/>
      <c r="DE148" s="107"/>
      <c r="DF148" s="107"/>
      <c r="DG148" s="107"/>
      <c r="DH148" s="107"/>
    </row>
    <row r="149" spans="7:112" ht="14.1" customHeight="1" thickTop="1" thickBot="1" x14ac:dyDescent="0.35">
      <c r="G149" s="106"/>
      <c r="H149" s="203"/>
      <c r="J149" s="210"/>
      <c r="K149" s="121" t="s">
        <v>378</v>
      </c>
      <c r="L149" s="259">
        <v>7.06</v>
      </c>
      <c r="M149" s="259">
        <v>7.06</v>
      </c>
      <c r="N149" s="259">
        <v>10.59</v>
      </c>
      <c r="O149" s="259">
        <v>24.72</v>
      </c>
      <c r="P149"/>
      <c r="Q149"/>
      <c r="R149"/>
      <c r="S149"/>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c r="BS149" s="107"/>
      <c r="BT149" s="107"/>
      <c r="BU149" s="107"/>
      <c r="BV149" s="107"/>
      <c r="BW149" s="107"/>
      <c r="BX149" s="107"/>
      <c r="BY149" s="107"/>
      <c r="BZ149" s="107"/>
      <c r="CA149" s="107"/>
      <c r="CB149" s="107"/>
      <c r="CC149" s="107"/>
      <c r="CD149" s="107"/>
      <c r="CE149" s="107"/>
      <c r="CF149" s="107"/>
      <c r="CG149" s="107"/>
      <c r="CH149" s="107"/>
      <c r="CI149" s="107"/>
      <c r="CJ149" s="107"/>
      <c r="CK149" s="107"/>
      <c r="CL149" s="107"/>
      <c r="CM149" s="107"/>
      <c r="CN149" s="107"/>
      <c r="CO149" s="107"/>
      <c r="CP149" s="107"/>
      <c r="CQ149" s="107"/>
      <c r="CR149" s="107"/>
      <c r="CS149" s="107"/>
      <c r="CT149" s="107"/>
      <c r="CU149" s="107"/>
      <c r="CV149" s="107"/>
      <c r="CW149" s="107"/>
      <c r="CX149" s="107"/>
      <c r="CY149" s="107"/>
      <c r="CZ149" s="107"/>
      <c r="DA149" s="107"/>
      <c r="DB149" s="107"/>
      <c r="DC149" s="107"/>
      <c r="DD149" s="107"/>
      <c r="DE149" s="107"/>
      <c r="DF149" s="107"/>
      <c r="DG149" s="107"/>
      <c r="DH149" s="107"/>
    </row>
    <row r="150" spans="7:112" ht="14.1" customHeight="1" thickTop="1" thickBot="1" x14ac:dyDescent="0.35">
      <c r="G150" s="106"/>
      <c r="H150" s="203"/>
      <c r="J150" s="211"/>
      <c r="K150" s="121" t="s">
        <v>379</v>
      </c>
      <c r="L150" s="259">
        <v>10.59</v>
      </c>
      <c r="M150" s="259">
        <v>8.83</v>
      </c>
      <c r="N150" s="259">
        <v>14.12</v>
      </c>
      <c r="O150" s="259">
        <v>30.01</v>
      </c>
      <c r="P150"/>
      <c r="Q150"/>
      <c r="R150"/>
      <c r="S150"/>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c r="BS150" s="107"/>
      <c r="BT150" s="107"/>
      <c r="BU150" s="107"/>
      <c r="BV150" s="107"/>
      <c r="BW150" s="107"/>
      <c r="BX150" s="107"/>
      <c r="BY150" s="107"/>
      <c r="BZ150" s="107"/>
      <c r="CA150" s="107"/>
      <c r="CB150" s="107"/>
      <c r="CC150" s="107"/>
      <c r="CD150" s="107"/>
      <c r="CE150" s="107"/>
      <c r="CF150" s="107"/>
      <c r="CG150" s="107"/>
      <c r="CH150" s="107"/>
      <c r="CI150" s="107"/>
      <c r="CJ150" s="107"/>
      <c r="CK150" s="107"/>
      <c r="CL150" s="107"/>
      <c r="CM150" s="107"/>
      <c r="CN150" s="107"/>
      <c r="CO150" s="107"/>
      <c r="CP150" s="107"/>
      <c r="CQ150" s="107"/>
      <c r="CR150" s="107"/>
      <c r="CS150" s="107"/>
      <c r="CT150" s="107"/>
      <c r="CU150" s="107"/>
      <c r="CV150" s="107"/>
      <c r="CW150" s="107"/>
      <c r="CX150" s="107"/>
      <c r="CY150" s="107"/>
      <c r="CZ150" s="107"/>
      <c r="DA150" s="107"/>
      <c r="DB150" s="107"/>
      <c r="DC150" s="107"/>
      <c r="DD150" s="107"/>
      <c r="DE150" s="107"/>
      <c r="DF150" s="107"/>
      <c r="DG150" s="107"/>
      <c r="DH150" s="107"/>
    </row>
    <row r="151" spans="7:112" ht="14.1" customHeight="1" thickTop="1" thickBot="1" x14ac:dyDescent="0.35">
      <c r="G151" s="106"/>
      <c r="H151" s="203"/>
      <c r="J151" s="211"/>
      <c r="K151" s="121" t="s">
        <v>379</v>
      </c>
      <c r="L151" s="259">
        <v>10.59</v>
      </c>
      <c r="M151" s="259">
        <v>8.83</v>
      </c>
      <c r="N151" s="259">
        <v>14.12</v>
      </c>
      <c r="O151" s="259">
        <v>30.01</v>
      </c>
      <c r="P151"/>
      <c r="Q151"/>
      <c r="R151"/>
      <c r="S151"/>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c r="BS151" s="107"/>
      <c r="BT151" s="107"/>
      <c r="BU151" s="107"/>
      <c r="BV151" s="107"/>
      <c r="BW151" s="107"/>
      <c r="BX151" s="107"/>
      <c r="BY151" s="107"/>
      <c r="BZ151" s="107"/>
      <c r="CA151" s="107"/>
      <c r="CB151" s="107"/>
      <c r="CC151" s="107"/>
      <c r="CD151" s="107"/>
      <c r="CE151" s="107"/>
      <c r="CF151" s="107"/>
      <c r="CG151" s="107"/>
      <c r="CH151" s="107"/>
      <c r="CI151" s="107"/>
      <c r="CJ151" s="107"/>
      <c r="CK151" s="107"/>
      <c r="CL151" s="107"/>
      <c r="CM151" s="107"/>
      <c r="CN151" s="107"/>
      <c r="CO151" s="107"/>
      <c r="CP151" s="107"/>
      <c r="CQ151" s="107"/>
      <c r="CR151" s="107"/>
      <c r="CS151" s="107"/>
      <c r="CT151" s="107"/>
      <c r="CU151" s="107"/>
      <c r="CV151" s="107"/>
      <c r="CW151" s="107"/>
      <c r="CX151" s="107"/>
      <c r="CY151" s="107"/>
      <c r="CZ151" s="107"/>
      <c r="DA151" s="107"/>
      <c r="DB151" s="107"/>
      <c r="DC151" s="107"/>
      <c r="DD151" s="107"/>
      <c r="DE151" s="107"/>
      <c r="DF151" s="107"/>
      <c r="DG151" s="107"/>
      <c r="DH151" s="107"/>
    </row>
    <row r="152" spans="7:112" ht="14.1" customHeight="1" thickTop="1" x14ac:dyDescent="0.3">
      <c r="G152" s="106"/>
      <c r="H152" s="203"/>
      <c r="J152" s="211"/>
      <c r="K152" s="121" t="s">
        <v>379</v>
      </c>
      <c r="L152" s="259">
        <v>10.59</v>
      </c>
      <c r="M152" s="259">
        <v>8.83</v>
      </c>
      <c r="N152" s="259">
        <v>14.12</v>
      </c>
      <c r="O152" s="259">
        <v>30.01</v>
      </c>
      <c r="P152"/>
      <c r="Q152"/>
      <c r="R152"/>
      <c r="S152"/>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c r="BS152" s="107"/>
      <c r="BT152" s="107"/>
      <c r="BU152" s="107"/>
      <c r="BV152" s="107"/>
      <c r="BW152" s="107"/>
      <c r="BX152" s="107"/>
      <c r="BY152" s="107"/>
      <c r="BZ152" s="107"/>
      <c r="CA152" s="107"/>
      <c r="CB152" s="107"/>
      <c r="CC152" s="107"/>
      <c r="CD152" s="107"/>
      <c r="CE152" s="107"/>
      <c r="CF152" s="107"/>
      <c r="CG152" s="107"/>
      <c r="CH152" s="107"/>
      <c r="CI152" s="107"/>
      <c r="CJ152" s="107"/>
      <c r="CK152" s="107"/>
      <c r="CL152" s="107"/>
      <c r="CM152" s="107"/>
      <c r="CN152" s="107"/>
      <c r="CO152" s="107"/>
      <c r="CP152" s="107"/>
      <c r="CQ152" s="107"/>
      <c r="CR152" s="107"/>
      <c r="CS152" s="107"/>
      <c r="CT152" s="107"/>
      <c r="CU152" s="107"/>
      <c r="CV152" s="107"/>
      <c r="CW152" s="107"/>
      <c r="CX152" s="107"/>
      <c r="CY152" s="107"/>
      <c r="CZ152" s="107"/>
      <c r="DA152" s="107"/>
      <c r="DB152" s="107"/>
      <c r="DC152" s="107"/>
      <c r="DD152" s="107"/>
      <c r="DE152" s="107"/>
      <c r="DF152" s="107"/>
      <c r="DG152" s="107"/>
      <c r="DH152" s="107"/>
    </row>
    <row r="153" spans="7:112" ht="14.1" customHeight="1" x14ac:dyDescent="0.3">
      <c r="G153" s="106"/>
      <c r="H153" s="203"/>
      <c r="I153" s="3" t="s">
        <v>364</v>
      </c>
      <c r="J153" s="129"/>
      <c r="K153" s="109"/>
      <c r="L153" s="146"/>
      <c r="M153" s="146"/>
      <c r="N153" s="146"/>
      <c r="O153" s="146"/>
      <c r="P153"/>
      <c r="Q153"/>
      <c r="R153"/>
      <c r="S153"/>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c r="BS153" s="107"/>
      <c r="BT153" s="107"/>
      <c r="BU153" s="107"/>
      <c r="BV153" s="107"/>
      <c r="BW153" s="107"/>
      <c r="BX153" s="107"/>
      <c r="BY153" s="107"/>
      <c r="BZ153" s="107"/>
      <c r="CA153" s="107"/>
      <c r="CB153" s="107"/>
      <c r="CC153" s="107"/>
      <c r="CD153" s="107"/>
      <c r="CE153" s="107"/>
      <c r="CF153" s="107"/>
      <c r="CG153" s="107"/>
      <c r="CH153" s="107"/>
      <c r="CI153" s="107"/>
      <c r="CJ153" s="107"/>
      <c r="CK153" s="107"/>
      <c r="CL153" s="107"/>
      <c r="CM153" s="107"/>
      <c r="CN153" s="107"/>
      <c r="CO153" s="107"/>
      <c r="CP153" s="107"/>
      <c r="CQ153" s="107"/>
      <c r="CR153" s="107"/>
      <c r="CS153" s="107"/>
      <c r="CT153" s="107"/>
      <c r="CU153" s="107"/>
      <c r="CV153" s="107"/>
      <c r="CW153" s="107"/>
      <c r="CX153" s="107"/>
      <c r="CY153" s="107"/>
      <c r="CZ153" s="107"/>
      <c r="DA153" s="107"/>
      <c r="DB153" s="107"/>
      <c r="DC153" s="107"/>
      <c r="DD153" s="107"/>
      <c r="DE153" s="107"/>
      <c r="DF153" s="107"/>
      <c r="DG153" s="107"/>
      <c r="DH153" s="107"/>
    </row>
    <row r="154" spans="7:112" ht="14.1" customHeight="1" thickBot="1" x14ac:dyDescent="0.35">
      <c r="G154" s="106"/>
      <c r="H154" s="203"/>
      <c r="I154" s="263">
        <v>0.11</v>
      </c>
      <c r="J154" s="129"/>
      <c r="K154" s="7"/>
      <c r="L154" s="107" t="s">
        <v>365</v>
      </c>
      <c r="M154" s="107" t="s">
        <v>366</v>
      </c>
      <c r="N154" s="107" t="s">
        <v>367</v>
      </c>
      <c r="O154" s="107" t="s">
        <v>368</v>
      </c>
      <c r="P154"/>
      <c r="Q154"/>
      <c r="R154"/>
      <c r="S154"/>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c r="BS154" s="107"/>
      <c r="BT154" s="107"/>
      <c r="BU154" s="107"/>
      <c r="BV154" s="107"/>
      <c r="BW154" s="107"/>
      <c r="BX154" s="107"/>
      <c r="BY154" s="107"/>
      <c r="BZ154" s="107"/>
      <c r="CA154" s="107"/>
      <c r="CB154" s="107"/>
      <c r="CC154" s="107"/>
      <c r="CD154" s="107"/>
      <c r="CE154" s="107"/>
      <c r="CF154" s="107"/>
      <c r="CG154" s="107"/>
      <c r="CH154" s="107"/>
      <c r="CI154" s="107"/>
      <c r="CJ154" s="107"/>
      <c r="CK154" s="107"/>
      <c r="CL154" s="107"/>
      <c r="CM154" s="107"/>
      <c r="CN154" s="107"/>
      <c r="CO154" s="107"/>
      <c r="CP154" s="107"/>
      <c r="CQ154" s="107"/>
      <c r="CR154" s="107"/>
      <c r="CS154" s="107"/>
      <c r="CT154" s="107"/>
      <c r="CU154" s="107"/>
      <c r="CV154" s="107"/>
      <c r="CW154" s="107"/>
      <c r="CX154" s="107"/>
      <c r="CY154" s="107"/>
      <c r="CZ154" s="107"/>
      <c r="DA154" s="107"/>
      <c r="DB154" s="107"/>
      <c r="DC154" s="107"/>
      <c r="DD154" s="107"/>
      <c r="DE154" s="107"/>
      <c r="DF154" s="107"/>
      <c r="DG154" s="107"/>
      <c r="DH154" s="107"/>
    </row>
    <row r="155" spans="7:112" ht="14.1" customHeight="1" thickTop="1" thickBot="1" x14ac:dyDescent="0.35">
      <c r="G155" s="106"/>
      <c r="H155" s="203"/>
      <c r="J155" s="210" t="s">
        <v>358</v>
      </c>
      <c r="K155" s="119" t="s">
        <v>116</v>
      </c>
      <c r="L155" s="206">
        <f t="shared" ref="L155:O160" si="7">L139*(1-$I$154)+((L147*1000000)/(L$93*1000))</f>
        <v>4643.0562122475749</v>
      </c>
      <c r="M155" s="206">
        <f t="shared" si="7"/>
        <v>4113.5562122475749</v>
      </c>
      <c r="N155" s="206">
        <f t="shared" si="7"/>
        <v>4290.0562122475749</v>
      </c>
      <c r="O155" s="206">
        <f t="shared" si="7"/>
        <v>4879.0562122475749</v>
      </c>
      <c r="P155"/>
      <c r="Q155"/>
      <c r="R155"/>
      <c r="S155"/>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c r="BS155" s="107"/>
      <c r="BT155" s="107"/>
      <c r="BU155" s="107"/>
      <c r="BV155" s="107"/>
      <c r="BW155" s="107"/>
      <c r="BX155" s="107"/>
      <c r="BY155" s="107"/>
      <c r="BZ155" s="107"/>
      <c r="CA155" s="107"/>
      <c r="CB155" s="107"/>
      <c r="CC155" s="107"/>
      <c r="CD155" s="107"/>
      <c r="CE155" s="107"/>
      <c r="CF155" s="107"/>
      <c r="CG155" s="107"/>
      <c r="CH155" s="107"/>
      <c r="CI155" s="107"/>
      <c r="CJ155" s="107"/>
      <c r="CK155" s="107"/>
      <c r="CL155" s="107"/>
      <c r="CM155" s="107"/>
      <c r="CN155" s="107"/>
      <c r="CO155" s="107"/>
      <c r="CP155" s="107"/>
      <c r="CQ155" s="107"/>
      <c r="CR155" s="107"/>
      <c r="CS155" s="107"/>
      <c r="CT155" s="107"/>
      <c r="CU155" s="107"/>
      <c r="CV155" s="107"/>
      <c r="CW155" s="107"/>
      <c r="CX155" s="107"/>
      <c r="CY155" s="107"/>
      <c r="CZ155" s="107"/>
      <c r="DA155" s="107"/>
      <c r="DB155" s="107"/>
      <c r="DC155" s="107"/>
      <c r="DD155" s="107"/>
      <c r="DE155" s="107"/>
      <c r="DF155" s="107"/>
      <c r="DG155" s="107"/>
      <c r="DH155" s="107"/>
    </row>
    <row r="156" spans="7:112" ht="14.1" customHeight="1" thickTop="1" thickBot="1" x14ac:dyDescent="0.35">
      <c r="G156" s="106"/>
      <c r="H156" s="203"/>
      <c r="J156" s="210"/>
      <c r="K156" s="7" t="s">
        <v>117</v>
      </c>
      <c r="L156" s="206">
        <f t="shared" si="7"/>
        <v>4759.9741340617184</v>
      </c>
      <c r="M156" s="206">
        <f t="shared" si="7"/>
        <v>4230.4741340617184</v>
      </c>
      <c r="N156" s="206">
        <f t="shared" si="7"/>
        <v>4406.9741340617184</v>
      </c>
      <c r="O156" s="206">
        <f t="shared" si="7"/>
        <v>4995.9741340617184</v>
      </c>
      <c r="P156"/>
      <c r="Q156"/>
      <c r="R156"/>
      <c r="S156"/>
      <c r="U156" s="107"/>
      <c r="V156" s="107"/>
      <c r="W156" s="107"/>
      <c r="X156" s="107"/>
      <c r="Y156" s="107"/>
      <c r="Z156" s="107"/>
      <c r="AA156" s="107"/>
      <c r="AB156" s="107"/>
      <c r="AC156" s="107"/>
      <c r="AD156" s="107"/>
      <c r="AE156" s="107"/>
      <c r="AF156" s="107"/>
      <c r="AG156" s="107"/>
      <c r="AH156" s="107"/>
      <c r="AI156" s="107"/>
      <c r="AJ156" s="107"/>
      <c r="AK156" s="107"/>
      <c r="AL156" s="107"/>
      <c r="AM156" s="107"/>
      <c r="AN156" s="107"/>
      <c r="AO156" s="107"/>
      <c r="AP156" s="107"/>
      <c r="AQ156" s="107"/>
      <c r="AR156" s="107"/>
      <c r="AS156" s="107"/>
      <c r="AT156" s="107"/>
      <c r="AU156" s="107"/>
      <c r="AV156" s="107"/>
      <c r="AW156" s="107"/>
      <c r="AX156" s="107"/>
      <c r="AY156" s="107"/>
      <c r="AZ156" s="107"/>
      <c r="BA156" s="107"/>
      <c r="BB156" s="107"/>
      <c r="BC156" s="107"/>
      <c r="BD156" s="107"/>
      <c r="BE156" s="107"/>
      <c r="BF156" s="107"/>
      <c r="BG156" s="107"/>
      <c r="BH156" s="107"/>
      <c r="BI156" s="107"/>
      <c r="BJ156" s="107"/>
      <c r="BK156" s="107"/>
      <c r="BL156" s="107"/>
      <c r="BM156" s="107"/>
      <c r="BN156" s="107"/>
      <c r="BO156" s="107"/>
      <c r="BP156" s="107"/>
      <c r="BQ156" s="107"/>
      <c r="BR156" s="107"/>
      <c r="BS156" s="107"/>
      <c r="BT156" s="107"/>
      <c r="BU156" s="107"/>
      <c r="BV156" s="107"/>
      <c r="BW156" s="107"/>
      <c r="BX156" s="107"/>
      <c r="BY156" s="107"/>
      <c r="BZ156" s="107"/>
      <c r="CA156" s="107"/>
      <c r="CB156" s="107"/>
      <c r="CC156" s="107"/>
      <c r="CD156" s="107"/>
      <c r="CE156" s="107"/>
      <c r="CF156" s="107"/>
      <c r="CG156" s="107"/>
      <c r="CH156" s="107"/>
      <c r="CI156" s="107"/>
      <c r="CJ156" s="107"/>
      <c r="CK156" s="107"/>
      <c r="CL156" s="107"/>
      <c r="CM156" s="107"/>
      <c r="CN156" s="107"/>
      <c r="CO156" s="107"/>
      <c r="CP156" s="107"/>
      <c r="CQ156" s="107"/>
      <c r="CR156" s="107"/>
      <c r="CS156" s="107"/>
      <c r="CT156" s="107"/>
      <c r="CU156" s="107"/>
      <c r="CV156" s="107"/>
      <c r="CW156" s="107"/>
      <c r="CX156" s="107"/>
      <c r="CY156" s="107"/>
      <c r="CZ156" s="107"/>
      <c r="DA156" s="107"/>
      <c r="DB156" s="107"/>
      <c r="DC156" s="107"/>
      <c r="DD156" s="107"/>
      <c r="DE156" s="107"/>
      <c r="DF156" s="107"/>
      <c r="DG156" s="107"/>
      <c r="DH156" s="107"/>
    </row>
    <row r="157" spans="7:112" ht="14.1" customHeight="1" thickTop="1" thickBot="1" x14ac:dyDescent="0.35">
      <c r="G157" s="106"/>
      <c r="H157" s="203"/>
      <c r="J157" s="210"/>
      <c r="K157" s="121" t="s">
        <v>118</v>
      </c>
      <c r="L157" s="206">
        <f t="shared" si="7"/>
        <v>4944.7889099337081</v>
      </c>
      <c r="M157" s="206">
        <f t="shared" si="7"/>
        <v>4415.2889099337081</v>
      </c>
      <c r="N157" s="206">
        <f t="shared" si="7"/>
        <v>4591.7889099337081</v>
      </c>
      <c r="O157" s="207">
        <f t="shared" si="7"/>
        <v>5180.7889099337081</v>
      </c>
      <c r="P157"/>
      <c r="Q157"/>
      <c r="R157"/>
      <c r="S15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c r="BS157" s="107"/>
      <c r="BT157" s="107"/>
      <c r="BU157" s="107"/>
      <c r="BV157" s="107"/>
      <c r="BW157" s="107"/>
      <c r="BX157" s="107"/>
      <c r="BY157" s="107"/>
      <c r="BZ157" s="107"/>
      <c r="CA157" s="107"/>
      <c r="CB157" s="107"/>
      <c r="CC157" s="107"/>
      <c r="CD157" s="107"/>
      <c r="CE157" s="107"/>
      <c r="CF157" s="107"/>
      <c r="CG157" s="107"/>
      <c r="CH157" s="107"/>
      <c r="CI157" s="107"/>
      <c r="CJ157" s="107"/>
      <c r="CK157" s="107"/>
      <c r="CL157" s="107"/>
      <c r="CM157" s="107"/>
      <c r="CN157" s="107"/>
      <c r="CO157" s="107"/>
      <c r="CP157" s="107"/>
      <c r="CQ157" s="107"/>
      <c r="CR157" s="107"/>
      <c r="CS157" s="107"/>
      <c r="CT157" s="107"/>
      <c r="CU157" s="107"/>
      <c r="CV157" s="107"/>
      <c r="CW157" s="107"/>
      <c r="CX157" s="107"/>
      <c r="CY157" s="107"/>
      <c r="CZ157" s="107"/>
      <c r="DA157" s="107"/>
      <c r="DB157" s="107"/>
      <c r="DC157" s="107"/>
      <c r="DD157" s="107"/>
      <c r="DE157" s="107"/>
      <c r="DF157" s="107"/>
      <c r="DG157" s="107"/>
      <c r="DH157" s="107"/>
    </row>
    <row r="158" spans="7:112" ht="14.1" customHeight="1" thickTop="1" thickBot="1" x14ac:dyDescent="0.35">
      <c r="G158" s="106"/>
      <c r="H158" s="203"/>
      <c r="J158" s="211"/>
      <c r="K158" s="119" t="s">
        <v>134</v>
      </c>
      <c r="L158" s="206">
        <f t="shared" si="7"/>
        <v>5957.4585323482079</v>
      </c>
      <c r="M158" s="206">
        <f t="shared" si="7"/>
        <v>4943.2085323482079</v>
      </c>
      <c r="N158" s="206">
        <f t="shared" si="7"/>
        <v>5251.4585323482079</v>
      </c>
      <c r="O158" s="206">
        <f t="shared" si="7"/>
        <v>5840.1251990148739</v>
      </c>
      <c r="P158"/>
      <c r="Q158"/>
      <c r="R158"/>
      <c r="S158"/>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c r="BS158" s="107"/>
      <c r="BT158" s="107"/>
      <c r="BU158" s="107"/>
      <c r="BV158" s="107"/>
      <c r="BW158" s="107"/>
      <c r="BX158" s="107"/>
      <c r="BY158" s="107"/>
      <c r="BZ158" s="107"/>
      <c r="CA158" s="107"/>
      <c r="CB158" s="107"/>
      <c r="CC158" s="107"/>
      <c r="CD158" s="107"/>
      <c r="CE158" s="107"/>
      <c r="CF158" s="107"/>
      <c r="CG158" s="107"/>
      <c r="CH158" s="107"/>
      <c r="CI158" s="107"/>
      <c r="CJ158" s="107"/>
      <c r="CK158" s="107"/>
      <c r="CL158" s="107"/>
      <c r="CM158" s="107"/>
      <c r="CN158" s="107"/>
      <c r="CO158" s="107"/>
      <c r="CP158" s="107"/>
      <c r="CQ158" s="107"/>
      <c r="CR158" s="107"/>
      <c r="CS158" s="107"/>
      <c r="CT158" s="107"/>
      <c r="CU158" s="107"/>
      <c r="CV158" s="107"/>
      <c r="CW158" s="107"/>
      <c r="CX158" s="107"/>
      <c r="CY158" s="107"/>
      <c r="CZ158" s="107"/>
      <c r="DA158" s="107"/>
      <c r="DB158" s="107"/>
      <c r="DC158" s="107"/>
      <c r="DD158" s="107"/>
      <c r="DE158" s="107"/>
      <c r="DF158" s="107"/>
      <c r="DG158" s="107"/>
      <c r="DH158" s="107"/>
    </row>
    <row r="159" spans="7:112" ht="14.1" customHeight="1" thickTop="1" thickBot="1" x14ac:dyDescent="0.35">
      <c r="G159" s="106"/>
      <c r="H159" s="203"/>
      <c r="J159" s="211"/>
      <c r="K159" s="7" t="s">
        <v>135</v>
      </c>
      <c r="L159" s="206">
        <f t="shared" si="7"/>
        <v>6096.3918974788212</v>
      </c>
      <c r="M159" s="206">
        <f t="shared" si="7"/>
        <v>5082.1418974788212</v>
      </c>
      <c r="N159" s="206">
        <f t="shared" si="7"/>
        <v>5390.3918974788212</v>
      </c>
      <c r="O159" s="206">
        <f t="shared" si="7"/>
        <v>5979.0585641454882</v>
      </c>
      <c r="P159"/>
      <c r="Q159"/>
      <c r="R159"/>
      <c r="S159"/>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c r="BC159" s="107"/>
      <c r="BD159" s="107"/>
      <c r="BE159" s="107"/>
      <c r="BF159" s="107"/>
      <c r="BG159" s="107"/>
      <c r="BH159" s="107"/>
      <c r="BI159" s="107"/>
      <c r="BJ159" s="107"/>
      <c r="BK159" s="107"/>
      <c r="BL159" s="107"/>
      <c r="BM159" s="107"/>
      <c r="BN159" s="107"/>
      <c r="BO159" s="107"/>
      <c r="BP159" s="107"/>
      <c r="BQ159" s="107"/>
      <c r="BR159" s="107"/>
      <c r="BS159" s="107"/>
      <c r="BT159" s="107"/>
      <c r="BU159" s="107"/>
      <c r="BV159" s="107"/>
      <c r="BW159" s="107"/>
      <c r="BX159" s="107"/>
      <c r="BY159" s="107"/>
      <c r="BZ159" s="107"/>
      <c r="CA159" s="107"/>
      <c r="CB159" s="107"/>
      <c r="CC159" s="107"/>
      <c r="CD159" s="107"/>
      <c r="CE159" s="107"/>
      <c r="CF159" s="107"/>
      <c r="CG159" s="107"/>
      <c r="CH159" s="107"/>
      <c r="CI159" s="107"/>
      <c r="CJ159" s="107"/>
      <c r="CK159" s="107"/>
      <c r="CL159" s="107"/>
      <c r="CM159" s="107"/>
      <c r="CN159" s="107"/>
      <c r="CO159" s="107"/>
      <c r="CP159" s="107"/>
      <c r="CQ159" s="107"/>
      <c r="CR159" s="107"/>
      <c r="CS159" s="107"/>
      <c r="CT159" s="107"/>
      <c r="CU159" s="107"/>
      <c r="CV159" s="107"/>
      <c r="CW159" s="107"/>
      <c r="CX159" s="107"/>
      <c r="CY159" s="107"/>
      <c r="CZ159" s="107"/>
      <c r="DA159" s="107"/>
      <c r="DB159" s="107"/>
      <c r="DC159" s="107"/>
      <c r="DD159" s="107"/>
      <c r="DE159" s="107"/>
      <c r="DF159" s="107"/>
      <c r="DG159" s="107"/>
      <c r="DH159" s="107"/>
    </row>
    <row r="160" spans="7:112" ht="14.1" customHeight="1" thickTop="1" x14ac:dyDescent="0.3">
      <c r="G160" s="106"/>
      <c r="H160" s="203"/>
      <c r="J160" s="211"/>
      <c r="K160" s="121" t="s">
        <v>136</v>
      </c>
      <c r="L160" s="206">
        <f t="shared" si="7"/>
        <v>6316.0069773514579</v>
      </c>
      <c r="M160" s="206">
        <f t="shared" si="7"/>
        <v>5301.7569773514579</v>
      </c>
      <c r="N160" s="206">
        <f t="shared" si="7"/>
        <v>5610.0069773514579</v>
      </c>
      <c r="O160" s="206">
        <f t="shared" si="7"/>
        <v>6198.6736440181248</v>
      </c>
      <c r="P160"/>
      <c r="Q160"/>
      <c r="R160"/>
      <c r="S160"/>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c r="BS160" s="107"/>
      <c r="BT160" s="107"/>
      <c r="BU160" s="107"/>
      <c r="BV160" s="107"/>
      <c r="BW160" s="107"/>
      <c r="BX160" s="107"/>
      <c r="BY160" s="107"/>
      <c r="BZ160" s="107"/>
      <c r="CA160" s="107"/>
      <c r="CB160" s="107"/>
      <c r="CC160" s="107"/>
      <c r="CD160" s="107"/>
      <c r="CE160" s="107"/>
      <c r="CF160" s="107"/>
      <c r="CG160" s="107"/>
      <c r="CH160" s="107"/>
      <c r="CI160" s="107"/>
      <c r="CJ160" s="107"/>
      <c r="CK160" s="107"/>
      <c r="CL160" s="107"/>
      <c r="CM160" s="107"/>
      <c r="CN160" s="107"/>
      <c r="CO160" s="107"/>
      <c r="CP160" s="107"/>
      <c r="CQ160" s="107"/>
      <c r="CR160" s="107"/>
      <c r="CS160" s="107"/>
      <c r="CT160" s="107"/>
      <c r="CU160" s="107"/>
      <c r="CV160" s="107"/>
      <c r="CW160" s="107"/>
      <c r="CX160" s="107"/>
      <c r="CY160" s="107"/>
      <c r="CZ160" s="107"/>
      <c r="DA160" s="107"/>
      <c r="DB160" s="107"/>
      <c r="DC160" s="107"/>
      <c r="DD160" s="107"/>
      <c r="DE160" s="107"/>
      <c r="DF160" s="107"/>
      <c r="DG160" s="107"/>
      <c r="DH160" s="107"/>
    </row>
    <row r="161" spans="7:112" ht="14.1" customHeight="1" thickBot="1" x14ac:dyDescent="0.35">
      <c r="G161" s="106"/>
      <c r="H161" s="203"/>
      <c r="J161" s="129"/>
      <c r="K161" s="7"/>
      <c r="L161" s="107" t="s">
        <v>365</v>
      </c>
      <c r="M161" s="107" t="s">
        <v>366</v>
      </c>
      <c r="N161" s="107" t="s">
        <v>367</v>
      </c>
      <c r="O161" s="107" t="s">
        <v>368</v>
      </c>
      <c r="P161"/>
      <c r="Q161"/>
      <c r="R161"/>
      <c r="S161"/>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c r="BS161" s="107"/>
      <c r="BT161" s="107"/>
      <c r="BU161" s="107"/>
      <c r="BV161" s="107"/>
      <c r="BW161" s="107"/>
      <c r="BX161" s="107"/>
      <c r="BY161" s="107"/>
      <c r="BZ161" s="107"/>
      <c r="CA161" s="107"/>
      <c r="CB161" s="107"/>
      <c r="CC161" s="107"/>
      <c r="CD161" s="107"/>
      <c r="CE161" s="107"/>
      <c r="CF161" s="107"/>
      <c r="CG161" s="107"/>
      <c r="CH161" s="107"/>
      <c r="CI161" s="107"/>
      <c r="CJ161" s="107"/>
      <c r="CK161" s="107"/>
      <c r="CL161" s="107"/>
      <c r="CM161" s="107"/>
      <c r="CN161" s="107"/>
      <c r="CO161" s="107"/>
      <c r="CP161" s="107"/>
      <c r="CQ161" s="107"/>
      <c r="CR161" s="107"/>
      <c r="CS161" s="107"/>
      <c r="CT161" s="107"/>
      <c r="CU161" s="107"/>
      <c r="CV161" s="107"/>
      <c r="CW161" s="107"/>
      <c r="CX161" s="107"/>
      <c r="CY161" s="107"/>
      <c r="CZ161" s="107"/>
      <c r="DA161" s="107"/>
      <c r="DB161" s="107"/>
      <c r="DC161" s="107"/>
      <c r="DD161" s="107"/>
      <c r="DE161" s="107"/>
      <c r="DF161" s="107"/>
      <c r="DG161" s="107"/>
      <c r="DH161" s="107"/>
    </row>
    <row r="162" spans="7:112" ht="14.1" customHeight="1" thickTop="1" x14ac:dyDescent="0.3">
      <c r="G162" s="106"/>
      <c r="H162" s="203"/>
      <c r="J162" s="210" t="s">
        <v>141</v>
      </c>
      <c r="K162" s="119" t="s">
        <v>116</v>
      </c>
      <c r="L162" s="152">
        <v>80.403866126360725</v>
      </c>
      <c r="M162" s="152">
        <v>80.403866126360725</v>
      </c>
      <c r="N162" s="152">
        <v>80.403866126360725</v>
      </c>
      <c r="O162" s="152">
        <v>80.403866126360725</v>
      </c>
      <c r="P162"/>
      <c r="Q162"/>
      <c r="R162"/>
      <c r="S162"/>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c r="BS162" s="107"/>
      <c r="BT162" s="107"/>
      <c r="BU162" s="107"/>
      <c r="BV162" s="107"/>
      <c r="BW162" s="107"/>
      <c r="BX162" s="107"/>
      <c r="BY162" s="107"/>
      <c r="BZ162" s="107"/>
      <c r="CA162" s="107"/>
      <c r="CB162" s="107"/>
      <c r="CC162" s="107"/>
      <c r="CD162" s="107"/>
      <c r="CE162" s="107"/>
      <c r="CF162" s="107"/>
      <c r="CG162" s="107"/>
      <c r="CH162" s="107"/>
      <c r="CI162" s="107"/>
      <c r="CJ162" s="107"/>
      <c r="CK162" s="107"/>
      <c r="CL162" s="107"/>
      <c r="CM162" s="107"/>
      <c r="CN162" s="107"/>
      <c r="CO162" s="107"/>
      <c r="CP162" s="107"/>
      <c r="CQ162" s="107"/>
      <c r="CR162" s="107"/>
      <c r="CS162" s="107"/>
      <c r="CT162" s="107"/>
      <c r="CU162" s="107"/>
      <c r="CV162" s="107"/>
      <c r="CW162" s="107"/>
      <c r="CX162" s="107"/>
      <c r="CY162" s="107"/>
      <c r="CZ162" s="107"/>
      <c r="DA162" s="107"/>
      <c r="DB162" s="107"/>
      <c r="DC162" s="107"/>
      <c r="DD162" s="107"/>
      <c r="DE162" s="107"/>
      <c r="DF162" s="107"/>
      <c r="DG162" s="107"/>
      <c r="DH162" s="107"/>
    </row>
    <row r="163" spans="7:112" ht="14.1" customHeight="1" x14ac:dyDescent="0.3">
      <c r="G163" s="106"/>
      <c r="H163" s="203"/>
      <c r="J163" s="210"/>
      <c r="K163" s="7" t="s">
        <v>117</v>
      </c>
      <c r="L163" s="150">
        <v>83.247576642399991</v>
      </c>
      <c r="M163" s="150">
        <v>83.247576642399991</v>
      </c>
      <c r="N163" s="150">
        <v>83.247576642399991</v>
      </c>
      <c r="O163" s="150">
        <v>83.247576642399991</v>
      </c>
      <c r="P163"/>
      <c r="Q163"/>
      <c r="R163"/>
      <c r="S163"/>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c r="BS163" s="107"/>
      <c r="BT163" s="107"/>
      <c r="BU163" s="107"/>
      <c r="BV163" s="107"/>
      <c r="BW163" s="107"/>
      <c r="BX163" s="107"/>
      <c r="BY163" s="107"/>
      <c r="BZ163" s="107"/>
      <c r="CA163" s="107"/>
      <c r="CB163" s="107"/>
      <c r="CC163" s="107"/>
      <c r="CD163" s="107"/>
      <c r="CE163" s="107"/>
      <c r="CF163" s="107"/>
      <c r="CG163" s="107"/>
      <c r="CH163" s="107"/>
      <c r="CI163" s="107"/>
      <c r="CJ163" s="107"/>
      <c r="CK163" s="107"/>
      <c r="CL163" s="107"/>
      <c r="CM163" s="107"/>
      <c r="CN163" s="107"/>
      <c r="CO163" s="107"/>
      <c r="CP163" s="107"/>
      <c r="CQ163" s="107"/>
      <c r="CR163" s="107"/>
      <c r="CS163" s="107"/>
      <c r="CT163" s="107"/>
      <c r="CU163" s="107"/>
      <c r="CV163" s="107"/>
      <c r="CW163" s="107"/>
      <c r="CX163" s="107"/>
      <c r="CY163" s="107"/>
      <c r="CZ163" s="107"/>
      <c r="DA163" s="107"/>
      <c r="DB163" s="107"/>
      <c r="DC163" s="107"/>
      <c r="DD163" s="107"/>
      <c r="DE163" s="107"/>
      <c r="DF163" s="107"/>
      <c r="DG163" s="107"/>
      <c r="DH163" s="107"/>
    </row>
    <row r="164" spans="7:112" ht="14.1" customHeight="1" thickBot="1" x14ac:dyDescent="0.35">
      <c r="G164" s="106"/>
      <c r="H164" s="203"/>
      <c r="J164" s="210"/>
      <c r="K164" s="121" t="s">
        <v>118</v>
      </c>
      <c r="L164" s="151">
        <v>87.742693503115902</v>
      </c>
      <c r="M164" s="151">
        <v>87.742693503115902</v>
      </c>
      <c r="N164" s="151">
        <v>87.742693503115902</v>
      </c>
      <c r="O164" s="151">
        <v>87.742693503115902</v>
      </c>
      <c r="P164"/>
      <c r="Q164"/>
      <c r="R164"/>
      <c r="S164"/>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c r="BS164" s="107"/>
      <c r="BT164" s="107"/>
      <c r="BU164" s="107"/>
      <c r="BV164" s="107"/>
      <c r="BW164" s="107"/>
      <c r="BX164" s="107"/>
      <c r="BY164" s="107"/>
      <c r="BZ164" s="107"/>
      <c r="CA164" s="107"/>
      <c r="CB164" s="107"/>
      <c r="CC164" s="107"/>
      <c r="CD164" s="107"/>
      <c r="CE164" s="107"/>
      <c r="CF164" s="107"/>
      <c r="CG164" s="107"/>
      <c r="CH164" s="107"/>
      <c r="CI164" s="107"/>
      <c r="CJ164" s="107"/>
      <c r="CK164" s="107"/>
      <c r="CL164" s="107"/>
      <c r="CM164" s="107"/>
      <c r="CN164" s="107"/>
      <c r="CO164" s="107"/>
      <c r="CP164" s="107"/>
      <c r="CQ164" s="107"/>
      <c r="CR164" s="107"/>
      <c r="CS164" s="107"/>
      <c r="CT164" s="107"/>
      <c r="CU164" s="107"/>
      <c r="CV164" s="107"/>
      <c r="CW164" s="107"/>
      <c r="CX164" s="107"/>
      <c r="CY164" s="107"/>
      <c r="CZ164" s="107"/>
      <c r="DA164" s="107"/>
      <c r="DB164" s="107"/>
      <c r="DC164" s="107"/>
      <c r="DD164" s="107"/>
      <c r="DE164" s="107"/>
      <c r="DF164" s="107"/>
      <c r="DG164" s="107"/>
      <c r="DH164" s="107"/>
    </row>
    <row r="165" spans="7:112" ht="14.1" customHeight="1" thickTop="1" x14ac:dyDescent="0.3">
      <c r="G165" s="106"/>
      <c r="H165" s="203"/>
      <c r="J165" s="211"/>
      <c r="K165" s="119" t="s">
        <v>134</v>
      </c>
      <c r="L165" s="152">
        <v>90.119749674171018</v>
      </c>
      <c r="M165" s="152">
        <v>90.119749674171018</v>
      </c>
      <c r="N165" s="152">
        <v>90.119749674171018</v>
      </c>
      <c r="O165" s="152">
        <v>90.119749674171018</v>
      </c>
      <c r="P165"/>
      <c r="Q165"/>
      <c r="R165"/>
      <c r="S165"/>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c r="BS165" s="107"/>
      <c r="BT165" s="107"/>
      <c r="BU165" s="107"/>
      <c r="BV165" s="107"/>
      <c r="BW165" s="107"/>
      <c r="BX165" s="107"/>
      <c r="BY165" s="107"/>
      <c r="BZ165" s="107"/>
      <c r="CA165" s="107"/>
      <c r="CB165" s="107"/>
      <c r="CC165" s="107"/>
      <c r="CD165" s="107"/>
      <c r="CE165" s="107"/>
      <c r="CF165" s="107"/>
      <c r="CG165" s="107"/>
      <c r="CH165" s="107"/>
      <c r="CI165" s="107"/>
      <c r="CJ165" s="107"/>
      <c r="CK165" s="107"/>
      <c r="CL165" s="107"/>
      <c r="CM165" s="107"/>
      <c r="CN165" s="107"/>
      <c r="CO165" s="107"/>
      <c r="CP165" s="107"/>
      <c r="CQ165" s="107"/>
      <c r="CR165" s="107"/>
      <c r="CS165" s="107"/>
      <c r="CT165" s="107"/>
      <c r="CU165" s="107"/>
      <c r="CV165" s="107"/>
      <c r="CW165" s="107"/>
      <c r="CX165" s="107"/>
      <c r="CY165" s="107"/>
      <c r="CZ165" s="107"/>
      <c r="DA165" s="107"/>
      <c r="DB165" s="107"/>
      <c r="DC165" s="107"/>
      <c r="DD165" s="107"/>
      <c r="DE165" s="107"/>
      <c r="DF165" s="107"/>
      <c r="DG165" s="107"/>
      <c r="DH165" s="107"/>
    </row>
    <row r="166" spans="7:112" ht="14.1" customHeight="1" x14ac:dyDescent="0.3">
      <c r="G166" s="106"/>
      <c r="H166" s="203"/>
      <c r="J166" s="211"/>
      <c r="K166" s="7" t="s">
        <v>135</v>
      </c>
      <c r="L166" s="150">
        <v>93.307089937741338</v>
      </c>
      <c r="M166" s="150">
        <v>93.307089937741338</v>
      </c>
      <c r="N166" s="150">
        <v>93.307089937741338</v>
      </c>
      <c r="O166" s="150">
        <v>93.307089937741338</v>
      </c>
      <c r="P166"/>
      <c r="Q166"/>
      <c r="R166"/>
      <c r="S166"/>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c r="BS166" s="107"/>
      <c r="BT166" s="107"/>
      <c r="BU166" s="107"/>
      <c r="BV166" s="107"/>
      <c r="BW166" s="107"/>
      <c r="BX166" s="107"/>
      <c r="BY166" s="107"/>
      <c r="BZ166" s="107"/>
      <c r="CA166" s="107"/>
      <c r="CB166" s="107"/>
      <c r="CC166" s="107"/>
      <c r="CD166" s="107"/>
      <c r="CE166" s="107"/>
      <c r="CF166" s="107"/>
      <c r="CG166" s="107"/>
      <c r="CH166" s="107"/>
      <c r="CI166" s="107"/>
      <c r="CJ166" s="107"/>
      <c r="CK166" s="107"/>
      <c r="CL166" s="107"/>
      <c r="CM166" s="107"/>
      <c r="CN166" s="107"/>
      <c r="CO166" s="107"/>
      <c r="CP166" s="107"/>
      <c r="CQ166" s="107"/>
      <c r="CR166" s="107"/>
      <c r="CS166" s="107"/>
      <c r="CT166" s="107"/>
      <c r="CU166" s="107"/>
      <c r="CV166" s="107"/>
      <c r="CW166" s="107"/>
      <c r="CX166" s="107"/>
      <c r="CY166" s="107"/>
      <c r="CZ166" s="107"/>
      <c r="DA166" s="107"/>
      <c r="DB166" s="107"/>
      <c r="DC166" s="107"/>
      <c r="DD166" s="107"/>
      <c r="DE166" s="107"/>
      <c r="DF166" s="107"/>
      <c r="DG166" s="107"/>
      <c r="DH166" s="107"/>
    </row>
    <row r="167" spans="7:112" ht="14.1" customHeight="1" thickBot="1" x14ac:dyDescent="0.35">
      <c r="G167" s="106"/>
      <c r="H167" s="203"/>
      <c r="J167" s="211"/>
      <c r="K167" s="121" t="s">
        <v>136</v>
      </c>
      <c r="L167" s="151">
        <v>98.345390031510718</v>
      </c>
      <c r="M167" s="151">
        <v>98.345390031510718</v>
      </c>
      <c r="N167" s="151">
        <v>98.345390031510718</v>
      </c>
      <c r="O167" s="151">
        <v>98.345390031510718</v>
      </c>
      <c r="P167"/>
      <c r="Q167"/>
      <c r="R167"/>
      <c r="S16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c r="BS167" s="107"/>
      <c r="BT167" s="107"/>
      <c r="BU167" s="107"/>
      <c r="BV167" s="107"/>
      <c r="BW167" s="107"/>
      <c r="BX167" s="107"/>
      <c r="BY167" s="107"/>
      <c r="BZ167" s="107"/>
      <c r="CA167" s="107"/>
      <c r="CB167" s="107"/>
      <c r="CC167" s="107"/>
      <c r="CD167" s="107"/>
      <c r="CE167" s="107"/>
      <c r="CF167" s="107"/>
      <c r="CG167" s="107"/>
      <c r="CH167" s="107"/>
      <c r="CI167" s="107"/>
      <c r="CJ167" s="107"/>
      <c r="CK167" s="107"/>
      <c r="CL167" s="107"/>
      <c r="CM167" s="107"/>
      <c r="CN167" s="107"/>
      <c r="CO167" s="107"/>
      <c r="CP167" s="107"/>
      <c r="CQ167" s="107"/>
      <c r="CR167" s="107"/>
      <c r="CS167" s="107"/>
      <c r="CT167" s="107"/>
      <c r="CU167" s="107"/>
      <c r="CV167" s="107"/>
      <c r="CW167" s="107"/>
      <c r="CX167" s="107"/>
      <c r="CY167" s="107"/>
      <c r="CZ167" s="107"/>
      <c r="DA167" s="107"/>
      <c r="DB167" s="107"/>
      <c r="DC167" s="107"/>
      <c r="DD167" s="107"/>
      <c r="DE167" s="107"/>
      <c r="DF167" s="107"/>
      <c r="DG167" s="107"/>
      <c r="DH167" s="107"/>
    </row>
    <row r="168" spans="7:112" ht="14.1" customHeight="1" thickTop="1" x14ac:dyDescent="0.3">
      <c r="G168" s="106"/>
      <c r="H168" s="203"/>
      <c r="J168" s="262">
        <v>44000</v>
      </c>
      <c r="K168" s="7" t="s">
        <v>389</v>
      </c>
      <c r="L168" s="153"/>
      <c r="M168" s="153"/>
      <c r="N168" s="153"/>
      <c r="O168" s="153"/>
      <c r="P168"/>
      <c r="Q168"/>
      <c r="R168"/>
      <c r="S168"/>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c r="BS168" s="107"/>
      <c r="BT168" s="107"/>
      <c r="BU168" s="107"/>
      <c r="BV168" s="107"/>
      <c r="BW168" s="107"/>
      <c r="BX168" s="107"/>
      <c r="BY168" s="107"/>
      <c r="BZ168" s="107"/>
      <c r="CA168" s="107"/>
      <c r="CB168" s="107"/>
      <c r="CC168" s="107"/>
      <c r="CD168" s="107"/>
      <c r="CE168" s="107"/>
      <c r="CF168" s="107"/>
      <c r="CG168" s="107"/>
      <c r="CH168" s="107"/>
      <c r="CI168" s="107"/>
      <c r="CJ168" s="107"/>
      <c r="CK168" s="107"/>
      <c r="CL168" s="107"/>
      <c r="CM168" s="107"/>
      <c r="CN168" s="107"/>
      <c r="CO168" s="107"/>
      <c r="CP168" s="107"/>
      <c r="CQ168" s="107"/>
      <c r="CR168" s="107"/>
      <c r="CS168" s="107"/>
      <c r="CT168" s="107"/>
      <c r="CU168" s="107"/>
      <c r="CV168" s="107"/>
      <c r="CW168" s="107"/>
      <c r="CX168" s="107"/>
      <c r="CY168" s="107"/>
      <c r="CZ168" s="107"/>
      <c r="DA168" s="107"/>
      <c r="DB168" s="107"/>
      <c r="DC168" s="107"/>
      <c r="DD168" s="107"/>
      <c r="DE168" s="107"/>
      <c r="DF168" s="107"/>
      <c r="DG168" s="107"/>
      <c r="DH168" s="107"/>
    </row>
    <row r="169" spans="7:112" ht="14.1" customHeight="1" thickBot="1" x14ac:dyDescent="0.35">
      <c r="G169" s="106"/>
      <c r="H169" s="203"/>
      <c r="J169" s="112"/>
      <c r="K169" s="7" t="s">
        <v>390</v>
      </c>
      <c r="L169" s="260">
        <v>4</v>
      </c>
      <c r="M169" s="260">
        <v>4</v>
      </c>
      <c r="N169" s="260">
        <v>5</v>
      </c>
      <c r="O169" s="260">
        <v>13</v>
      </c>
      <c r="P169"/>
      <c r="Q169"/>
      <c r="R169"/>
      <c r="S169"/>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c r="BS169" s="107"/>
      <c r="BT169" s="107"/>
      <c r="BU169" s="107"/>
      <c r="BV169" s="107"/>
      <c r="BW169" s="107"/>
      <c r="BX169" s="107"/>
      <c r="BY169" s="107"/>
      <c r="BZ169" s="107"/>
      <c r="CA169" s="107"/>
      <c r="CB169" s="107"/>
      <c r="CC169" s="107"/>
      <c r="CD169" s="107"/>
      <c r="CE169" s="107"/>
      <c r="CF169" s="107"/>
      <c r="CG169" s="107"/>
      <c r="CH169" s="107"/>
      <c r="CI169" s="107"/>
      <c r="CJ169" s="107"/>
      <c r="CK169" s="107"/>
      <c r="CL169" s="107"/>
      <c r="CM169" s="107"/>
      <c r="CN169" s="107"/>
      <c r="CO169" s="107"/>
      <c r="CP169" s="107"/>
      <c r="CQ169" s="107"/>
      <c r="CR169" s="107"/>
      <c r="CS169" s="107"/>
      <c r="CT169" s="107"/>
      <c r="CU169" s="107"/>
      <c r="CV169" s="107"/>
      <c r="CW169" s="107"/>
      <c r="CX169" s="107"/>
      <c r="CY169" s="107"/>
      <c r="CZ169" s="107"/>
      <c r="DA169" s="107"/>
      <c r="DB169" s="107"/>
      <c r="DC169" s="107"/>
      <c r="DD169" s="107"/>
      <c r="DE169" s="107"/>
      <c r="DF169" s="107"/>
      <c r="DG169" s="107"/>
      <c r="DH169" s="107"/>
    </row>
    <row r="170" spans="7:112" ht="14.1" customHeight="1" thickTop="1" thickBot="1" x14ac:dyDescent="0.35">
      <c r="G170" s="106"/>
      <c r="H170" s="203"/>
      <c r="J170" s="210" t="s">
        <v>388</v>
      </c>
      <c r="K170" s="119" t="s">
        <v>116</v>
      </c>
      <c r="L170" s="261">
        <f t="shared" ref="L170:O172" si="8">$J$168*L$169/(L$93*1000)</f>
        <v>35.200000000000003</v>
      </c>
      <c r="M170" s="261">
        <f t="shared" si="8"/>
        <v>22</v>
      </c>
      <c r="N170" s="261">
        <f t="shared" si="8"/>
        <v>22</v>
      </c>
      <c r="O170" s="261">
        <f t="shared" si="8"/>
        <v>38.133333333333333</v>
      </c>
      <c r="P170"/>
      <c r="Q170"/>
      <c r="R170"/>
      <c r="S170"/>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c r="BS170" s="107"/>
      <c r="BT170" s="107"/>
      <c r="BU170" s="107"/>
      <c r="BV170" s="107"/>
      <c r="BW170" s="107"/>
      <c r="BX170" s="107"/>
      <c r="BY170" s="107"/>
      <c r="BZ170" s="107"/>
      <c r="CA170" s="107"/>
      <c r="CB170" s="107"/>
      <c r="CC170" s="107"/>
      <c r="CD170" s="107"/>
      <c r="CE170" s="107"/>
      <c r="CF170" s="107"/>
      <c r="CG170" s="107"/>
      <c r="CH170" s="107"/>
      <c r="CI170" s="107"/>
      <c r="CJ170" s="107"/>
      <c r="CK170" s="107"/>
      <c r="CL170" s="107"/>
      <c r="CM170" s="107"/>
      <c r="CN170" s="107"/>
      <c r="CO170" s="107"/>
      <c r="CP170" s="107"/>
      <c r="CQ170" s="107"/>
      <c r="CR170" s="107"/>
      <c r="CS170" s="107"/>
      <c r="CT170" s="107"/>
      <c r="CU170" s="107"/>
      <c r="CV170" s="107"/>
      <c r="CW170" s="107"/>
      <c r="CX170" s="107"/>
      <c r="CY170" s="107"/>
      <c r="CZ170" s="107"/>
      <c r="DA170" s="107"/>
      <c r="DB170" s="107"/>
      <c r="DC170" s="107"/>
      <c r="DD170" s="107"/>
      <c r="DE170" s="107"/>
      <c r="DF170" s="107"/>
      <c r="DG170" s="107"/>
      <c r="DH170" s="107"/>
    </row>
    <row r="171" spans="7:112" ht="14.1" customHeight="1" thickTop="1" thickBot="1" x14ac:dyDescent="0.35">
      <c r="G171" s="106"/>
      <c r="H171" s="203"/>
      <c r="J171" s="210"/>
      <c r="K171" s="7"/>
      <c r="L171" s="261">
        <f t="shared" si="8"/>
        <v>35.200000000000003</v>
      </c>
      <c r="M171" s="261">
        <f t="shared" si="8"/>
        <v>22</v>
      </c>
      <c r="N171" s="261">
        <f t="shared" si="8"/>
        <v>22</v>
      </c>
      <c r="O171" s="261">
        <f t="shared" si="8"/>
        <v>38.133333333333333</v>
      </c>
      <c r="P171"/>
      <c r="Q171"/>
      <c r="R171"/>
      <c r="S171"/>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c r="BS171" s="107"/>
      <c r="BT171" s="107"/>
      <c r="BU171" s="107"/>
      <c r="BV171" s="107"/>
      <c r="BW171" s="107"/>
      <c r="BX171" s="107"/>
      <c r="BY171" s="107"/>
      <c r="BZ171" s="107"/>
      <c r="CA171" s="107"/>
      <c r="CB171" s="107"/>
      <c r="CC171" s="107"/>
      <c r="CD171" s="107"/>
      <c r="CE171" s="107"/>
      <c r="CF171" s="107"/>
      <c r="CG171" s="107"/>
      <c r="CH171" s="107"/>
      <c r="CI171" s="107"/>
      <c r="CJ171" s="107"/>
      <c r="CK171" s="107"/>
      <c r="CL171" s="107"/>
      <c r="CM171" s="107"/>
      <c r="CN171" s="107"/>
      <c r="CO171" s="107"/>
      <c r="CP171" s="107"/>
      <c r="CQ171" s="107"/>
      <c r="CR171" s="107"/>
      <c r="CS171" s="107"/>
      <c r="CT171" s="107"/>
      <c r="CU171" s="107"/>
      <c r="CV171" s="107"/>
      <c r="CW171" s="107"/>
      <c r="CX171" s="107"/>
      <c r="CY171" s="107"/>
      <c r="CZ171" s="107"/>
      <c r="DA171" s="107"/>
      <c r="DB171" s="107"/>
      <c r="DC171" s="107"/>
      <c r="DD171" s="107"/>
      <c r="DE171" s="107"/>
      <c r="DF171" s="107"/>
      <c r="DG171" s="107"/>
      <c r="DH171" s="107"/>
    </row>
    <row r="172" spans="7:112" ht="14.1" customHeight="1" thickTop="1" x14ac:dyDescent="0.3">
      <c r="G172" s="106"/>
      <c r="H172" s="203"/>
      <c r="J172" s="210"/>
      <c r="K172" s="121" t="s">
        <v>118</v>
      </c>
      <c r="L172" s="261">
        <f t="shared" si="8"/>
        <v>35.200000000000003</v>
      </c>
      <c r="M172" s="261">
        <f t="shared" si="8"/>
        <v>22</v>
      </c>
      <c r="N172" s="261">
        <f t="shared" si="8"/>
        <v>22</v>
      </c>
      <c r="O172" s="261">
        <f t="shared" si="8"/>
        <v>38.133333333333333</v>
      </c>
      <c r="P172"/>
      <c r="Q172"/>
      <c r="R172"/>
      <c r="S172"/>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c r="BS172" s="107"/>
      <c r="BT172" s="107"/>
      <c r="BU172" s="107"/>
      <c r="BV172" s="107"/>
      <c r="BW172" s="107"/>
      <c r="BX172" s="107"/>
      <c r="BY172" s="107"/>
      <c r="BZ172" s="107"/>
      <c r="CA172" s="107"/>
      <c r="CB172" s="107"/>
      <c r="CC172" s="107"/>
      <c r="CD172" s="107"/>
      <c r="CE172" s="107"/>
      <c r="CF172" s="107"/>
      <c r="CG172" s="107"/>
      <c r="CH172" s="107"/>
      <c r="CI172" s="107"/>
      <c r="CJ172" s="107"/>
      <c r="CK172" s="107"/>
      <c r="CL172" s="107"/>
      <c r="CM172" s="107"/>
      <c r="CN172" s="107"/>
      <c r="CO172" s="107"/>
      <c r="CP172" s="107"/>
      <c r="CQ172" s="107"/>
      <c r="CR172" s="107"/>
      <c r="CS172" s="107"/>
      <c r="CT172" s="107"/>
      <c r="CU172" s="107"/>
      <c r="CV172" s="107"/>
      <c r="CW172" s="107"/>
      <c r="CX172" s="107"/>
      <c r="CY172" s="107"/>
      <c r="CZ172" s="107"/>
      <c r="DA172" s="107"/>
      <c r="DB172" s="107"/>
      <c r="DC172" s="107"/>
      <c r="DD172" s="107"/>
      <c r="DE172" s="107"/>
      <c r="DF172" s="107"/>
      <c r="DG172" s="107"/>
      <c r="DH172" s="107"/>
    </row>
    <row r="173" spans="7:112" ht="14.1" customHeight="1" thickBot="1" x14ac:dyDescent="0.35">
      <c r="G173" s="106"/>
      <c r="H173" s="203"/>
      <c r="J173" s="210"/>
      <c r="K173" s="7" t="s">
        <v>391</v>
      </c>
      <c r="L173" s="260">
        <v>6</v>
      </c>
      <c r="M173" s="260">
        <v>5</v>
      </c>
      <c r="N173" s="260">
        <v>7</v>
      </c>
      <c r="O173" s="260">
        <v>16</v>
      </c>
      <c r="P173"/>
      <c r="Q173"/>
      <c r="R173"/>
      <c r="S173"/>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c r="BC173" s="107"/>
      <c r="BD173" s="107"/>
      <c r="BE173" s="107"/>
      <c r="BF173" s="107"/>
      <c r="BG173" s="107"/>
      <c r="BH173" s="107"/>
      <c r="BI173" s="107"/>
      <c r="BJ173" s="107"/>
      <c r="BK173" s="107"/>
      <c r="BL173" s="107"/>
      <c r="BM173" s="107"/>
      <c r="BN173" s="107"/>
      <c r="BO173" s="107"/>
      <c r="BP173" s="107"/>
      <c r="BQ173" s="107"/>
      <c r="BR173" s="107"/>
      <c r="BS173" s="107"/>
      <c r="BT173" s="107"/>
      <c r="BU173" s="107"/>
      <c r="BV173" s="107"/>
      <c r="BW173" s="107"/>
      <c r="BX173" s="107"/>
      <c r="BY173" s="107"/>
      <c r="BZ173" s="107"/>
      <c r="CA173" s="107"/>
      <c r="CB173" s="107"/>
      <c r="CC173" s="107"/>
      <c r="CD173" s="107"/>
      <c r="CE173" s="107"/>
      <c r="CF173" s="107"/>
      <c r="CG173" s="107"/>
      <c r="CH173" s="107"/>
      <c r="CI173" s="107"/>
      <c r="CJ173" s="107"/>
      <c r="CK173" s="107"/>
      <c r="CL173" s="107"/>
      <c r="CM173" s="107"/>
      <c r="CN173" s="107"/>
      <c r="CO173" s="107"/>
      <c r="CP173" s="107"/>
      <c r="CQ173" s="107"/>
      <c r="CR173" s="107"/>
      <c r="CS173" s="107"/>
      <c r="CT173" s="107"/>
      <c r="CU173" s="107"/>
      <c r="CV173" s="107"/>
      <c r="CW173" s="107"/>
      <c r="CX173" s="107"/>
      <c r="CY173" s="107"/>
      <c r="CZ173" s="107"/>
      <c r="DA173" s="107"/>
      <c r="DB173" s="107"/>
      <c r="DC173" s="107"/>
      <c r="DD173" s="107"/>
      <c r="DE173" s="107"/>
      <c r="DF173" s="107"/>
      <c r="DG173" s="107"/>
      <c r="DH173" s="107"/>
    </row>
    <row r="174" spans="7:112" ht="14.1" customHeight="1" thickTop="1" thickBot="1" x14ac:dyDescent="0.35">
      <c r="G174" s="106"/>
      <c r="H174" s="159"/>
      <c r="J174" s="211"/>
      <c r="K174" s="119" t="s">
        <v>134</v>
      </c>
      <c r="L174" s="261">
        <f t="shared" ref="L174:O176" si="9">$J$168*L$173/(L$93*1000)</f>
        <v>52.8</v>
      </c>
      <c r="M174" s="261">
        <f t="shared" si="9"/>
        <v>27.5</v>
      </c>
      <c r="N174" s="261">
        <f t="shared" si="9"/>
        <v>30.8</v>
      </c>
      <c r="O174" s="261">
        <f t="shared" si="9"/>
        <v>46.93333333333333</v>
      </c>
      <c r="P174"/>
      <c r="Q174"/>
      <c r="R174"/>
      <c r="S174"/>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c r="BS174" s="107"/>
      <c r="BT174" s="107"/>
      <c r="BU174" s="107"/>
      <c r="BV174" s="107"/>
      <c r="BW174" s="107"/>
      <c r="BX174" s="107"/>
      <c r="BY174" s="107"/>
      <c r="BZ174" s="107"/>
      <c r="CA174" s="107"/>
      <c r="CB174" s="107"/>
      <c r="CC174" s="107"/>
      <c r="CD174" s="107"/>
      <c r="CE174" s="107"/>
      <c r="CF174" s="107"/>
      <c r="CG174" s="107"/>
      <c r="CH174" s="107"/>
      <c r="CI174" s="107"/>
      <c r="CJ174" s="107"/>
      <c r="CK174" s="107"/>
      <c r="CL174" s="107"/>
      <c r="CM174" s="107"/>
      <c r="CN174" s="107"/>
      <c r="CO174" s="107"/>
      <c r="CP174" s="107"/>
      <c r="CQ174" s="107"/>
      <c r="CR174" s="107"/>
      <c r="CS174" s="107"/>
      <c r="CT174" s="107"/>
      <c r="CU174" s="107"/>
      <c r="CV174" s="107"/>
      <c r="CW174" s="107"/>
      <c r="CX174" s="107"/>
      <c r="CY174" s="107"/>
      <c r="CZ174" s="107"/>
      <c r="DA174" s="107"/>
      <c r="DB174" s="107"/>
      <c r="DC174" s="107"/>
      <c r="DD174" s="107"/>
      <c r="DE174" s="107"/>
      <c r="DF174" s="107"/>
      <c r="DG174" s="107"/>
      <c r="DH174" s="107"/>
    </row>
    <row r="175" spans="7:112" ht="14.1" customHeight="1" thickTop="1" thickBot="1" x14ac:dyDescent="0.35">
      <c r="G175" s="106"/>
      <c r="H175" s="159"/>
      <c r="J175" s="211"/>
      <c r="K175" s="7"/>
      <c r="L175" s="261">
        <f t="shared" si="9"/>
        <v>52.8</v>
      </c>
      <c r="M175" s="261">
        <f t="shared" si="9"/>
        <v>27.5</v>
      </c>
      <c r="N175" s="261">
        <f t="shared" si="9"/>
        <v>30.8</v>
      </c>
      <c r="O175" s="261">
        <f t="shared" si="9"/>
        <v>46.93333333333333</v>
      </c>
      <c r="P175"/>
      <c r="Q175"/>
      <c r="R175"/>
      <c r="S175"/>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c r="BS175" s="107"/>
      <c r="BT175" s="107"/>
      <c r="BU175" s="107"/>
      <c r="BV175" s="107"/>
      <c r="BW175" s="107"/>
      <c r="BX175" s="107"/>
      <c r="BY175" s="107"/>
      <c r="BZ175" s="107"/>
      <c r="CA175" s="107"/>
      <c r="CB175" s="107"/>
      <c r="CC175" s="107"/>
      <c r="CD175" s="107"/>
      <c r="CE175" s="107"/>
      <c r="CF175" s="107"/>
      <c r="CG175" s="107"/>
      <c r="CH175" s="107"/>
      <c r="CI175" s="107"/>
      <c r="CJ175" s="107"/>
      <c r="CK175" s="107"/>
      <c r="CL175" s="107"/>
      <c r="CM175" s="107"/>
      <c r="CN175" s="107"/>
      <c r="CO175" s="107"/>
      <c r="CP175" s="107"/>
      <c r="CQ175" s="107"/>
      <c r="CR175" s="107"/>
      <c r="CS175" s="107"/>
      <c r="CT175" s="107"/>
      <c r="CU175" s="107"/>
      <c r="CV175" s="107"/>
      <c r="CW175" s="107"/>
      <c r="CX175" s="107"/>
      <c r="CY175" s="107"/>
      <c r="CZ175" s="107"/>
      <c r="DA175" s="107"/>
      <c r="DB175" s="107"/>
      <c r="DC175" s="107"/>
      <c r="DD175" s="107"/>
      <c r="DE175" s="107"/>
      <c r="DF175" s="107"/>
      <c r="DG175" s="107"/>
      <c r="DH175" s="107"/>
    </row>
    <row r="176" spans="7:112" ht="14.1" customHeight="1" thickTop="1" x14ac:dyDescent="0.3">
      <c r="G176" s="106"/>
      <c r="H176" s="159"/>
      <c r="J176" s="211"/>
      <c r="K176" s="121" t="s">
        <v>136</v>
      </c>
      <c r="L176" s="261">
        <f t="shared" si="9"/>
        <v>52.8</v>
      </c>
      <c r="M176" s="261">
        <f t="shared" si="9"/>
        <v>27.5</v>
      </c>
      <c r="N176" s="261">
        <f t="shared" si="9"/>
        <v>30.8</v>
      </c>
      <c r="O176" s="261">
        <f t="shared" si="9"/>
        <v>46.93333333333333</v>
      </c>
      <c r="P176"/>
      <c r="Q176"/>
      <c r="R176"/>
      <c r="S176"/>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c r="BC176" s="107"/>
      <c r="BD176" s="107"/>
      <c r="BE176" s="107"/>
      <c r="BF176" s="107"/>
      <c r="BG176" s="107"/>
      <c r="BH176" s="107"/>
      <c r="BI176" s="107"/>
      <c r="BJ176" s="107"/>
      <c r="BK176" s="107"/>
      <c r="BL176" s="107"/>
      <c r="BM176" s="107"/>
      <c r="BN176" s="107"/>
      <c r="BO176" s="107"/>
      <c r="BP176" s="107"/>
      <c r="BQ176" s="107"/>
      <c r="BR176" s="107"/>
      <c r="BS176" s="107"/>
      <c r="BT176" s="107"/>
      <c r="BU176" s="107"/>
      <c r="BV176" s="107"/>
      <c r="BW176" s="107"/>
      <c r="BX176" s="107"/>
      <c r="BY176" s="107"/>
      <c r="BZ176" s="107"/>
      <c r="CA176" s="107"/>
      <c r="CB176" s="107"/>
      <c r="CC176" s="107"/>
      <c r="CD176" s="107"/>
      <c r="CE176" s="107"/>
      <c r="CF176" s="107"/>
      <c r="CG176" s="107"/>
      <c r="CH176" s="107"/>
      <c r="CI176" s="107"/>
      <c r="CJ176" s="107"/>
      <c r="CK176" s="107"/>
      <c r="CL176" s="107"/>
      <c r="CM176" s="107"/>
      <c r="CN176" s="107"/>
      <c r="CO176" s="107"/>
      <c r="CP176" s="107"/>
      <c r="CQ176" s="107"/>
      <c r="CR176" s="107"/>
      <c r="CS176" s="107"/>
      <c r="CT176" s="107"/>
      <c r="CU176" s="107"/>
      <c r="CV176" s="107"/>
      <c r="CW176" s="107"/>
      <c r="CX176" s="107"/>
      <c r="CY176" s="107"/>
      <c r="CZ176" s="107"/>
      <c r="DA176" s="107"/>
      <c r="DB176" s="107"/>
      <c r="DC176" s="107"/>
      <c r="DD176" s="107"/>
      <c r="DE176" s="107"/>
      <c r="DF176" s="107"/>
      <c r="DG176" s="107"/>
      <c r="DH176" s="107"/>
    </row>
    <row r="177" spans="7:112" ht="14.1" customHeight="1" thickBot="1" x14ac:dyDescent="0.35">
      <c r="G177" s="106"/>
      <c r="H177" s="203"/>
      <c r="L177" s="107" t="s">
        <v>365</v>
      </c>
      <c r="M177" s="107" t="s">
        <v>366</v>
      </c>
      <c r="N177" s="107" t="s">
        <v>367</v>
      </c>
      <c r="O177" s="107" t="s">
        <v>368</v>
      </c>
      <c r="P177"/>
      <c r="Q177"/>
      <c r="R177"/>
      <c r="S17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c r="BS177" s="107"/>
      <c r="BT177" s="107"/>
      <c r="BU177" s="107"/>
      <c r="BV177" s="107"/>
      <c r="BW177" s="107"/>
      <c r="BX177" s="107"/>
      <c r="BY177" s="107"/>
      <c r="BZ177" s="107"/>
      <c r="CA177" s="107"/>
      <c r="CB177" s="107"/>
      <c r="CC177" s="107"/>
      <c r="CD177" s="107"/>
      <c r="CE177" s="107"/>
      <c r="CF177" s="107"/>
      <c r="CG177" s="107"/>
      <c r="CH177" s="107"/>
      <c r="CI177" s="107"/>
      <c r="CJ177" s="107"/>
      <c r="CK177" s="107"/>
      <c r="CL177" s="107"/>
      <c r="CM177" s="107"/>
      <c r="CN177" s="107"/>
      <c r="CO177" s="107"/>
      <c r="CP177" s="107"/>
      <c r="CQ177" s="107"/>
      <c r="CR177" s="107"/>
      <c r="CS177" s="107"/>
      <c r="CT177" s="107"/>
      <c r="CU177" s="107"/>
      <c r="CV177" s="107"/>
      <c r="CW177" s="107"/>
      <c r="CX177" s="107"/>
      <c r="CY177" s="107"/>
      <c r="CZ177" s="107"/>
      <c r="DA177" s="107"/>
      <c r="DB177" s="107"/>
      <c r="DC177" s="107"/>
      <c r="DD177" s="107"/>
      <c r="DE177" s="107"/>
      <c r="DF177" s="107"/>
      <c r="DG177" s="107"/>
      <c r="DH177" s="107"/>
    </row>
    <row r="178" spans="7:112" ht="14.1" customHeight="1" thickTop="1" x14ac:dyDescent="0.3">
      <c r="G178" s="106"/>
      <c r="H178" s="203"/>
      <c r="J178" s="210" t="s">
        <v>387</v>
      </c>
      <c r="K178" s="119" t="s">
        <v>116</v>
      </c>
      <c r="L178" s="264">
        <v>0.44</v>
      </c>
      <c r="M178" s="264">
        <v>0.19</v>
      </c>
      <c r="N178" s="264">
        <v>0.14000000000000001</v>
      </c>
      <c r="O178" s="264">
        <v>0.08</v>
      </c>
      <c r="P178"/>
      <c r="Q178"/>
      <c r="R178"/>
      <c r="S178"/>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c r="BS178" s="107"/>
      <c r="BT178" s="107"/>
      <c r="BU178" s="107"/>
      <c r="BV178" s="107"/>
      <c r="BW178" s="107"/>
      <c r="BX178" s="107"/>
      <c r="BY178" s="107"/>
      <c r="BZ178" s="107"/>
      <c r="CA178" s="107"/>
      <c r="CB178" s="107"/>
      <c r="CC178" s="107"/>
      <c r="CD178" s="107"/>
      <c r="CE178" s="107"/>
      <c r="CF178" s="107"/>
      <c r="CG178" s="107"/>
      <c r="CH178" s="107"/>
      <c r="CI178" s="107"/>
      <c r="CJ178" s="107"/>
      <c r="CK178" s="107"/>
      <c r="CL178" s="107"/>
      <c r="CM178" s="107"/>
      <c r="CN178" s="107"/>
      <c r="CO178" s="107"/>
      <c r="CP178" s="107"/>
      <c r="CQ178" s="107"/>
      <c r="CR178" s="107"/>
      <c r="CS178" s="107"/>
      <c r="CT178" s="107"/>
      <c r="CU178" s="107"/>
      <c r="CV178" s="107"/>
      <c r="CW178" s="107"/>
      <c r="CX178" s="107"/>
      <c r="CY178" s="107"/>
      <c r="CZ178" s="107"/>
      <c r="DA178" s="107"/>
      <c r="DB178" s="107"/>
      <c r="DC178" s="107"/>
      <c r="DD178" s="107"/>
      <c r="DE178" s="107"/>
      <c r="DF178" s="107"/>
      <c r="DG178" s="107"/>
      <c r="DH178" s="107"/>
    </row>
    <row r="179" spans="7:112" ht="14.1" customHeight="1" x14ac:dyDescent="0.3">
      <c r="G179" s="106"/>
      <c r="H179" s="203"/>
      <c r="J179" s="210"/>
      <c r="K179" s="7"/>
      <c r="L179" s="265"/>
      <c r="M179" s="265"/>
      <c r="N179" s="265"/>
      <c r="O179" s="265"/>
      <c r="P179"/>
      <c r="Q179"/>
      <c r="R179"/>
      <c r="S179"/>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c r="BS179" s="107"/>
      <c r="BT179" s="107"/>
      <c r="BU179" s="107"/>
      <c r="BV179" s="107"/>
      <c r="BW179" s="107"/>
      <c r="BX179" s="107"/>
      <c r="BY179" s="107"/>
      <c r="BZ179" s="107"/>
      <c r="CA179" s="107"/>
      <c r="CB179" s="107"/>
      <c r="CC179" s="107"/>
      <c r="CD179" s="107"/>
      <c r="CE179" s="107"/>
      <c r="CF179" s="107"/>
      <c r="CG179" s="107"/>
      <c r="CH179" s="107"/>
      <c r="CI179" s="107"/>
      <c r="CJ179" s="107"/>
      <c r="CK179" s="107"/>
      <c r="CL179" s="107"/>
      <c r="CM179" s="107"/>
      <c r="CN179" s="107"/>
      <c r="CO179" s="107"/>
      <c r="CP179" s="107"/>
      <c r="CQ179" s="107"/>
      <c r="CR179" s="107"/>
      <c r="CS179" s="107"/>
      <c r="CT179" s="107"/>
      <c r="CU179" s="107"/>
      <c r="CV179" s="107"/>
      <c r="CW179" s="107"/>
      <c r="CX179" s="107"/>
      <c r="CY179" s="107"/>
      <c r="CZ179" s="107"/>
      <c r="DA179" s="107"/>
      <c r="DB179" s="107"/>
      <c r="DC179" s="107"/>
      <c r="DD179" s="107"/>
      <c r="DE179" s="107"/>
      <c r="DF179" s="107"/>
      <c r="DG179" s="107"/>
      <c r="DH179" s="107"/>
    </row>
    <row r="180" spans="7:112" ht="14.1" customHeight="1" thickBot="1" x14ac:dyDescent="0.35">
      <c r="G180" s="106"/>
      <c r="H180" s="203"/>
      <c r="J180" s="210"/>
      <c r="K180" s="121" t="s">
        <v>118</v>
      </c>
      <c r="L180" s="266">
        <v>0.96799999999999997</v>
      </c>
      <c r="M180" s="266">
        <v>0.42499999999999999</v>
      </c>
      <c r="N180" s="266">
        <v>0.32</v>
      </c>
      <c r="O180" s="266">
        <v>0.191</v>
      </c>
      <c r="P180"/>
      <c r="Q180"/>
      <c r="R180"/>
      <c r="S180"/>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c r="BS180" s="107"/>
      <c r="BT180" s="107"/>
      <c r="BU180" s="107"/>
      <c r="BV180" s="107"/>
      <c r="BW180" s="107"/>
      <c r="BX180" s="107"/>
      <c r="BY180" s="107"/>
      <c r="BZ180" s="107"/>
      <c r="CA180" s="107"/>
      <c r="CB180" s="107"/>
      <c r="CC180" s="107"/>
      <c r="CD180" s="107"/>
      <c r="CE180" s="107"/>
      <c r="CF180" s="107"/>
      <c r="CG180" s="107"/>
      <c r="CH180" s="107"/>
      <c r="CI180" s="107"/>
      <c r="CJ180" s="107"/>
      <c r="CK180" s="107"/>
      <c r="CL180" s="107"/>
      <c r="CM180" s="107"/>
      <c r="CN180" s="107"/>
      <c r="CO180" s="107"/>
      <c r="CP180" s="107"/>
      <c r="CQ180" s="107"/>
      <c r="CR180" s="107"/>
      <c r="CS180" s="107"/>
      <c r="CT180" s="107"/>
      <c r="CU180" s="107"/>
      <c r="CV180" s="107"/>
      <c r="CW180" s="107"/>
      <c r="CX180" s="107"/>
      <c r="CY180" s="107"/>
      <c r="CZ180" s="107"/>
      <c r="DA180" s="107"/>
      <c r="DB180" s="107"/>
      <c r="DC180" s="107"/>
      <c r="DD180" s="107"/>
      <c r="DE180" s="107"/>
      <c r="DF180" s="107"/>
      <c r="DG180" s="107"/>
      <c r="DH180" s="107"/>
    </row>
    <row r="181" spans="7:112" ht="14.1" customHeight="1" thickTop="1" x14ac:dyDescent="0.3">
      <c r="G181" s="106"/>
      <c r="H181" s="159"/>
      <c r="J181" s="211"/>
      <c r="K181" s="119" t="s">
        <v>134</v>
      </c>
      <c r="L181" s="264">
        <v>1.155</v>
      </c>
      <c r="M181" s="264">
        <v>0.47</v>
      </c>
      <c r="N181" s="264">
        <v>0.33500000000000002</v>
      </c>
      <c r="O181" s="264">
        <v>0.18</v>
      </c>
      <c r="P181"/>
      <c r="Q181"/>
      <c r="R181"/>
      <c r="S181"/>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c r="BS181" s="107"/>
      <c r="BT181" s="107"/>
      <c r="BU181" s="107"/>
      <c r="BV181" s="107"/>
      <c r="BW181" s="107"/>
      <c r="BX181" s="107"/>
      <c r="BY181" s="107"/>
      <c r="BZ181" s="107"/>
      <c r="CA181" s="107"/>
      <c r="CB181" s="107"/>
      <c r="CC181" s="107"/>
      <c r="CD181" s="107"/>
      <c r="CE181" s="107"/>
      <c r="CF181" s="107"/>
      <c r="CG181" s="107"/>
      <c r="CH181" s="107"/>
      <c r="CI181" s="107"/>
      <c r="CJ181" s="107"/>
      <c r="CK181" s="107"/>
      <c r="CL181" s="107"/>
      <c r="CM181" s="107"/>
      <c r="CN181" s="107"/>
      <c r="CO181" s="107"/>
      <c r="CP181" s="107"/>
      <c r="CQ181" s="107"/>
      <c r="CR181" s="107"/>
      <c r="CS181" s="107"/>
      <c r="CT181" s="107"/>
      <c r="CU181" s="107"/>
      <c r="CV181" s="107"/>
      <c r="CW181" s="107"/>
      <c r="CX181" s="107"/>
      <c r="CY181" s="107"/>
      <c r="CZ181" s="107"/>
      <c r="DA181" s="107"/>
      <c r="DB181" s="107"/>
      <c r="DC181" s="107"/>
      <c r="DD181" s="107"/>
      <c r="DE181" s="107"/>
      <c r="DF181" s="107"/>
      <c r="DG181" s="107"/>
      <c r="DH181" s="107"/>
    </row>
    <row r="182" spans="7:112" ht="14.1" customHeight="1" x14ac:dyDescent="0.3">
      <c r="G182" s="106"/>
      <c r="H182" s="159"/>
      <c r="J182" s="211"/>
      <c r="K182" s="7"/>
      <c r="L182" s="267"/>
      <c r="M182" s="267"/>
      <c r="N182" s="267"/>
      <c r="O182" s="267"/>
      <c r="P182"/>
      <c r="Q182"/>
      <c r="R182"/>
      <c r="S182"/>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c r="BS182" s="107"/>
      <c r="BT182" s="107"/>
      <c r="BU182" s="107"/>
      <c r="BV182" s="107"/>
      <c r="BW182" s="107"/>
      <c r="BX182" s="107"/>
      <c r="BY182" s="107"/>
      <c r="BZ182" s="107"/>
      <c r="CA182" s="107"/>
      <c r="CB182" s="107"/>
      <c r="CC182" s="107"/>
      <c r="CD182" s="107"/>
      <c r="CE182" s="107"/>
      <c r="CF182" s="107"/>
      <c r="CG182" s="107"/>
      <c r="CH182" s="107"/>
      <c r="CI182" s="107"/>
      <c r="CJ182" s="107"/>
      <c r="CK182" s="107"/>
      <c r="CL182" s="107"/>
      <c r="CM182" s="107"/>
      <c r="CN182" s="107"/>
      <c r="CO182" s="107"/>
      <c r="CP182" s="107"/>
      <c r="CQ182" s="107"/>
      <c r="CR182" s="107"/>
      <c r="CS182" s="107"/>
      <c r="CT182" s="107"/>
      <c r="CU182" s="107"/>
      <c r="CV182" s="107"/>
      <c r="CW182" s="107"/>
      <c r="CX182" s="107"/>
      <c r="CY182" s="107"/>
      <c r="CZ182" s="107"/>
      <c r="DA182" s="107"/>
      <c r="DB182" s="107"/>
      <c r="DC182" s="107"/>
      <c r="DD182" s="107"/>
      <c r="DE182" s="107"/>
      <c r="DF182" s="107"/>
      <c r="DG182" s="107"/>
      <c r="DH182" s="107"/>
    </row>
    <row r="183" spans="7:112" ht="14.1" customHeight="1" thickBot="1" x14ac:dyDescent="0.35">
      <c r="G183" s="106"/>
      <c r="H183" s="159"/>
      <c r="J183" s="211"/>
      <c r="K183" s="121" t="s">
        <v>136</v>
      </c>
      <c r="L183" s="266">
        <v>2.0680000000000001</v>
      </c>
      <c r="M183" s="266">
        <v>0.89700000000000002</v>
      </c>
      <c r="N183" s="266">
        <v>0.66500000000000004</v>
      </c>
      <c r="O183" s="266">
        <v>0.39</v>
      </c>
      <c r="P183"/>
      <c r="Q183"/>
      <c r="R183"/>
      <c r="S183"/>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c r="BS183" s="107"/>
      <c r="BT183" s="107"/>
      <c r="BU183" s="107"/>
      <c r="BV183" s="107"/>
      <c r="BW183" s="107"/>
      <c r="BX183" s="107"/>
      <c r="BY183" s="107"/>
      <c r="BZ183" s="107"/>
      <c r="CA183" s="107"/>
      <c r="CB183" s="107"/>
      <c r="CC183" s="107"/>
      <c r="CD183" s="107"/>
      <c r="CE183" s="107"/>
      <c r="CF183" s="107"/>
      <c r="CG183" s="107"/>
      <c r="CH183" s="107"/>
      <c r="CI183" s="107"/>
      <c r="CJ183" s="107"/>
      <c r="CK183" s="107"/>
      <c r="CL183" s="107"/>
      <c r="CM183" s="107"/>
      <c r="CN183" s="107"/>
      <c r="CO183" s="107"/>
      <c r="CP183" s="107"/>
      <c r="CQ183" s="107"/>
      <c r="CR183" s="107"/>
      <c r="CS183" s="107"/>
      <c r="CT183" s="107"/>
      <c r="CU183" s="107"/>
      <c r="CV183" s="107"/>
      <c r="CW183" s="107"/>
      <c r="CX183" s="107"/>
      <c r="CY183" s="107"/>
      <c r="CZ183" s="107"/>
      <c r="DA183" s="107"/>
      <c r="DB183" s="107"/>
      <c r="DC183" s="107"/>
      <c r="DD183" s="107"/>
      <c r="DE183" s="107"/>
      <c r="DF183" s="107"/>
      <c r="DG183" s="107"/>
      <c r="DH183" s="107"/>
    </row>
    <row r="184" spans="7:112" ht="14.1" customHeight="1" thickTop="1" thickBot="1" x14ac:dyDescent="0.35">
      <c r="G184" s="106"/>
      <c r="H184" s="160"/>
      <c r="I184" s="160"/>
      <c r="J184" s="160"/>
      <c r="K184" s="160"/>
      <c r="L184" s="160"/>
      <c r="M184" s="160"/>
      <c r="N184" s="160"/>
      <c r="O184" s="160"/>
      <c r="P184"/>
      <c r="Q184"/>
      <c r="R184"/>
      <c r="S184"/>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c r="BS184" s="107"/>
      <c r="BT184" s="107"/>
      <c r="BU184" s="107"/>
      <c r="BV184" s="107"/>
      <c r="BW184" s="107"/>
      <c r="BX184" s="107"/>
      <c r="BY184" s="107"/>
      <c r="BZ184" s="107"/>
      <c r="CA184" s="107"/>
      <c r="CB184" s="107"/>
      <c r="CC184" s="107"/>
      <c r="CD184" s="107"/>
      <c r="CE184" s="107"/>
      <c r="CF184" s="107"/>
      <c r="CG184" s="107"/>
      <c r="CH184" s="107"/>
      <c r="CI184" s="107"/>
      <c r="CJ184" s="107"/>
      <c r="CK184" s="107"/>
      <c r="CL184" s="107"/>
      <c r="CM184" s="107"/>
      <c r="CN184" s="107"/>
      <c r="CO184" s="107"/>
      <c r="CP184" s="107"/>
      <c r="CQ184" s="107"/>
      <c r="CR184" s="107"/>
      <c r="CS184" s="107"/>
      <c r="CT184" s="107"/>
      <c r="CU184" s="107"/>
      <c r="CV184" s="107"/>
      <c r="CW184" s="107"/>
      <c r="CX184" s="107"/>
      <c r="CY184" s="107"/>
      <c r="CZ184" s="107"/>
      <c r="DA184" s="107"/>
      <c r="DB184" s="107"/>
      <c r="DC184" s="107"/>
      <c r="DD184" s="107"/>
      <c r="DE184" s="107"/>
      <c r="DF184" s="107"/>
      <c r="DG184" s="107"/>
      <c r="DH184" s="107"/>
    </row>
    <row r="185" spans="7:112" ht="14.1" customHeight="1" thickBot="1" x14ac:dyDescent="0.35">
      <c r="G185" s="106"/>
      <c r="H185" s="160"/>
      <c r="I185" s="160"/>
      <c r="J185" s="160"/>
      <c r="K185" s="160"/>
      <c r="L185" s="160"/>
      <c r="M185" s="160"/>
      <c r="N185" s="160"/>
      <c r="O185" s="160"/>
      <c r="P185"/>
      <c r="Q185"/>
      <c r="R185"/>
      <c r="S185"/>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c r="BS185" s="107"/>
      <c r="BT185" s="107"/>
      <c r="BU185" s="107"/>
      <c r="BV185" s="107"/>
      <c r="BW185" s="107"/>
      <c r="BX185" s="107"/>
      <c r="BY185" s="107"/>
      <c r="BZ185" s="107"/>
      <c r="CA185" s="107"/>
      <c r="CB185" s="107"/>
      <c r="CC185" s="107"/>
      <c r="CD185" s="107"/>
      <c r="CE185" s="107"/>
      <c r="CF185" s="107"/>
      <c r="CG185" s="107"/>
      <c r="CH185" s="107"/>
      <c r="CI185" s="107"/>
      <c r="CJ185" s="107"/>
      <c r="CK185" s="107"/>
      <c r="CL185" s="107"/>
      <c r="CM185" s="107"/>
      <c r="CN185" s="107"/>
      <c r="CO185" s="107"/>
      <c r="CP185" s="107"/>
      <c r="CQ185" s="107"/>
      <c r="CR185" s="107"/>
      <c r="CS185" s="107"/>
      <c r="CT185" s="107"/>
      <c r="CU185" s="107"/>
      <c r="CV185" s="107"/>
      <c r="CW185" s="107"/>
      <c r="CX185" s="107"/>
      <c r="CY185" s="107"/>
      <c r="CZ185" s="107"/>
      <c r="DA185" s="107"/>
      <c r="DB185" s="107"/>
      <c r="DC185" s="107"/>
      <c r="DD185" s="107"/>
      <c r="DE185" s="107"/>
      <c r="DF185" s="107"/>
      <c r="DG185" s="107"/>
      <c r="DH185" s="107"/>
    </row>
    <row r="186" spans="7:112" ht="14.1" customHeight="1" x14ac:dyDescent="0.3">
      <c r="G186" s="106"/>
      <c r="H186" s="161"/>
      <c r="I186" s="161"/>
      <c r="J186" s="161"/>
      <c r="K186" s="161"/>
      <c r="L186" s="161"/>
      <c r="M186" s="161"/>
      <c r="N186" s="161"/>
      <c r="O186" s="161"/>
      <c r="P186"/>
      <c r="Q186"/>
      <c r="R186"/>
      <c r="S186"/>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c r="BS186" s="107"/>
      <c r="BT186" s="107"/>
      <c r="BU186" s="107"/>
      <c r="BV186" s="107"/>
      <c r="BW186" s="107"/>
      <c r="BX186" s="107"/>
      <c r="BY186" s="107"/>
      <c r="BZ186" s="107"/>
      <c r="CA186" s="107"/>
      <c r="CB186" s="107"/>
      <c r="CC186" s="107"/>
      <c r="CD186" s="107"/>
      <c r="CE186" s="107"/>
      <c r="CF186" s="107"/>
      <c r="CG186" s="107"/>
      <c r="CH186" s="107"/>
      <c r="CI186" s="107"/>
      <c r="CJ186" s="107"/>
      <c r="CK186" s="107"/>
      <c r="CL186" s="107"/>
      <c r="CM186" s="107"/>
      <c r="CN186" s="107"/>
      <c r="CO186" s="107"/>
      <c r="CP186" s="107"/>
      <c r="CQ186" s="107"/>
      <c r="CR186" s="107"/>
      <c r="CS186" s="107"/>
      <c r="CT186" s="107"/>
      <c r="CU186" s="107"/>
      <c r="CV186" s="107"/>
      <c r="CW186" s="107"/>
      <c r="CX186" s="107"/>
      <c r="CY186" s="107"/>
      <c r="CZ186" s="107"/>
      <c r="DA186" s="107"/>
      <c r="DB186" s="107"/>
      <c r="DC186" s="107"/>
      <c r="DD186" s="107"/>
      <c r="DE186" s="107"/>
      <c r="DF186" s="107"/>
      <c r="DG186" s="107"/>
      <c r="DH186" s="107"/>
    </row>
    <row r="187" spans="7:112" ht="14.1" customHeight="1" thickBot="1" x14ac:dyDescent="0.35">
      <c r="G187" s="106"/>
      <c r="L187" s="107" t="s">
        <v>365</v>
      </c>
      <c r="M187" s="107" t="s">
        <v>366</v>
      </c>
      <c r="N187" s="107" t="s">
        <v>367</v>
      </c>
      <c r="O187" s="107" t="s">
        <v>368</v>
      </c>
      <c r="P187"/>
      <c r="Q187"/>
      <c r="R187"/>
      <c r="S18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c r="BS187" s="107"/>
      <c r="BT187" s="107"/>
      <c r="BU187" s="107"/>
      <c r="BV187" s="107"/>
      <c r="BW187" s="107"/>
      <c r="BX187" s="107"/>
      <c r="BY187" s="107"/>
      <c r="BZ187" s="107"/>
      <c r="CA187" s="107"/>
      <c r="CB187" s="107"/>
      <c r="CC187" s="107"/>
      <c r="CD187" s="107"/>
      <c r="CE187" s="107"/>
      <c r="CF187" s="107"/>
      <c r="CG187" s="107"/>
      <c r="CH187" s="107"/>
      <c r="CI187" s="107"/>
      <c r="CJ187" s="107"/>
      <c r="CK187" s="107"/>
      <c r="CL187" s="107"/>
      <c r="CM187" s="107"/>
      <c r="CN187" s="107"/>
      <c r="CO187" s="107"/>
      <c r="CP187" s="107"/>
      <c r="CQ187" s="107"/>
      <c r="CR187" s="107"/>
      <c r="CS187" s="107"/>
      <c r="CT187" s="107"/>
      <c r="CU187" s="107"/>
      <c r="CV187" s="107"/>
      <c r="CW187" s="107"/>
      <c r="CX187" s="107"/>
      <c r="CY187" s="107"/>
      <c r="CZ187" s="107"/>
      <c r="DA187" s="107"/>
      <c r="DB187" s="107"/>
      <c r="DC187" s="107"/>
      <c r="DD187" s="107"/>
      <c r="DE187" s="107"/>
      <c r="DF187" s="107"/>
      <c r="DG187" s="107"/>
      <c r="DH187" s="107"/>
    </row>
    <row r="188" spans="7:112" ht="14.1" customHeight="1" thickTop="1" x14ac:dyDescent="0.3">
      <c r="G188" s="106"/>
      <c r="H188" s="217"/>
      <c r="J188" s="210" t="s">
        <v>144</v>
      </c>
      <c r="K188" s="119" t="s">
        <v>116</v>
      </c>
      <c r="L188" s="142">
        <f t="shared" ref="L188:O193" si="10">L196</f>
        <v>0</v>
      </c>
      <c r="M188" s="142">
        <f t="shared" si="10"/>
        <v>0</v>
      </c>
      <c r="N188" s="142">
        <f t="shared" si="10"/>
        <v>0</v>
      </c>
      <c r="O188" s="142">
        <f t="shared" si="10"/>
        <v>0</v>
      </c>
      <c r="P188"/>
      <c r="Q188"/>
      <c r="R188"/>
      <c r="S188"/>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c r="BS188" s="107"/>
      <c r="BT188" s="107"/>
      <c r="BU188" s="107"/>
      <c r="BV188" s="107"/>
      <c r="BW188" s="107"/>
      <c r="BX188" s="107"/>
      <c r="BY188" s="107"/>
      <c r="BZ188" s="107"/>
      <c r="CA188" s="107"/>
      <c r="CB188" s="107"/>
      <c r="CC188" s="107"/>
      <c r="CD188" s="107"/>
      <c r="CE188" s="107"/>
      <c r="CF188" s="107"/>
      <c r="CG188" s="107"/>
      <c r="CH188" s="107"/>
      <c r="CI188" s="107"/>
      <c r="CJ188" s="107"/>
      <c r="CK188" s="107"/>
      <c r="CL188" s="107"/>
      <c r="CM188" s="107"/>
      <c r="CN188" s="107"/>
      <c r="CO188" s="107"/>
      <c r="CP188" s="107"/>
      <c r="CQ188" s="107"/>
      <c r="CR188" s="107"/>
      <c r="CS188" s="107"/>
      <c r="CT188" s="107"/>
      <c r="CU188" s="107"/>
      <c r="CV188" s="107"/>
      <c r="CW188" s="107"/>
      <c r="CX188" s="107"/>
      <c r="CY188" s="107"/>
      <c r="CZ188" s="107"/>
      <c r="DA188" s="107"/>
      <c r="DB188" s="107"/>
      <c r="DC188" s="107"/>
      <c r="DD188" s="107"/>
      <c r="DE188" s="107"/>
      <c r="DF188" s="107"/>
      <c r="DG188" s="107"/>
      <c r="DH188" s="107"/>
    </row>
    <row r="189" spans="7:112" ht="14.1" customHeight="1" x14ac:dyDescent="0.3">
      <c r="G189" s="106"/>
      <c r="H189" s="217"/>
      <c r="J189" s="210"/>
      <c r="K189" s="7" t="s">
        <v>117</v>
      </c>
      <c r="L189" s="140">
        <f t="shared" si="10"/>
        <v>0</v>
      </c>
      <c r="M189" s="140">
        <f t="shared" si="10"/>
        <v>0</v>
      </c>
      <c r="N189" s="140">
        <f t="shared" si="10"/>
        <v>0</v>
      </c>
      <c r="O189" s="140">
        <f t="shared" si="10"/>
        <v>0</v>
      </c>
      <c r="P189"/>
      <c r="Q189"/>
      <c r="R189"/>
      <c r="S189"/>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c r="BS189" s="107"/>
      <c r="BT189" s="107"/>
      <c r="BU189" s="107"/>
      <c r="BV189" s="107"/>
      <c r="BW189" s="107"/>
      <c r="BX189" s="107"/>
      <c r="BY189" s="107"/>
      <c r="BZ189" s="107"/>
      <c r="CA189" s="107"/>
      <c r="CB189" s="107"/>
      <c r="CC189" s="107"/>
      <c r="CD189" s="107"/>
      <c r="CE189" s="107"/>
      <c r="CF189" s="107"/>
      <c r="CG189" s="107"/>
      <c r="CH189" s="107"/>
      <c r="CI189" s="107"/>
      <c r="CJ189" s="107"/>
      <c r="CK189" s="107"/>
      <c r="CL189" s="107"/>
      <c r="CM189" s="107"/>
      <c r="CN189" s="107"/>
      <c r="CO189" s="107"/>
      <c r="CP189" s="107"/>
      <c r="CQ189" s="107"/>
      <c r="CR189" s="107"/>
      <c r="CS189" s="107"/>
      <c r="CT189" s="107"/>
      <c r="CU189" s="107"/>
      <c r="CV189" s="107"/>
      <c r="CW189" s="107"/>
      <c r="CX189" s="107"/>
      <c r="CY189" s="107"/>
      <c r="CZ189" s="107"/>
      <c r="DA189" s="107"/>
      <c r="DB189" s="107"/>
      <c r="DC189" s="107"/>
      <c r="DD189" s="107"/>
      <c r="DE189" s="107"/>
      <c r="DF189" s="107"/>
      <c r="DG189" s="107"/>
      <c r="DH189" s="107"/>
    </row>
    <row r="190" spans="7:112" ht="14.1" customHeight="1" thickBot="1" x14ac:dyDescent="0.35">
      <c r="G190" s="106"/>
      <c r="H190" s="217"/>
      <c r="J190" s="210"/>
      <c r="K190" s="121" t="s">
        <v>118</v>
      </c>
      <c r="L190" s="141">
        <f t="shared" si="10"/>
        <v>0</v>
      </c>
      <c r="M190" s="141">
        <f t="shared" si="10"/>
        <v>0</v>
      </c>
      <c r="N190" s="141">
        <f t="shared" si="10"/>
        <v>0</v>
      </c>
      <c r="O190" s="141">
        <f t="shared" si="10"/>
        <v>0</v>
      </c>
      <c r="P190"/>
      <c r="Q190"/>
      <c r="R190"/>
      <c r="S190"/>
      <c r="U190" s="107"/>
      <c r="V190" s="107"/>
      <c r="W190" s="107"/>
      <c r="X190" s="107"/>
      <c r="Y190" s="107"/>
      <c r="Z190" s="107"/>
      <c r="AA190" s="107"/>
      <c r="AB190" s="107"/>
      <c r="AC190" s="107"/>
      <c r="AD190" s="107"/>
      <c r="AE190" s="107"/>
      <c r="AF190" s="107"/>
      <c r="AG190" s="107"/>
      <c r="AH190" s="107"/>
      <c r="AI190" s="107"/>
      <c r="AJ190" s="107"/>
      <c r="AK190" s="107"/>
      <c r="AL190" s="107"/>
      <c r="AM190" s="107"/>
      <c r="AN190" s="107"/>
      <c r="AO190" s="107"/>
      <c r="AP190" s="107"/>
      <c r="AQ190" s="107"/>
      <c r="AR190" s="107"/>
      <c r="AS190" s="107"/>
      <c r="AT190" s="107"/>
      <c r="AU190" s="107"/>
      <c r="AV190" s="107"/>
      <c r="AW190" s="107"/>
      <c r="AX190" s="107"/>
      <c r="AY190" s="107"/>
      <c r="AZ190" s="107"/>
      <c r="BA190" s="107"/>
      <c r="BB190" s="107"/>
      <c r="BC190" s="107"/>
      <c r="BD190" s="107"/>
      <c r="BE190" s="107"/>
      <c r="BF190" s="107"/>
      <c r="BG190" s="107"/>
      <c r="BH190" s="107"/>
      <c r="BI190" s="107"/>
      <c r="BJ190" s="107"/>
      <c r="BK190" s="107"/>
      <c r="BL190" s="107"/>
      <c r="BM190" s="107"/>
      <c r="BN190" s="107"/>
      <c r="BO190" s="107"/>
      <c r="BP190" s="107"/>
      <c r="BQ190" s="107"/>
      <c r="BR190" s="107"/>
      <c r="BS190" s="107"/>
      <c r="BT190" s="107"/>
      <c r="BU190" s="107"/>
      <c r="BV190" s="107"/>
      <c r="BW190" s="107"/>
      <c r="BX190" s="107"/>
      <c r="BY190" s="107"/>
      <c r="BZ190" s="107"/>
      <c r="CA190" s="107"/>
      <c r="CB190" s="107"/>
      <c r="CC190" s="107"/>
      <c r="CD190" s="107"/>
      <c r="CE190" s="107"/>
      <c r="CF190" s="107"/>
      <c r="CG190" s="107"/>
      <c r="CH190" s="107"/>
      <c r="CI190" s="107"/>
      <c r="CJ190" s="107"/>
      <c r="CK190" s="107"/>
      <c r="CL190" s="107"/>
      <c r="CM190" s="107"/>
      <c r="CN190" s="107"/>
      <c r="CO190" s="107"/>
      <c r="CP190" s="107"/>
      <c r="CQ190" s="107"/>
      <c r="CR190" s="107"/>
      <c r="CS190" s="107"/>
      <c r="CT190" s="107"/>
      <c r="CU190" s="107"/>
      <c r="CV190" s="107"/>
      <c r="CW190" s="107"/>
      <c r="CX190" s="107"/>
      <c r="CY190" s="107"/>
      <c r="CZ190" s="107"/>
      <c r="DA190" s="107"/>
      <c r="DB190" s="107"/>
      <c r="DC190" s="107"/>
      <c r="DD190" s="107"/>
      <c r="DE190" s="107"/>
      <c r="DF190" s="107"/>
      <c r="DG190" s="107"/>
      <c r="DH190" s="107"/>
    </row>
    <row r="191" spans="7:112" ht="14.1" customHeight="1" thickTop="1" x14ac:dyDescent="0.3">
      <c r="H191" s="217"/>
      <c r="J191" s="211"/>
      <c r="K191" s="119" t="s">
        <v>134</v>
      </c>
      <c r="L191" s="142">
        <f t="shared" si="10"/>
        <v>0</v>
      </c>
      <c r="M191" s="142">
        <f t="shared" si="10"/>
        <v>0</v>
      </c>
      <c r="N191" s="142">
        <f t="shared" si="10"/>
        <v>0</v>
      </c>
      <c r="O191" s="142">
        <f t="shared" si="10"/>
        <v>0</v>
      </c>
      <c r="P191"/>
      <c r="Q191"/>
      <c r="R191"/>
      <c r="S191"/>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07"/>
      <c r="BH191" s="107"/>
      <c r="BI191" s="107"/>
      <c r="BJ191" s="107"/>
      <c r="BK191" s="107"/>
      <c r="BL191" s="107"/>
      <c r="BM191" s="107"/>
      <c r="BN191" s="107"/>
      <c r="BO191" s="107"/>
      <c r="BP191" s="107"/>
      <c r="BQ191" s="107"/>
      <c r="BR191" s="107"/>
      <c r="BS191" s="107"/>
      <c r="BT191" s="107"/>
      <c r="BU191" s="107"/>
      <c r="BV191" s="107"/>
      <c r="BW191" s="107"/>
      <c r="BX191" s="107"/>
      <c r="BY191" s="107"/>
      <c r="BZ191" s="107"/>
      <c r="CA191" s="107"/>
      <c r="CB191" s="107"/>
      <c r="CC191" s="107"/>
      <c r="CD191" s="107"/>
      <c r="CE191" s="107"/>
      <c r="CF191" s="107"/>
      <c r="CG191" s="107"/>
      <c r="CH191" s="107"/>
      <c r="CI191" s="107"/>
      <c r="CJ191" s="107"/>
      <c r="CK191" s="107"/>
      <c r="CL191" s="107"/>
      <c r="CM191" s="107"/>
      <c r="CN191" s="107"/>
      <c r="CO191" s="107"/>
      <c r="CP191" s="107"/>
      <c r="CQ191" s="107"/>
      <c r="CR191" s="107"/>
      <c r="CS191" s="107"/>
      <c r="CT191" s="107"/>
      <c r="CU191" s="107"/>
      <c r="CV191" s="107"/>
      <c r="CW191" s="107"/>
      <c r="CX191" s="107"/>
      <c r="CY191" s="107"/>
      <c r="CZ191" s="107"/>
      <c r="DA191" s="107"/>
      <c r="DB191" s="107"/>
      <c r="DC191" s="107"/>
      <c r="DD191" s="107"/>
      <c r="DE191" s="107"/>
      <c r="DF191" s="107"/>
      <c r="DG191" s="107"/>
      <c r="DH191" s="107"/>
    </row>
    <row r="192" spans="7:112" ht="14.1" customHeight="1" x14ac:dyDescent="0.3">
      <c r="H192" s="217"/>
      <c r="J192" s="211"/>
      <c r="K192" s="7" t="s">
        <v>135</v>
      </c>
      <c r="L192" s="140">
        <f t="shared" si="10"/>
        <v>0</v>
      </c>
      <c r="M192" s="140">
        <f t="shared" si="10"/>
        <v>0</v>
      </c>
      <c r="N192" s="140">
        <f t="shared" si="10"/>
        <v>0</v>
      </c>
      <c r="O192" s="140">
        <f t="shared" si="10"/>
        <v>0</v>
      </c>
      <c r="P192"/>
      <c r="Q192"/>
      <c r="R192"/>
      <c r="S192"/>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c r="BS192" s="107"/>
      <c r="BT192" s="107"/>
      <c r="BU192" s="107"/>
      <c r="BV192" s="107"/>
      <c r="BW192" s="107"/>
      <c r="BX192" s="107"/>
      <c r="BY192" s="107"/>
      <c r="BZ192" s="107"/>
      <c r="CA192" s="107"/>
      <c r="CB192" s="107"/>
      <c r="CC192" s="107"/>
      <c r="CD192" s="107"/>
      <c r="CE192" s="107"/>
      <c r="CF192" s="107"/>
      <c r="CG192" s="107"/>
      <c r="CH192" s="107"/>
      <c r="CI192" s="107"/>
      <c r="CJ192" s="107"/>
      <c r="CK192" s="107"/>
      <c r="CL192" s="107"/>
      <c r="CM192" s="107"/>
      <c r="CN192" s="107"/>
      <c r="CO192" s="107"/>
      <c r="CP192" s="107"/>
      <c r="CQ192" s="107"/>
      <c r="CR192" s="107"/>
      <c r="CS192" s="107"/>
      <c r="CT192" s="107"/>
      <c r="CU192" s="107"/>
      <c r="CV192" s="107"/>
      <c r="CW192" s="107"/>
      <c r="CX192" s="107"/>
      <c r="CY192" s="107"/>
      <c r="CZ192" s="107"/>
      <c r="DA192" s="107"/>
      <c r="DB192" s="107"/>
      <c r="DC192" s="107"/>
      <c r="DD192" s="107"/>
      <c r="DE192" s="107"/>
      <c r="DF192" s="107"/>
      <c r="DG192" s="107"/>
      <c r="DH192" s="107"/>
    </row>
    <row r="193" spans="7:112" ht="14.1" customHeight="1" thickBot="1" x14ac:dyDescent="0.35">
      <c r="H193" s="217"/>
      <c r="J193" s="211"/>
      <c r="K193" s="121" t="s">
        <v>136</v>
      </c>
      <c r="L193" s="141">
        <f t="shared" si="10"/>
        <v>0</v>
      </c>
      <c r="M193" s="141">
        <f t="shared" si="10"/>
        <v>0</v>
      </c>
      <c r="N193" s="141">
        <f t="shared" si="10"/>
        <v>0</v>
      </c>
      <c r="O193" s="141">
        <f t="shared" si="10"/>
        <v>0</v>
      </c>
      <c r="P193"/>
      <c r="Q193"/>
      <c r="R193"/>
      <c r="S193"/>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c r="BS193" s="107"/>
      <c r="BT193" s="107"/>
      <c r="BU193" s="107"/>
      <c r="BV193" s="107"/>
      <c r="BW193" s="107"/>
      <c r="BX193" s="107"/>
      <c r="BY193" s="107"/>
      <c r="BZ193" s="107"/>
      <c r="CA193" s="107"/>
      <c r="CB193" s="107"/>
      <c r="CC193" s="107"/>
      <c r="CD193" s="107"/>
      <c r="CE193" s="107"/>
      <c r="CF193" s="107"/>
      <c r="CG193" s="107"/>
      <c r="CH193" s="107"/>
      <c r="CI193" s="107"/>
      <c r="CJ193" s="107"/>
      <c r="CK193" s="107"/>
      <c r="CL193" s="107"/>
      <c r="CM193" s="107"/>
      <c r="CN193" s="107"/>
      <c r="CO193" s="107"/>
      <c r="CP193" s="107"/>
      <c r="CQ193" s="107"/>
      <c r="CR193" s="107"/>
      <c r="CS193" s="107"/>
      <c r="CT193" s="107"/>
      <c r="CU193" s="107"/>
      <c r="CV193" s="107"/>
      <c r="CW193" s="107"/>
      <c r="CX193" s="107"/>
      <c r="CY193" s="107"/>
      <c r="CZ193" s="107"/>
      <c r="DA193" s="107"/>
      <c r="DB193" s="107"/>
      <c r="DC193" s="107"/>
      <c r="DD193" s="107"/>
      <c r="DE193" s="107"/>
      <c r="DF193" s="107"/>
      <c r="DG193" s="107"/>
      <c r="DH193" s="107"/>
    </row>
    <row r="194" spans="7:112" ht="14.1" customHeight="1" thickTop="1" x14ac:dyDescent="0.3">
      <c r="H194" s="217"/>
      <c r="J194" s="129"/>
      <c r="K194" s="7"/>
      <c r="L194" s="153"/>
      <c r="M194" s="153"/>
      <c r="N194" s="153"/>
      <c r="O194" s="153"/>
      <c r="P194"/>
      <c r="Q194"/>
      <c r="R194"/>
      <c r="S194"/>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c r="BS194" s="107"/>
      <c r="BT194" s="107"/>
      <c r="BU194" s="107"/>
      <c r="BV194" s="107"/>
      <c r="BW194" s="107"/>
      <c r="BX194" s="107"/>
      <c r="BY194" s="107"/>
      <c r="BZ194" s="107"/>
      <c r="CA194" s="107"/>
      <c r="CB194" s="107"/>
      <c r="CC194" s="107"/>
      <c r="CD194" s="107"/>
      <c r="CE194" s="107"/>
      <c r="CF194" s="107"/>
      <c r="CG194" s="107"/>
      <c r="CH194" s="107"/>
      <c r="CI194" s="107"/>
      <c r="CJ194" s="107"/>
      <c r="CK194" s="107"/>
      <c r="CL194" s="107"/>
      <c r="CM194" s="107"/>
      <c r="CN194" s="107"/>
      <c r="CO194" s="107"/>
      <c r="CP194" s="107"/>
      <c r="CQ194" s="107"/>
      <c r="CR194" s="107"/>
      <c r="CS194" s="107"/>
      <c r="CT194" s="107"/>
      <c r="CU194" s="107"/>
      <c r="CV194" s="107"/>
      <c r="CW194" s="107"/>
      <c r="CX194" s="107"/>
      <c r="CY194" s="107"/>
      <c r="CZ194" s="107"/>
      <c r="DA194" s="107"/>
      <c r="DB194" s="107"/>
      <c r="DC194" s="107"/>
      <c r="DD194" s="107"/>
      <c r="DE194" s="107"/>
      <c r="DF194" s="107"/>
      <c r="DG194" s="107"/>
      <c r="DH194" s="107"/>
    </row>
    <row r="195" spans="7:112" ht="14.1" customHeight="1" thickBot="1" x14ac:dyDescent="0.35">
      <c r="H195" s="217"/>
      <c r="J195" s="129"/>
      <c r="K195" s="7"/>
      <c r="L195" s="107" t="s">
        <v>365</v>
      </c>
      <c r="M195" s="107" t="s">
        <v>366</v>
      </c>
      <c r="N195" s="107" t="s">
        <v>367</v>
      </c>
      <c r="O195" s="107" t="s">
        <v>368</v>
      </c>
      <c r="P195"/>
      <c r="Q195"/>
      <c r="R195"/>
      <c r="S195"/>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c r="BS195" s="107"/>
      <c r="BT195" s="107"/>
      <c r="BU195" s="107"/>
      <c r="BV195" s="107"/>
      <c r="BW195" s="107"/>
      <c r="BX195" s="107"/>
      <c r="BY195" s="107"/>
      <c r="BZ195" s="107"/>
      <c r="CA195" s="107"/>
      <c r="CB195" s="107"/>
      <c r="CC195" s="107"/>
      <c r="CD195" s="107"/>
      <c r="CE195" s="107"/>
      <c r="CF195" s="107"/>
      <c r="CG195" s="107"/>
      <c r="CH195" s="107"/>
      <c r="CI195" s="107"/>
      <c r="CJ195" s="107"/>
      <c r="CK195" s="107"/>
      <c r="CL195" s="107"/>
      <c r="CM195" s="107"/>
      <c r="CN195" s="107"/>
      <c r="CO195" s="107"/>
      <c r="CP195" s="107"/>
      <c r="CQ195" s="107"/>
      <c r="CR195" s="107"/>
      <c r="CS195" s="107"/>
      <c r="CT195" s="107"/>
      <c r="CU195" s="107"/>
      <c r="CV195" s="107"/>
      <c r="CW195" s="107"/>
      <c r="CX195" s="107"/>
      <c r="CY195" s="107"/>
      <c r="CZ195" s="107"/>
      <c r="DA195" s="107"/>
      <c r="DB195" s="107"/>
      <c r="DC195" s="107"/>
      <c r="DD195" s="107"/>
      <c r="DE195" s="107"/>
      <c r="DF195" s="107"/>
      <c r="DG195" s="107"/>
      <c r="DH195" s="107"/>
    </row>
    <row r="196" spans="7:112" ht="14.1" customHeight="1" thickTop="1" x14ac:dyDescent="0.3">
      <c r="G196" s="106"/>
      <c r="H196" s="217"/>
      <c r="J196" s="210" t="s">
        <v>145</v>
      </c>
      <c r="K196" s="119" t="s">
        <v>116</v>
      </c>
      <c r="L196" s="152"/>
      <c r="M196" s="152"/>
      <c r="N196" s="152"/>
      <c r="O196" s="152"/>
      <c r="P196"/>
      <c r="Q196"/>
      <c r="R196"/>
      <c r="S196"/>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c r="BS196" s="107"/>
      <c r="BT196" s="107"/>
      <c r="BU196" s="107"/>
      <c r="BV196" s="107"/>
      <c r="BW196" s="107"/>
      <c r="BX196" s="107"/>
      <c r="BY196" s="107"/>
      <c r="BZ196" s="107"/>
      <c r="CA196" s="107"/>
      <c r="CB196" s="107"/>
      <c r="CC196" s="107"/>
      <c r="CD196" s="107"/>
      <c r="CE196" s="107"/>
      <c r="CF196" s="107"/>
      <c r="CG196" s="107"/>
      <c r="CH196" s="107"/>
      <c r="CI196" s="107"/>
      <c r="CJ196" s="107"/>
      <c r="CK196" s="107"/>
      <c r="CL196" s="107"/>
      <c r="CM196" s="107"/>
      <c r="CN196" s="107"/>
      <c r="CO196" s="107"/>
      <c r="CP196" s="107"/>
      <c r="CQ196" s="107"/>
      <c r="CR196" s="107"/>
      <c r="CS196" s="107"/>
      <c r="CT196" s="107"/>
      <c r="CU196" s="107"/>
      <c r="CV196" s="107"/>
      <c r="CW196" s="107"/>
      <c r="CX196" s="107"/>
      <c r="CY196" s="107"/>
      <c r="CZ196" s="107"/>
      <c r="DA196" s="107"/>
      <c r="DB196" s="107"/>
      <c r="DC196" s="107"/>
      <c r="DD196" s="107"/>
      <c r="DE196" s="107"/>
      <c r="DF196" s="107"/>
      <c r="DG196" s="107"/>
      <c r="DH196" s="107"/>
    </row>
    <row r="197" spans="7:112" ht="14.1" customHeight="1" x14ac:dyDescent="0.3">
      <c r="G197" s="106"/>
      <c r="H197" s="217"/>
      <c r="J197" s="210"/>
      <c r="K197" s="7" t="s">
        <v>117</v>
      </c>
      <c r="L197" s="150"/>
      <c r="M197" s="150"/>
      <c r="N197" s="150"/>
      <c r="O197" s="150"/>
      <c r="P197"/>
      <c r="Q197"/>
      <c r="R197"/>
      <c r="S19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c r="BC197" s="107"/>
      <c r="BD197" s="107"/>
      <c r="BE197" s="107"/>
      <c r="BF197" s="107"/>
      <c r="BG197" s="107"/>
      <c r="BH197" s="107"/>
      <c r="BI197" s="107"/>
      <c r="BJ197" s="107"/>
      <c r="BK197" s="107"/>
      <c r="BL197" s="107"/>
      <c r="BM197" s="107"/>
      <c r="BN197" s="107"/>
      <c r="BO197" s="107"/>
      <c r="BP197" s="107"/>
      <c r="BQ197" s="107"/>
      <c r="BR197" s="107"/>
      <c r="BS197" s="107"/>
      <c r="BT197" s="107"/>
      <c r="BU197" s="107"/>
      <c r="BV197" s="107"/>
      <c r="BW197" s="107"/>
      <c r="BX197" s="107"/>
      <c r="BY197" s="107"/>
      <c r="BZ197" s="107"/>
      <c r="CA197" s="107"/>
      <c r="CB197" s="107"/>
      <c r="CC197" s="107"/>
      <c r="CD197" s="107"/>
      <c r="CE197" s="107"/>
      <c r="CF197" s="107"/>
      <c r="CG197" s="107"/>
      <c r="CH197" s="107"/>
      <c r="CI197" s="107"/>
      <c r="CJ197" s="107"/>
      <c r="CK197" s="107"/>
      <c r="CL197" s="107"/>
      <c r="CM197" s="107"/>
      <c r="CN197" s="107"/>
      <c r="CO197" s="107"/>
      <c r="CP197" s="107"/>
      <c r="CQ197" s="107"/>
      <c r="CR197" s="107"/>
      <c r="CS197" s="107"/>
      <c r="CT197" s="107"/>
      <c r="CU197" s="107"/>
      <c r="CV197" s="107"/>
      <c r="CW197" s="107"/>
      <c r="CX197" s="107"/>
      <c r="CY197" s="107"/>
      <c r="CZ197" s="107"/>
      <c r="DA197" s="107"/>
      <c r="DB197" s="107"/>
      <c r="DC197" s="107"/>
      <c r="DD197" s="107"/>
      <c r="DE197" s="107"/>
      <c r="DF197" s="107"/>
      <c r="DG197" s="107"/>
      <c r="DH197" s="107"/>
    </row>
    <row r="198" spans="7:112" ht="14.1" customHeight="1" thickBot="1" x14ac:dyDescent="0.35">
      <c r="G198" s="106"/>
      <c r="H198" s="217"/>
      <c r="J198" s="210"/>
      <c r="K198" s="121" t="s">
        <v>118</v>
      </c>
      <c r="L198" s="151"/>
      <c r="M198" s="151"/>
      <c r="N198" s="151"/>
      <c r="O198" s="151"/>
      <c r="P198"/>
      <c r="Q198"/>
      <c r="R198"/>
      <c r="S198"/>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c r="BS198" s="107"/>
      <c r="BT198" s="107"/>
      <c r="BU198" s="107"/>
      <c r="BV198" s="107"/>
      <c r="BW198" s="107"/>
      <c r="BX198" s="107"/>
      <c r="BY198" s="107"/>
      <c r="BZ198" s="107"/>
      <c r="CA198" s="107"/>
      <c r="CB198" s="107"/>
      <c r="CC198" s="107"/>
      <c r="CD198" s="107"/>
      <c r="CE198" s="107"/>
      <c r="CF198" s="107"/>
      <c r="CG198" s="107"/>
      <c r="CH198" s="107"/>
      <c r="CI198" s="107"/>
      <c r="CJ198" s="107"/>
      <c r="CK198" s="107"/>
      <c r="CL198" s="107"/>
      <c r="CM198" s="107"/>
      <c r="CN198" s="107"/>
      <c r="CO198" s="107"/>
      <c r="CP198" s="107"/>
      <c r="CQ198" s="107"/>
      <c r="CR198" s="107"/>
      <c r="CS198" s="107"/>
      <c r="CT198" s="107"/>
      <c r="CU198" s="107"/>
      <c r="CV198" s="107"/>
      <c r="CW198" s="107"/>
      <c r="CX198" s="107"/>
      <c r="CY198" s="107"/>
      <c r="CZ198" s="107"/>
      <c r="DA198" s="107"/>
      <c r="DB198" s="107"/>
      <c r="DC198" s="107"/>
      <c r="DD198" s="107"/>
      <c r="DE198" s="107"/>
      <c r="DF198" s="107"/>
      <c r="DG198" s="107"/>
      <c r="DH198" s="107"/>
    </row>
    <row r="199" spans="7:112" ht="14.1" customHeight="1" thickTop="1" x14ac:dyDescent="0.3">
      <c r="G199" s="106"/>
      <c r="H199" s="162"/>
      <c r="J199" s="211"/>
      <c r="K199" s="119" t="s">
        <v>134</v>
      </c>
      <c r="L199" s="152"/>
      <c r="M199" s="152"/>
      <c r="N199" s="152"/>
      <c r="O199" s="152"/>
      <c r="P199"/>
      <c r="Q199"/>
      <c r="R199"/>
      <c r="S199"/>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c r="BS199" s="107"/>
      <c r="BT199" s="107"/>
      <c r="BU199" s="107"/>
      <c r="BV199" s="107"/>
      <c r="BW199" s="107"/>
      <c r="BX199" s="107"/>
      <c r="BY199" s="107"/>
      <c r="BZ199" s="107"/>
      <c r="CA199" s="107"/>
      <c r="CB199" s="107"/>
      <c r="CC199" s="107"/>
      <c r="CD199" s="107"/>
      <c r="CE199" s="107"/>
      <c r="CF199" s="107"/>
      <c r="CG199" s="107"/>
      <c r="CH199" s="107"/>
      <c r="CI199" s="107"/>
      <c r="CJ199" s="107"/>
      <c r="CK199" s="107"/>
      <c r="CL199" s="107"/>
      <c r="CM199" s="107"/>
      <c r="CN199" s="107"/>
      <c r="CO199" s="107"/>
      <c r="CP199" s="107"/>
      <c r="CQ199" s="107"/>
      <c r="CR199" s="107"/>
      <c r="CS199" s="107"/>
      <c r="CT199" s="107"/>
      <c r="CU199" s="107"/>
      <c r="CV199" s="107"/>
      <c r="CW199" s="107"/>
      <c r="CX199" s="107"/>
      <c r="CY199" s="107"/>
      <c r="CZ199" s="107"/>
      <c r="DA199" s="107"/>
      <c r="DB199" s="107"/>
      <c r="DC199" s="107"/>
      <c r="DD199" s="107"/>
      <c r="DE199" s="107"/>
      <c r="DF199" s="107"/>
      <c r="DG199" s="107"/>
      <c r="DH199" s="107"/>
    </row>
    <row r="200" spans="7:112" ht="14.1" customHeight="1" x14ac:dyDescent="0.3">
      <c r="G200" s="106"/>
      <c r="H200" s="162"/>
      <c r="J200" s="211"/>
      <c r="K200" s="7" t="s">
        <v>135</v>
      </c>
      <c r="L200" s="150"/>
      <c r="M200" s="150"/>
      <c r="N200" s="150"/>
      <c r="O200" s="150"/>
      <c r="P200"/>
      <c r="Q200"/>
      <c r="R200"/>
      <c r="S200"/>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c r="BS200" s="107"/>
      <c r="BT200" s="107"/>
      <c r="BU200" s="107"/>
      <c r="BV200" s="107"/>
      <c r="BW200" s="107"/>
      <c r="BX200" s="107"/>
      <c r="BY200" s="107"/>
      <c r="BZ200" s="107"/>
      <c r="CA200" s="107"/>
      <c r="CB200" s="107"/>
      <c r="CC200" s="107"/>
      <c r="CD200" s="107"/>
      <c r="CE200" s="107"/>
      <c r="CF200" s="107"/>
      <c r="CG200" s="107"/>
      <c r="CH200" s="107"/>
      <c r="CI200" s="107"/>
      <c r="CJ200" s="107"/>
      <c r="CK200" s="107"/>
      <c r="CL200" s="107"/>
      <c r="CM200" s="107"/>
      <c r="CN200" s="107"/>
      <c r="CO200" s="107"/>
      <c r="CP200" s="107"/>
      <c r="CQ200" s="107"/>
      <c r="CR200" s="107"/>
      <c r="CS200" s="107"/>
      <c r="CT200" s="107"/>
      <c r="CU200" s="107"/>
      <c r="CV200" s="107"/>
      <c r="CW200" s="107"/>
      <c r="CX200" s="107"/>
      <c r="CY200" s="107"/>
      <c r="CZ200" s="107"/>
      <c r="DA200" s="107"/>
      <c r="DB200" s="107"/>
      <c r="DC200" s="107"/>
      <c r="DD200" s="107"/>
      <c r="DE200" s="107"/>
      <c r="DF200" s="107"/>
      <c r="DG200" s="107"/>
      <c r="DH200" s="107"/>
    </row>
    <row r="201" spans="7:112" ht="14.1" customHeight="1" thickBot="1" x14ac:dyDescent="0.35">
      <c r="G201" s="106"/>
      <c r="H201" s="162"/>
      <c r="J201" s="211"/>
      <c r="K201" s="121" t="s">
        <v>136</v>
      </c>
      <c r="L201" s="151"/>
      <c r="M201" s="151"/>
      <c r="N201" s="151"/>
      <c r="O201" s="151"/>
      <c r="P201"/>
      <c r="Q201"/>
      <c r="R201"/>
      <c r="S201"/>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c r="BS201" s="107"/>
      <c r="BT201" s="107"/>
      <c r="BU201" s="107"/>
      <c r="BV201" s="107"/>
      <c r="BW201" s="107"/>
      <c r="BX201" s="107"/>
      <c r="BY201" s="107"/>
      <c r="BZ201" s="107"/>
      <c r="CA201" s="107"/>
      <c r="CB201" s="107"/>
      <c r="CC201" s="107"/>
      <c r="CD201" s="107"/>
      <c r="CE201" s="107"/>
      <c r="CF201" s="107"/>
      <c r="CG201" s="107"/>
      <c r="CH201" s="107"/>
      <c r="CI201" s="107"/>
      <c r="CJ201" s="107"/>
      <c r="CK201" s="107"/>
      <c r="CL201" s="107"/>
      <c r="CM201" s="107"/>
      <c r="CN201" s="107"/>
      <c r="CO201" s="107"/>
      <c r="CP201" s="107"/>
      <c r="CQ201" s="107"/>
      <c r="CR201" s="107"/>
      <c r="CS201" s="107"/>
      <c r="CT201" s="107"/>
      <c r="CU201" s="107"/>
      <c r="CV201" s="107"/>
      <c r="CW201" s="107"/>
      <c r="CX201" s="107"/>
      <c r="CY201" s="107"/>
      <c r="CZ201" s="107"/>
      <c r="DA201" s="107"/>
      <c r="DB201" s="107"/>
      <c r="DC201" s="107"/>
      <c r="DD201" s="107"/>
      <c r="DE201" s="107"/>
      <c r="DF201" s="107"/>
      <c r="DG201" s="107"/>
      <c r="DH201" s="107"/>
    </row>
    <row r="202" spans="7:112" ht="14.1" customHeight="1" thickTop="1" thickBot="1" x14ac:dyDescent="0.35">
      <c r="G202" s="106"/>
      <c r="H202" s="160"/>
      <c r="I202" s="160"/>
      <c r="J202" s="160"/>
      <c r="K202" s="160"/>
      <c r="L202" s="160"/>
      <c r="M202" s="160"/>
      <c r="N202" s="160"/>
      <c r="O202" s="160"/>
      <c r="P202"/>
      <c r="Q202"/>
      <c r="R202"/>
      <c r="S202"/>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07"/>
      <c r="BH202" s="107"/>
      <c r="BI202" s="107"/>
      <c r="BJ202" s="107"/>
      <c r="BK202" s="107"/>
      <c r="BL202" s="107"/>
      <c r="BM202" s="107"/>
      <c r="BN202" s="107"/>
      <c r="BO202" s="107"/>
      <c r="BP202" s="107"/>
      <c r="BQ202" s="107"/>
      <c r="BR202" s="107"/>
      <c r="BS202" s="107"/>
      <c r="BT202" s="107"/>
      <c r="BU202" s="107"/>
      <c r="BV202" s="107"/>
      <c r="BW202" s="107"/>
      <c r="BX202" s="107"/>
      <c r="BY202" s="107"/>
      <c r="BZ202" s="107"/>
      <c r="CA202" s="107"/>
      <c r="CB202" s="107"/>
      <c r="CC202" s="107"/>
      <c r="CD202" s="107"/>
      <c r="CE202" s="107"/>
      <c r="CF202" s="107"/>
      <c r="CG202" s="107"/>
      <c r="CH202" s="107"/>
      <c r="CI202" s="107"/>
      <c r="CJ202" s="107"/>
      <c r="CK202" s="107"/>
      <c r="CL202" s="107"/>
      <c r="CM202" s="107"/>
      <c r="CN202" s="107"/>
      <c r="CO202" s="107"/>
      <c r="CP202" s="107"/>
      <c r="CQ202" s="107"/>
      <c r="CR202" s="107"/>
      <c r="CS202" s="107"/>
      <c r="CT202" s="107"/>
      <c r="CU202" s="107"/>
      <c r="CV202" s="107"/>
      <c r="CW202" s="107"/>
      <c r="CX202" s="107"/>
      <c r="CY202" s="107"/>
      <c r="CZ202" s="107"/>
      <c r="DA202" s="107"/>
      <c r="DB202" s="107"/>
      <c r="DC202" s="107"/>
      <c r="DD202" s="107"/>
      <c r="DE202" s="107"/>
      <c r="DF202" s="107"/>
      <c r="DG202" s="107"/>
      <c r="DH202" s="107"/>
    </row>
    <row r="203" spans="7:112" ht="14.1" customHeight="1" x14ac:dyDescent="0.3">
      <c r="G203" s="106"/>
      <c r="H203" s="161"/>
      <c r="I203" s="161"/>
      <c r="J203" s="161"/>
      <c r="K203" s="161"/>
      <c r="L203" s="161"/>
      <c r="M203" s="161"/>
      <c r="N203" s="161"/>
      <c r="O203" s="161"/>
      <c r="P203"/>
      <c r="Q203"/>
      <c r="R203"/>
      <c r="S203"/>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c r="BS203" s="107"/>
      <c r="BT203" s="107"/>
      <c r="BU203" s="107"/>
      <c r="BV203" s="107"/>
      <c r="BW203" s="107"/>
      <c r="BX203" s="107"/>
      <c r="BY203" s="107"/>
      <c r="BZ203" s="107"/>
      <c r="CA203" s="107"/>
      <c r="CB203" s="107"/>
      <c r="CC203" s="107"/>
      <c r="CD203" s="107"/>
      <c r="CE203" s="107"/>
      <c r="CF203" s="107"/>
      <c r="CG203" s="107"/>
      <c r="CH203" s="107"/>
      <c r="CI203" s="107"/>
      <c r="CJ203" s="107"/>
      <c r="CK203" s="107"/>
      <c r="CL203" s="107"/>
      <c r="CM203" s="107"/>
      <c r="CN203" s="107"/>
      <c r="CO203" s="107"/>
      <c r="CP203" s="107"/>
      <c r="CQ203" s="107"/>
      <c r="CR203" s="107"/>
      <c r="CS203" s="107"/>
      <c r="CT203" s="107"/>
      <c r="CU203" s="107"/>
      <c r="CV203" s="107"/>
      <c r="CW203" s="107"/>
      <c r="CX203" s="107"/>
      <c r="CY203" s="107"/>
      <c r="CZ203" s="107"/>
      <c r="DA203" s="107"/>
      <c r="DB203" s="107"/>
      <c r="DC203" s="107"/>
      <c r="DD203" s="107"/>
      <c r="DE203" s="107"/>
      <c r="DF203" s="107"/>
      <c r="DG203" s="107"/>
      <c r="DH203" s="107"/>
    </row>
    <row r="204" spans="7:112" ht="14.1" customHeight="1" thickBot="1" x14ac:dyDescent="0.35">
      <c r="G204" s="106"/>
      <c r="L204" s="107" t="s">
        <v>365</v>
      </c>
      <c r="M204" s="107" t="s">
        <v>366</v>
      </c>
      <c r="N204" s="107" t="s">
        <v>367</v>
      </c>
      <c r="O204" s="107" t="s">
        <v>368</v>
      </c>
      <c r="P204"/>
      <c r="Q204"/>
      <c r="R204"/>
      <c r="S204"/>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c r="BS204" s="107"/>
      <c r="BT204" s="107"/>
      <c r="BU204" s="107"/>
      <c r="BV204" s="107"/>
      <c r="BW204" s="107"/>
      <c r="BX204" s="107"/>
      <c r="BY204" s="107"/>
      <c r="BZ204" s="107"/>
      <c r="CA204" s="107"/>
      <c r="CB204" s="107"/>
      <c r="CC204" s="107"/>
      <c r="CD204" s="107"/>
      <c r="CE204" s="107"/>
      <c r="CF204" s="107"/>
      <c r="CG204" s="107"/>
      <c r="CH204" s="107"/>
      <c r="CI204" s="107"/>
      <c r="CJ204" s="107"/>
      <c r="CK204" s="107"/>
      <c r="CL204" s="107"/>
      <c r="CM204" s="107"/>
      <c r="CN204" s="107"/>
      <c r="CO204" s="107"/>
      <c r="CP204" s="107"/>
      <c r="CQ204" s="107"/>
      <c r="CR204" s="107"/>
      <c r="CS204" s="107"/>
      <c r="CT204" s="107"/>
      <c r="CU204" s="107"/>
      <c r="CV204" s="107"/>
      <c r="CW204" s="107"/>
      <c r="CX204" s="107"/>
      <c r="CY204" s="107"/>
      <c r="CZ204" s="107"/>
      <c r="DA204" s="107"/>
      <c r="DB204" s="107"/>
      <c r="DC204" s="107"/>
      <c r="DD204" s="107"/>
      <c r="DE204" s="107"/>
      <c r="DF204" s="107"/>
      <c r="DG204" s="107"/>
      <c r="DH204" s="107"/>
    </row>
    <row r="205" spans="7:112" ht="14.1" customHeight="1" thickTop="1" thickBot="1" x14ac:dyDescent="0.35">
      <c r="G205" s="106"/>
      <c r="H205" s="219"/>
      <c r="J205" s="210" t="s">
        <v>147</v>
      </c>
      <c r="K205" s="119" t="s">
        <v>116</v>
      </c>
      <c r="L205" s="142">
        <f t="shared" ref="L205:O207" si="11" xml:space="preserve"> ((P85 * L232 * $N$43 * (L155 * 1 + L188) +L162+ L170 ) * 1000 / (L108 * 8760)) + 0</f>
        <v>42.14327849304027</v>
      </c>
      <c r="M205" s="142">
        <f t="shared" si="11"/>
        <v>31.116165998612225</v>
      </c>
      <c r="N205" s="142">
        <f t="shared" si="11"/>
        <v>31.978167894519721</v>
      </c>
      <c r="O205" s="142">
        <f t="shared" si="11"/>
        <v>40.641180985774845</v>
      </c>
      <c r="P205"/>
      <c r="Q205"/>
      <c r="R205"/>
      <c r="S205"/>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c r="BS205" s="107"/>
      <c r="BT205" s="107"/>
      <c r="BU205" s="107"/>
      <c r="BV205" s="107"/>
      <c r="BW205" s="107"/>
      <c r="BX205" s="107"/>
      <c r="BY205" s="107"/>
      <c r="BZ205" s="107"/>
      <c r="CA205" s="107"/>
      <c r="CB205" s="107"/>
      <c r="CC205" s="107"/>
      <c r="CD205" s="107"/>
      <c r="CE205" s="107"/>
      <c r="CF205" s="107"/>
      <c r="CG205" s="107"/>
      <c r="CH205" s="107"/>
      <c r="CI205" s="107"/>
      <c r="CJ205" s="107"/>
      <c r="CK205" s="107"/>
      <c r="CL205" s="107"/>
      <c r="CM205" s="107"/>
      <c r="CN205" s="107"/>
      <c r="CO205" s="107"/>
      <c r="CP205" s="107"/>
      <c r="CQ205" s="107"/>
      <c r="CR205" s="107"/>
      <c r="CS205" s="107"/>
      <c r="CT205" s="107"/>
      <c r="CU205" s="107"/>
      <c r="CV205" s="107"/>
      <c r="CW205" s="107"/>
      <c r="CX205" s="107"/>
      <c r="CY205" s="107"/>
      <c r="CZ205" s="107"/>
      <c r="DA205" s="107"/>
      <c r="DB205" s="107"/>
      <c r="DC205" s="107"/>
      <c r="DD205" s="107"/>
      <c r="DE205" s="107"/>
      <c r="DF205" s="107"/>
      <c r="DG205" s="107"/>
      <c r="DH205" s="107"/>
    </row>
    <row r="206" spans="7:112" ht="14.1" customHeight="1" thickTop="1" thickBot="1" x14ac:dyDescent="0.35">
      <c r="G206" s="106"/>
      <c r="H206" s="219"/>
      <c r="J206" s="210"/>
      <c r="K206" s="7" t="s">
        <v>117</v>
      </c>
      <c r="L206" s="142">
        <f t="shared" si="11"/>
        <v>43.179950433579315</v>
      </c>
      <c r="M206" s="142">
        <f t="shared" si="11"/>
        <v>31.980248301519531</v>
      </c>
      <c r="N206" s="142">
        <f t="shared" si="11"/>
        <v>32.866187612575132</v>
      </c>
      <c r="O206" s="142">
        <f t="shared" si="11"/>
        <v>41.616163980820211</v>
      </c>
      <c r="P206"/>
      <c r="Q206"/>
      <c r="R206"/>
      <c r="S206"/>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c r="BS206" s="107"/>
      <c r="BT206" s="107"/>
      <c r="BU206" s="107"/>
      <c r="BV206" s="107"/>
      <c r="BW206" s="107"/>
      <c r="BX206" s="107"/>
      <c r="BY206" s="107"/>
      <c r="BZ206" s="107"/>
      <c r="CA206" s="107"/>
      <c r="CB206" s="107"/>
      <c r="CC206" s="107"/>
      <c r="CD206" s="107"/>
      <c r="CE206" s="107"/>
      <c r="CF206" s="107"/>
      <c r="CG206" s="107"/>
      <c r="CH206" s="107"/>
      <c r="CI206" s="107"/>
      <c r="CJ206" s="107"/>
      <c r="CK206" s="107"/>
      <c r="CL206" s="107"/>
      <c r="CM206" s="107"/>
      <c r="CN206" s="107"/>
      <c r="CO206" s="107"/>
      <c r="CP206" s="107"/>
      <c r="CQ206" s="107"/>
      <c r="CR206" s="107"/>
      <c r="CS206" s="107"/>
      <c r="CT206" s="107"/>
      <c r="CU206" s="107"/>
      <c r="CV206" s="107"/>
      <c r="CW206" s="107"/>
      <c r="CX206" s="107"/>
      <c r="CY206" s="107"/>
      <c r="CZ206" s="107"/>
      <c r="DA206" s="107"/>
      <c r="DB206" s="107"/>
      <c r="DC206" s="107"/>
      <c r="DD206" s="107"/>
      <c r="DE206" s="107"/>
      <c r="DF206" s="107"/>
      <c r="DG206" s="107"/>
      <c r="DH206" s="107"/>
    </row>
    <row r="207" spans="7:112" ht="14.1" customHeight="1" thickTop="1" thickBot="1" x14ac:dyDescent="0.35">
      <c r="G207" s="106"/>
      <c r="H207" s="219"/>
      <c r="J207" s="210"/>
      <c r="K207" s="121" t="s">
        <v>118</v>
      </c>
      <c r="L207" s="142">
        <f t="shared" si="11"/>
        <v>44.81864097281133</v>
      </c>
      <c r="M207" s="142">
        <f t="shared" si="11"/>
        <v>33.346122537640696</v>
      </c>
      <c r="N207" s="142">
        <f t="shared" si="11"/>
        <v>34.269900256588848</v>
      </c>
      <c r="O207" s="142">
        <f t="shared" si="11"/>
        <v>43.15734142318658</v>
      </c>
      <c r="P207"/>
      <c r="Q207"/>
      <c r="R207"/>
      <c r="S207"/>
      <c r="U207" s="107"/>
      <c r="V207" s="107"/>
      <c r="W207" s="107"/>
      <c r="X207" s="107"/>
      <c r="Y207" s="107"/>
      <c r="Z207" s="107"/>
      <c r="AA207" s="107"/>
      <c r="AB207" s="107"/>
      <c r="AC207" s="107"/>
      <c r="AD207" s="107"/>
      <c r="AE207" s="107"/>
      <c r="AF207" s="107"/>
      <c r="AG207" s="107"/>
      <c r="AH207" s="107"/>
      <c r="AI207" s="107"/>
      <c r="AJ207" s="107"/>
      <c r="AK207" s="107"/>
      <c r="AL207" s="107"/>
      <c r="AM207" s="107"/>
      <c r="AN207" s="107"/>
      <c r="AO207" s="107"/>
      <c r="AP207" s="107"/>
      <c r="AQ207" s="107"/>
      <c r="AR207" s="107"/>
      <c r="AS207" s="107"/>
      <c r="AT207" s="107"/>
      <c r="AU207" s="107"/>
      <c r="AV207" s="107"/>
      <c r="AW207" s="107"/>
      <c r="AX207" s="107"/>
      <c r="AY207" s="107"/>
      <c r="AZ207" s="107"/>
      <c r="BA207" s="107"/>
      <c r="BB207" s="107"/>
      <c r="BC207" s="107"/>
      <c r="BD207" s="107"/>
      <c r="BE207" s="107"/>
      <c r="BF207" s="107"/>
      <c r="BG207" s="107"/>
      <c r="BH207" s="107"/>
      <c r="BI207" s="107"/>
      <c r="BJ207" s="107"/>
      <c r="BK207" s="107"/>
      <c r="BL207" s="107"/>
      <c r="BM207" s="107"/>
      <c r="BN207" s="107"/>
      <c r="BO207" s="107"/>
      <c r="BP207" s="107"/>
      <c r="BQ207" s="107"/>
      <c r="BR207" s="107"/>
      <c r="BS207" s="107"/>
      <c r="BT207" s="107"/>
      <c r="BU207" s="107"/>
      <c r="BV207" s="107"/>
      <c r="BW207" s="107"/>
      <c r="BX207" s="107"/>
      <c r="BY207" s="107"/>
      <c r="BZ207" s="107"/>
      <c r="CA207" s="107"/>
      <c r="CB207" s="107"/>
      <c r="CC207" s="107"/>
      <c r="CD207" s="107"/>
      <c r="CE207" s="107"/>
      <c r="CF207" s="107"/>
      <c r="CG207" s="107"/>
      <c r="CH207" s="107"/>
      <c r="CI207" s="107"/>
      <c r="CJ207" s="107"/>
      <c r="CK207" s="107"/>
      <c r="CL207" s="107"/>
      <c r="CM207" s="107"/>
      <c r="CN207" s="107"/>
      <c r="CO207" s="107"/>
      <c r="CP207" s="107"/>
      <c r="CQ207" s="107"/>
      <c r="CR207" s="107"/>
      <c r="CS207" s="107"/>
      <c r="CT207" s="107"/>
      <c r="CU207" s="107"/>
      <c r="CV207" s="107"/>
      <c r="CW207" s="107"/>
      <c r="CX207" s="107"/>
      <c r="CY207" s="107"/>
      <c r="CZ207" s="107"/>
      <c r="DA207" s="107"/>
      <c r="DB207" s="107"/>
      <c r="DC207" s="107"/>
      <c r="DD207" s="107"/>
      <c r="DE207" s="107"/>
      <c r="DF207" s="107"/>
      <c r="DG207" s="107"/>
      <c r="DH207" s="107"/>
    </row>
    <row r="208" spans="7:112" ht="14.1" customHeight="1" thickTop="1" thickBot="1" x14ac:dyDescent="0.35">
      <c r="G208" s="106"/>
      <c r="H208" s="163"/>
      <c r="J208" s="211"/>
      <c r="K208" s="119" t="s">
        <v>134</v>
      </c>
      <c r="L208" s="206">
        <f t="shared" ref="L208:O210" si="12" xml:space="preserve"> ((P85 * L232 * $N$43 * (L158 * 1 + L191) +L165+ L174 ) * 1000 / (L111 * 8760)) + 0</f>
        <v>99.519573967858634</v>
      </c>
      <c r="M208" s="206">
        <f t="shared" si="12"/>
        <v>69.104380687813787</v>
      </c>
      <c r="N208" s="206">
        <f t="shared" si="12"/>
        <v>68.3686200694832</v>
      </c>
      <c r="O208" s="206">
        <f t="shared" si="12"/>
        <v>82.035556437627548</v>
      </c>
      <c r="P208"/>
      <c r="Q208"/>
      <c r="R208"/>
      <c r="S208"/>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c r="BS208" s="107"/>
      <c r="BT208" s="107"/>
      <c r="BU208" s="107"/>
      <c r="BV208" s="107"/>
      <c r="BW208" s="107"/>
      <c r="BX208" s="107"/>
      <c r="BY208" s="107"/>
      <c r="BZ208" s="107"/>
      <c r="CA208" s="107"/>
      <c r="CB208" s="107"/>
      <c r="CC208" s="107"/>
      <c r="CD208" s="107"/>
      <c r="CE208" s="107"/>
      <c r="CF208" s="107"/>
      <c r="CG208" s="107"/>
      <c r="CH208" s="107"/>
      <c r="CI208" s="107"/>
      <c r="CJ208" s="107"/>
      <c r="CK208" s="107"/>
      <c r="CL208" s="107"/>
      <c r="CM208" s="107"/>
      <c r="CN208" s="107"/>
      <c r="CO208" s="107"/>
      <c r="CP208" s="107"/>
      <c r="CQ208" s="107"/>
      <c r="CR208" s="107"/>
      <c r="CS208" s="107"/>
      <c r="CT208" s="107"/>
      <c r="CU208" s="107"/>
      <c r="CV208" s="107"/>
      <c r="CW208" s="107"/>
      <c r="CX208" s="107"/>
      <c r="CY208" s="107"/>
      <c r="CZ208" s="107"/>
      <c r="DA208" s="107"/>
      <c r="DB208" s="107"/>
      <c r="DC208" s="107"/>
      <c r="DD208" s="107"/>
      <c r="DE208" s="107"/>
      <c r="DF208" s="107"/>
      <c r="DG208" s="107"/>
      <c r="DH208" s="107"/>
    </row>
    <row r="209" spans="7:112" ht="14.1" customHeight="1" thickTop="1" thickBot="1" x14ac:dyDescent="0.35">
      <c r="G209" s="106"/>
      <c r="H209" s="163"/>
      <c r="J209" s="211"/>
      <c r="K209" s="7" t="s">
        <v>135</v>
      </c>
      <c r="L209" s="206">
        <f t="shared" si="12"/>
        <v>101.73902051631875</v>
      </c>
      <c r="M209" s="206">
        <f t="shared" si="12"/>
        <v>70.977018366141792</v>
      </c>
      <c r="N209" s="206">
        <f t="shared" si="12"/>
        <v>70.170757901387361</v>
      </c>
      <c r="O209" s="206">
        <f t="shared" si="12"/>
        <v>83.943395548869773</v>
      </c>
      <c r="P209"/>
      <c r="Q209"/>
      <c r="R209"/>
      <c r="S209"/>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c r="BS209" s="107"/>
      <c r="BT209" s="107"/>
      <c r="BU209" s="107"/>
      <c r="BV209" s="107"/>
      <c r="BW209" s="107"/>
      <c r="BX209" s="107"/>
      <c r="BY209" s="107"/>
      <c r="BZ209" s="107"/>
      <c r="CA209" s="107"/>
      <c r="CB209" s="107"/>
      <c r="CC209" s="107"/>
      <c r="CD209" s="107"/>
      <c r="CE209" s="107"/>
      <c r="CF209" s="107"/>
      <c r="CG209" s="107"/>
      <c r="CH209" s="107"/>
      <c r="CI209" s="107"/>
      <c r="CJ209" s="107"/>
      <c r="CK209" s="107"/>
      <c r="CL209" s="107"/>
      <c r="CM209" s="107"/>
      <c r="CN209" s="107"/>
      <c r="CO209" s="107"/>
      <c r="CP209" s="107"/>
      <c r="CQ209" s="107"/>
      <c r="CR209" s="107"/>
      <c r="CS209" s="107"/>
      <c r="CT209" s="107"/>
      <c r="CU209" s="107"/>
      <c r="CV209" s="107"/>
      <c r="CW209" s="107"/>
      <c r="CX209" s="107"/>
      <c r="CY209" s="107"/>
      <c r="CZ209" s="107"/>
      <c r="DA209" s="107"/>
      <c r="DB209" s="107"/>
      <c r="DC209" s="107"/>
      <c r="DD209" s="107"/>
      <c r="DE209" s="107"/>
      <c r="DF209" s="107"/>
      <c r="DG209" s="107"/>
      <c r="DH209" s="107"/>
    </row>
    <row r="210" spans="7:112" ht="14.1" customHeight="1" thickTop="1" thickBot="1" x14ac:dyDescent="0.35">
      <c r="G210" s="106"/>
      <c r="H210" s="163"/>
      <c r="J210" s="211"/>
      <c r="K210" s="121" t="s">
        <v>136</v>
      </c>
      <c r="L210" s="206">
        <f t="shared" si="12"/>
        <v>105.24734935118771</v>
      </c>
      <c r="M210" s="206">
        <f t="shared" si="12"/>
        <v>73.937138657706598</v>
      </c>
      <c r="N210" s="206">
        <f t="shared" si="12"/>
        <v>73.019437507780381</v>
      </c>
      <c r="O210" s="206">
        <f t="shared" si="12"/>
        <v>86.959159533321639</v>
      </c>
      <c r="P210"/>
      <c r="Q210"/>
      <c r="R210"/>
      <c r="S210"/>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c r="BS210" s="107"/>
      <c r="BT210" s="107"/>
      <c r="BU210" s="107"/>
      <c r="BV210" s="107"/>
      <c r="BW210" s="107"/>
      <c r="BX210" s="107"/>
      <c r="BY210" s="107"/>
      <c r="BZ210" s="107"/>
      <c r="CA210" s="107"/>
      <c r="CB210" s="107"/>
      <c r="CC210" s="107"/>
      <c r="CD210" s="107"/>
      <c r="CE210" s="107"/>
      <c r="CF210" s="107"/>
      <c r="CG210" s="107"/>
      <c r="CH210" s="107"/>
      <c r="CI210" s="107"/>
      <c r="CJ210" s="107"/>
      <c r="CK210" s="107"/>
      <c r="CL210" s="107"/>
      <c r="CM210" s="107"/>
      <c r="CN210" s="107"/>
      <c r="CO210" s="107"/>
      <c r="CP210" s="107"/>
      <c r="CQ210" s="107"/>
      <c r="CR210" s="107"/>
      <c r="CS210" s="107"/>
      <c r="CT210" s="107"/>
      <c r="CU210" s="107"/>
      <c r="CV210" s="107"/>
      <c r="CW210" s="107"/>
      <c r="CX210" s="107"/>
      <c r="CY210" s="107"/>
      <c r="CZ210" s="107"/>
      <c r="DA210" s="107"/>
      <c r="DB210" s="107"/>
      <c r="DC210" s="107"/>
      <c r="DD210" s="107"/>
      <c r="DE210" s="107"/>
      <c r="DF210" s="107"/>
      <c r="DG210" s="107"/>
      <c r="DH210" s="107"/>
    </row>
    <row r="211" spans="7:112" ht="14.1" customHeight="1" thickTop="1" thickBot="1" x14ac:dyDescent="0.35">
      <c r="G211" s="106"/>
      <c r="H211" s="163"/>
      <c r="J211" s="128"/>
      <c r="K211" s="7" t="s">
        <v>374</v>
      </c>
      <c r="L211" s="142">
        <f xml:space="preserve"> ((P85 * L232 * $N$43 * (L139 * 1 + L188) +(L162+L178)) * 1000 / (L94 * 8760)) + 0</f>
        <v>18.950209118909154</v>
      </c>
      <c r="M211" s="142">
        <f xml:space="preserve"> ((Q85 * M232 * $N$43 * (M139 * 1 + M188) +(M162+M178)) * 1000 / (M94 * 8760)) + 0</f>
        <v>18.146376781308422</v>
      </c>
      <c r="N211" s="142">
        <f xml:space="preserve"> ((R85 * N232 * $N$43 * (N139 * 1 + N188) +(N162+N178)) * 1000 / (N94 * 8760)) + 0</f>
        <v>17.681740895319795</v>
      </c>
      <c r="O211" s="142">
        <f xml:space="preserve"> ((S85 * O232 * $N$43 * (O139 * 1 + O188) +(O162+O178)) * 1000 / (O94 * 8760)) + 0</f>
        <v>16.584216517144039</v>
      </c>
      <c r="P211"/>
      <c r="Q211"/>
      <c r="R211"/>
      <c r="S211"/>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c r="BS211" s="107"/>
      <c r="BT211" s="107"/>
      <c r="BU211" s="107"/>
      <c r="BV211" s="107"/>
      <c r="BW211" s="107"/>
      <c r="BX211" s="107"/>
      <c r="BY211" s="107"/>
      <c r="BZ211" s="107"/>
      <c r="CA211" s="107"/>
      <c r="CB211" s="107"/>
      <c r="CC211" s="107"/>
      <c r="CD211" s="107"/>
      <c r="CE211" s="107"/>
      <c r="CF211" s="107"/>
      <c r="CG211" s="107"/>
      <c r="CH211" s="107"/>
      <c r="CI211" s="107"/>
      <c r="CJ211" s="107"/>
      <c r="CK211" s="107"/>
      <c r="CL211" s="107"/>
      <c r="CM211" s="107"/>
      <c r="CN211" s="107"/>
      <c r="CO211" s="107"/>
      <c r="CP211" s="107"/>
      <c r="CQ211" s="107"/>
      <c r="CR211" s="107"/>
      <c r="CS211" s="107"/>
      <c r="CT211" s="107"/>
      <c r="CU211" s="107"/>
      <c r="CV211" s="107"/>
      <c r="CW211" s="107"/>
      <c r="CX211" s="107"/>
      <c r="CY211" s="107"/>
      <c r="CZ211" s="107"/>
      <c r="DA211" s="107"/>
      <c r="DB211" s="107"/>
      <c r="DC211" s="107"/>
      <c r="DD211" s="107"/>
      <c r="DE211" s="107"/>
      <c r="DF211" s="107"/>
      <c r="DG211" s="107"/>
      <c r="DH211" s="107"/>
    </row>
    <row r="212" spans="7:112" ht="14.1" customHeight="1" thickTop="1" thickBot="1" x14ac:dyDescent="0.35">
      <c r="G212" s="106"/>
      <c r="H212" s="163"/>
      <c r="J212" s="128"/>
      <c r="K212" s="7" t="s">
        <v>375</v>
      </c>
      <c r="L212" s="142">
        <f xml:space="preserve"> ((P87 * L234 * $N$43 * (L141 * 1 + L190) +L164+ L180) * 1000 / (L96 * 8760)) + 0</f>
        <v>20.794233050902438</v>
      </c>
      <c r="M212" s="142">
        <f xml:space="preserve"> ((Q87 * M234 * $N$43 * (M141 * 1 + M190) +M164+ M180) * 1000 / (M96 * 8760)) + 0</f>
        <v>19.851686774003202</v>
      </c>
      <c r="N212" s="142">
        <f xml:space="preserve"> ((R87 * N234 * $N$43 * (N141 * 1 + N190) +N164+ N180) * 1000 / (N96 * 8760)) + 0</f>
        <v>19.332344025095693</v>
      </c>
      <c r="O212" s="142">
        <f xml:space="preserve"> ((S87 * O234 * $N$43 * (O141 * 1 + O190) +O164+ O180) * 1000 / (O96 * 8760)) + 0</f>
        <v>18.119301201538807</v>
      </c>
      <c r="P212"/>
      <c r="Q212"/>
      <c r="R212"/>
      <c r="S212"/>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c r="BS212" s="107"/>
      <c r="BT212" s="107"/>
      <c r="BU212" s="107"/>
      <c r="BV212" s="107"/>
      <c r="BW212" s="107"/>
      <c r="BX212" s="107"/>
      <c r="BY212" s="107"/>
      <c r="BZ212" s="107"/>
      <c r="CA212" s="107"/>
      <c r="CB212" s="107"/>
      <c r="CC212" s="107"/>
      <c r="CD212" s="107"/>
      <c r="CE212" s="107"/>
      <c r="CF212" s="107"/>
      <c r="CG212" s="107"/>
      <c r="CH212" s="107"/>
      <c r="CI212" s="107"/>
      <c r="CJ212" s="107"/>
      <c r="CK212" s="107"/>
      <c r="CL212" s="107"/>
      <c r="CM212" s="107"/>
      <c r="CN212" s="107"/>
      <c r="CO212" s="107"/>
      <c r="CP212" s="107"/>
      <c r="CQ212" s="107"/>
      <c r="CR212" s="107"/>
      <c r="CS212" s="107"/>
      <c r="CT212" s="107"/>
      <c r="CU212" s="107"/>
      <c r="CV212" s="107"/>
      <c r="CW212" s="107"/>
      <c r="CX212" s="107"/>
      <c r="CY212" s="107"/>
      <c r="CZ212" s="107"/>
      <c r="DA212" s="107"/>
      <c r="DB212" s="107"/>
      <c r="DC212" s="107"/>
      <c r="DD212" s="107"/>
      <c r="DE212" s="107"/>
      <c r="DF212" s="107"/>
      <c r="DG212" s="107"/>
      <c r="DH212" s="107"/>
    </row>
    <row r="213" spans="7:112" ht="14.1" customHeight="1" thickTop="1" thickBot="1" x14ac:dyDescent="0.35">
      <c r="G213" s="106"/>
      <c r="H213" s="163"/>
      <c r="J213" s="128"/>
      <c r="K213" s="7" t="s">
        <v>376</v>
      </c>
      <c r="L213" s="142">
        <f xml:space="preserve"> ((P85 * L232 * $N$43 * (L142 * 1 + L191) +L165+ L181) * 1000 / (L97 * 8760))  + 0</f>
        <v>39.024314501637946</v>
      </c>
      <c r="M213" s="142">
        <f xml:space="preserve"> ((Q85 * M232 * $N$43 * (M142 * 1 + M191) +M165+ M181) * 1000 / (M97 * 8760))  + 0</f>
        <v>36.032388936952501</v>
      </c>
      <c r="N213" s="142">
        <f xml:space="preserve"> ((R85 * N232 * $N$43 * (N142 * 1 + N191) +N165+ N181) * 1000 / (N97 * 8760))  + 0</f>
        <v>34.419615553337522</v>
      </c>
      <c r="O213" s="142">
        <f xml:space="preserve"> ((S85 * O232 * $N$43 * (O142 * 1 + O191) +O165+ O181) * 1000 / (O97 * 8760))  + 0</f>
        <v>30.862846113994962</v>
      </c>
      <c r="P213"/>
      <c r="Q213"/>
      <c r="R213"/>
      <c r="S213"/>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c r="BS213" s="107"/>
      <c r="BT213" s="107"/>
      <c r="BU213" s="107"/>
      <c r="BV213" s="107"/>
      <c r="BW213" s="107"/>
      <c r="BX213" s="107"/>
      <c r="BY213" s="107"/>
      <c r="BZ213" s="107"/>
      <c r="CA213" s="107"/>
      <c r="CB213" s="107"/>
      <c r="CC213" s="107"/>
      <c r="CD213" s="107"/>
      <c r="CE213" s="107"/>
      <c r="CF213" s="107"/>
      <c r="CG213" s="107"/>
      <c r="CH213" s="107"/>
      <c r="CI213" s="107"/>
      <c r="CJ213" s="107"/>
      <c r="CK213" s="107"/>
      <c r="CL213" s="107"/>
      <c r="CM213" s="107"/>
      <c r="CN213" s="107"/>
      <c r="CO213" s="107"/>
      <c r="CP213" s="107"/>
      <c r="CQ213" s="107"/>
      <c r="CR213" s="107"/>
      <c r="CS213" s="107"/>
      <c r="CT213" s="107"/>
      <c r="CU213" s="107"/>
      <c r="CV213" s="107"/>
      <c r="CW213" s="107"/>
      <c r="CX213" s="107"/>
      <c r="CY213" s="107"/>
      <c r="CZ213" s="107"/>
      <c r="DA213" s="107"/>
      <c r="DB213" s="107"/>
      <c r="DC213" s="107"/>
      <c r="DD213" s="107"/>
      <c r="DE213" s="107"/>
      <c r="DF213" s="107"/>
      <c r="DG213" s="107"/>
      <c r="DH213" s="107"/>
    </row>
    <row r="214" spans="7:112" ht="14.1" customHeight="1" thickTop="1" x14ac:dyDescent="0.3">
      <c r="G214" s="106"/>
      <c r="H214" s="163"/>
      <c r="J214" s="128"/>
      <c r="K214" s="7" t="s">
        <v>377</v>
      </c>
      <c r="L214" s="142">
        <f xml:space="preserve"> ((P87 * L234 * $N$43 * (L144 * 1 + L193) +L167 + L183) * 1000 / (L99 * 8760)) + 0</f>
        <v>42.931519689220117</v>
      </c>
      <c r="M214" s="142">
        <f xml:space="preserve"> ((Q87 * M234 * $N$43 * (M144 * 1 + M193) +M167 + M183) * 1000 / (M99 * 8760)) + 0</f>
        <v>39.474006822073221</v>
      </c>
      <c r="N214" s="142">
        <f xml:space="preserve"> ((R87 * N234 * $N$43 * (N144 * 1 + N193) +N167 + N183) * 1000 / (N99 * 8760)) + 0</f>
        <v>37.675186465567251</v>
      </c>
      <c r="O214" s="142">
        <f xml:space="preserve"> ((S87 * O234 * $N$43 * (O144 * 1 + O193) +O167 + O183) * 1000 / (O99 * 8760)) + 0</f>
        <v>33.745997741336062</v>
      </c>
      <c r="P214"/>
      <c r="Q214"/>
      <c r="R214"/>
      <c r="S214"/>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c r="BS214" s="107"/>
      <c r="BT214" s="107"/>
      <c r="BU214" s="107"/>
      <c r="BV214" s="107"/>
      <c r="BW214" s="107"/>
      <c r="BX214" s="107"/>
      <c r="BY214" s="107"/>
      <c r="BZ214" s="107"/>
      <c r="CA214" s="107"/>
      <c r="CB214" s="107"/>
      <c r="CC214" s="107"/>
      <c r="CD214" s="107"/>
      <c r="CE214" s="107"/>
      <c r="CF214" s="107"/>
      <c r="CG214" s="107"/>
      <c r="CH214" s="107"/>
      <c r="CI214" s="107"/>
      <c r="CJ214" s="107"/>
      <c r="CK214" s="107"/>
      <c r="CL214" s="107"/>
      <c r="CM214" s="107"/>
      <c r="CN214" s="107"/>
      <c r="CO214" s="107"/>
      <c r="CP214" s="107"/>
      <c r="CQ214" s="107"/>
      <c r="CR214" s="107"/>
      <c r="CS214" s="107"/>
      <c r="CT214" s="107"/>
      <c r="CU214" s="107"/>
      <c r="CV214" s="107"/>
      <c r="CW214" s="107"/>
      <c r="CX214" s="107"/>
      <c r="CY214" s="107"/>
      <c r="CZ214" s="107"/>
      <c r="DA214" s="107"/>
      <c r="DB214" s="107"/>
      <c r="DC214" s="107"/>
      <c r="DD214" s="107"/>
      <c r="DE214" s="107"/>
      <c r="DF214" s="107"/>
      <c r="DG214" s="107"/>
      <c r="DH214" s="107"/>
    </row>
    <row r="215" spans="7:112" ht="14.1" customHeight="1" x14ac:dyDescent="0.3">
      <c r="G215" s="106"/>
      <c r="H215" s="163"/>
      <c r="J215" s="128"/>
      <c r="K215" s="7" t="s">
        <v>380</v>
      </c>
      <c r="L215" s="204">
        <f t="shared" ref="L215:O217" si="13">L211</f>
        <v>18.950209118909154</v>
      </c>
      <c r="M215" s="204">
        <f t="shared" si="13"/>
        <v>18.146376781308422</v>
      </c>
      <c r="N215" s="204">
        <f t="shared" si="13"/>
        <v>17.681740895319795</v>
      </c>
      <c r="O215" s="204">
        <f t="shared" si="13"/>
        <v>16.584216517144039</v>
      </c>
      <c r="P215"/>
      <c r="Q215"/>
      <c r="R215"/>
      <c r="S215"/>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c r="BS215" s="107"/>
      <c r="BT215" s="107"/>
      <c r="BU215" s="107"/>
      <c r="BV215" s="107"/>
      <c r="BW215" s="107"/>
      <c r="BX215" s="107"/>
      <c r="BY215" s="107"/>
      <c r="BZ215" s="107"/>
      <c r="CA215" s="107"/>
      <c r="CB215" s="107"/>
      <c r="CC215" s="107"/>
      <c r="CD215" s="107"/>
      <c r="CE215" s="107"/>
      <c r="CF215" s="107"/>
      <c r="CG215" s="107"/>
      <c r="CH215" s="107"/>
      <c r="CI215" s="107"/>
      <c r="CJ215" s="107"/>
      <c r="CK215" s="107"/>
      <c r="CL215" s="107"/>
      <c r="CM215" s="107"/>
      <c r="CN215" s="107"/>
      <c r="CO215" s="107"/>
      <c r="CP215" s="107"/>
      <c r="CQ215" s="107"/>
      <c r="CR215" s="107"/>
      <c r="CS215" s="107"/>
      <c r="CT215" s="107"/>
      <c r="CU215" s="107"/>
      <c r="CV215" s="107"/>
      <c r="CW215" s="107"/>
      <c r="CX215" s="107"/>
      <c r="CY215" s="107"/>
      <c r="CZ215" s="107"/>
      <c r="DA215" s="107"/>
      <c r="DB215" s="107"/>
      <c r="DC215" s="107"/>
      <c r="DD215" s="107"/>
      <c r="DE215" s="107"/>
      <c r="DF215" s="107"/>
      <c r="DG215" s="107"/>
      <c r="DH215" s="107"/>
    </row>
    <row r="216" spans="7:112" ht="14.1" customHeight="1" x14ac:dyDescent="0.3">
      <c r="G216" s="106"/>
      <c r="H216" s="163"/>
      <c r="J216" s="128"/>
      <c r="K216" s="7" t="s">
        <v>375</v>
      </c>
      <c r="L216" s="204">
        <f t="shared" si="13"/>
        <v>20.794233050902438</v>
      </c>
      <c r="M216" s="204">
        <f t="shared" si="13"/>
        <v>19.851686774003202</v>
      </c>
      <c r="N216" s="204">
        <f t="shared" si="13"/>
        <v>19.332344025095693</v>
      </c>
      <c r="O216" s="204">
        <f t="shared" si="13"/>
        <v>18.119301201538807</v>
      </c>
      <c r="P216"/>
      <c r="Q216"/>
      <c r="R216"/>
      <c r="S216"/>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c r="BS216" s="107"/>
      <c r="BT216" s="107"/>
      <c r="BU216" s="107"/>
      <c r="BV216" s="107"/>
      <c r="BW216" s="107"/>
      <c r="BX216" s="107"/>
      <c r="BY216" s="107"/>
      <c r="BZ216" s="107"/>
      <c r="CA216" s="107"/>
      <c r="CB216" s="107"/>
      <c r="CC216" s="107"/>
      <c r="CD216" s="107"/>
      <c r="CE216" s="107"/>
      <c r="CF216" s="107"/>
      <c r="CG216" s="107"/>
      <c r="CH216" s="107"/>
      <c r="CI216" s="107"/>
      <c r="CJ216" s="107"/>
      <c r="CK216" s="107"/>
      <c r="CL216" s="107"/>
      <c r="CM216" s="107"/>
      <c r="CN216" s="107"/>
      <c r="CO216" s="107"/>
      <c r="CP216" s="107"/>
      <c r="CQ216" s="107"/>
      <c r="CR216" s="107"/>
      <c r="CS216" s="107"/>
      <c r="CT216" s="107"/>
      <c r="CU216" s="107"/>
      <c r="CV216" s="107"/>
      <c r="CW216" s="107"/>
      <c r="CX216" s="107"/>
      <c r="CY216" s="107"/>
      <c r="CZ216" s="107"/>
      <c r="DA216" s="107"/>
      <c r="DB216" s="107"/>
      <c r="DC216" s="107"/>
      <c r="DD216" s="107"/>
      <c r="DE216" s="107"/>
      <c r="DF216" s="107"/>
      <c r="DG216" s="107"/>
      <c r="DH216" s="107"/>
    </row>
    <row r="217" spans="7:112" ht="14.1" customHeight="1" x14ac:dyDescent="0.3">
      <c r="G217" s="106"/>
      <c r="H217" s="163"/>
      <c r="J217" s="128"/>
      <c r="K217" s="7" t="s">
        <v>376</v>
      </c>
      <c r="L217" s="204">
        <f t="shared" si="13"/>
        <v>39.024314501637946</v>
      </c>
      <c r="M217" s="204">
        <f t="shared" si="13"/>
        <v>36.032388936952501</v>
      </c>
      <c r="N217" s="204">
        <f t="shared" si="13"/>
        <v>34.419615553337522</v>
      </c>
      <c r="O217" s="204">
        <f t="shared" si="13"/>
        <v>30.862846113994962</v>
      </c>
      <c r="P217"/>
      <c r="Q217"/>
      <c r="R217"/>
      <c r="S21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c r="BS217" s="107"/>
      <c r="BT217" s="107"/>
      <c r="BU217" s="107"/>
      <c r="BV217" s="107"/>
      <c r="BW217" s="107"/>
      <c r="BX217" s="107"/>
      <c r="BY217" s="107"/>
      <c r="BZ217" s="107"/>
      <c r="CA217" s="107"/>
      <c r="CB217" s="107"/>
      <c r="CC217" s="107"/>
      <c r="CD217" s="107"/>
      <c r="CE217" s="107"/>
      <c r="CF217" s="107"/>
      <c r="CG217" s="107"/>
      <c r="CH217" s="107"/>
      <c r="CI217" s="107"/>
      <c r="CJ217" s="107"/>
      <c r="CK217" s="107"/>
      <c r="CL217" s="107"/>
      <c r="CM217" s="107"/>
      <c r="CN217" s="107"/>
      <c r="CO217" s="107"/>
      <c r="CP217" s="107"/>
      <c r="CQ217" s="107"/>
      <c r="CR217" s="107"/>
      <c r="CS217" s="107"/>
      <c r="CT217" s="107"/>
      <c r="CU217" s="107"/>
      <c r="CV217" s="107"/>
      <c r="CW217" s="107"/>
      <c r="CX217" s="107"/>
      <c r="CY217" s="107"/>
      <c r="CZ217" s="107"/>
      <c r="DA217" s="107"/>
      <c r="DB217" s="107"/>
      <c r="DC217" s="107"/>
      <c r="DD217" s="107"/>
      <c r="DE217" s="107"/>
      <c r="DF217" s="107"/>
      <c r="DG217" s="107"/>
      <c r="DH217" s="107"/>
    </row>
    <row r="218" spans="7:112" ht="14.1" customHeight="1" thickBot="1" x14ac:dyDescent="0.35">
      <c r="G218" s="106"/>
      <c r="H218" s="163"/>
      <c r="J218" s="128"/>
      <c r="K218" s="7" t="s">
        <v>377</v>
      </c>
      <c r="L218" s="204">
        <f>L214</f>
        <v>42.931519689220117</v>
      </c>
      <c r="M218" s="204">
        <f t="shared" ref="M218:O218" si="14">M214</f>
        <v>39.474006822073221</v>
      </c>
      <c r="N218" s="204">
        <f t="shared" si="14"/>
        <v>37.675186465567251</v>
      </c>
      <c r="O218" s="204">
        <f t="shared" si="14"/>
        <v>33.745997741336062</v>
      </c>
      <c r="P218"/>
      <c r="Q218"/>
      <c r="R218"/>
      <c r="S218"/>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c r="BS218" s="107"/>
      <c r="BT218" s="107"/>
      <c r="BU218" s="107"/>
      <c r="BV218" s="107"/>
      <c r="BW218" s="107"/>
      <c r="BX218" s="107"/>
      <c r="BY218" s="107"/>
      <c r="BZ218" s="107"/>
      <c r="CA218" s="107"/>
      <c r="CB218" s="107"/>
      <c r="CC218" s="107"/>
      <c r="CD218" s="107"/>
      <c r="CE218" s="107"/>
      <c r="CF218" s="107"/>
      <c r="CG218" s="107"/>
      <c r="CH218" s="107"/>
      <c r="CI218" s="107"/>
      <c r="CJ218" s="107"/>
      <c r="CK218" s="107"/>
      <c r="CL218" s="107"/>
      <c r="CM218" s="107"/>
      <c r="CN218" s="107"/>
      <c r="CO218" s="107"/>
      <c r="CP218" s="107"/>
      <c r="CQ218" s="107"/>
      <c r="CR218" s="107"/>
      <c r="CS218" s="107"/>
      <c r="CT218" s="107"/>
      <c r="CU218" s="107"/>
      <c r="CV218" s="107"/>
      <c r="CW218" s="107"/>
      <c r="CX218" s="107"/>
      <c r="CY218" s="107"/>
      <c r="CZ218" s="107"/>
      <c r="DA218" s="107"/>
      <c r="DB218" s="107"/>
      <c r="DC218" s="107"/>
      <c r="DD218" s="107"/>
      <c r="DE218" s="107"/>
      <c r="DF218" s="107"/>
      <c r="DG218" s="107"/>
      <c r="DH218" s="107"/>
    </row>
    <row r="219" spans="7:112" ht="14.1" customHeight="1" thickTop="1" thickBot="1" x14ac:dyDescent="0.35">
      <c r="G219" s="106"/>
      <c r="H219" s="161"/>
      <c r="I219" s="161"/>
      <c r="J219" s="161"/>
      <c r="K219" s="208" t="s">
        <v>381</v>
      </c>
      <c r="L219" s="142">
        <f>L207-L215</f>
        <v>25.868431853902177</v>
      </c>
      <c r="M219" s="142">
        <f>M207-M215</f>
        <v>15.199745756332273</v>
      </c>
      <c r="N219" s="142">
        <f>N207-N215</f>
        <v>16.588159361269053</v>
      </c>
      <c r="O219" s="142">
        <f>O207-O215</f>
        <v>26.573124906042541</v>
      </c>
      <c r="P219"/>
      <c r="Q219"/>
      <c r="R219"/>
      <c r="S219"/>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c r="BS219" s="107"/>
      <c r="BT219" s="107"/>
      <c r="BU219" s="107"/>
      <c r="BV219" s="107"/>
      <c r="BW219" s="107"/>
      <c r="BX219" s="107"/>
      <c r="BY219" s="107"/>
      <c r="BZ219" s="107"/>
      <c r="CA219" s="107"/>
      <c r="CB219" s="107"/>
      <c r="CC219" s="107"/>
      <c r="CD219" s="107"/>
      <c r="CE219" s="107"/>
      <c r="CF219" s="107"/>
      <c r="CG219" s="107"/>
      <c r="CH219" s="107"/>
      <c r="CI219" s="107"/>
      <c r="CJ219" s="107"/>
      <c r="CK219" s="107"/>
      <c r="CL219" s="107"/>
      <c r="CM219" s="107"/>
      <c r="CN219" s="107"/>
      <c r="CO219" s="107"/>
      <c r="CP219" s="107"/>
      <c r="CQ219" s="107"/>
      <c r="CR219" s="107"/>
      <c r="CS219" s="107"/>
      <c r="CT219" s="107"/>
      <c r="CU219" s="107"/>
      <c r="CV219" s="107"/>
      <c r="CW219" s="107"/>
      <c r="CX219" s="107"/>
      <c r="CY219" s="107"/>
      <c r="CZ219" s="107"/>
      <c r="DA219" s="107"/>
      <c r="DB219" s="107"/>
      <c r="DC219" s="107"/>
      <c r="DD219" s="107"/>
      <c r="DE219" s="107"/>
      <c r="DF219" s="107"/>
      <c r="DG219" s="107"/>
      <c r="DH219" s="107"/>
    </row>
    <row r="220" spans="7:112" ht="14.1" customHeight="1" thickTop="1" thickBot="1" x14ac:dyDescent="0.35">
      <c r="G220" s="106"/>
      <c r="K220" s="7" t="s">
        <v>382</v>
      </c>
      <c r="L220" s="142">
        <f>L205-L216</f>
        <v>21.349045442137832</v>
      </c>
      <c r="M220" s="142">
        <f>M205-M216</f>
        <v>11.264479224609023</v>
      </c>
      <c r="N220" s="142">
        <f>N205-N216</f>
        <v>12.645823869424028</v>
      </c>
      <c r="O220" s="142">
        <f>O205-O216</f>
        <v>22.521879784236038</v>
      </c>
      <c r="P220"/>
      <c r="Q220"/>
      <c r="R220"/>
      <c r="S220"/>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c r="BS220" s="107"/>
      <c r="BT220" s="107"/>
      <c r="BU220" s="107"/>
      <c r="BV220" s="107"/>
      <c r="BW220" s="107"/>
      <c r="BX220" s="107"/>
      <c r="BY220" s="107"/>
      <c r="BZ220" s="107"/>
      <c r="CA220" s="107"/>
      <c r="CB220" s="107"/>
      <c r="CC220" s="107"/>
      <c r="CD220" s="107"/>
      <c r="CE220" s="107"/>
      <c r="CF220" s="107"/>
      <c r="CG220" s="107"/>
      <c r="CH220" s="107"/>
      <c r="CI220" s="107"/>
      <c r="CJ220" s="107"/>
      <c r="CK220" s="107"/>
      <c r="CL220" s="107"/>
      <c r="CM220" s="107"/>
      <c r="CN220" s="107"/>
      <c r="CO220" s="107"/>
      <c r="CP220" s="107"/>
      <c r="CQ220" s="107"/>
      <c r="CR220" s="107"/>
      <c r="CS220" s="107"/>
      <c r="CT220" s="107"/>
      <c r="CU220" s="107"/>
      <c r="CV220" s="107"/>
      <c r="CW220" s="107"/>
      <c r="CX220" s="107"/>
      <c r="CY220" s="107"/>
      <c r="CZ220" s="107"/>
      <c r="DA220" s="107"/>
      <c r="DB220" s="107"/>
      <c r="DC220" s="107"/>
      <c r="DD220" s="107"/>
      <c r="DE220" s="107"/>
      <c r="DF220" s="107"/>
      <c r="DG220" s="107"/>
      <c r="DH220" s="107"/>
    </row>
    <row r="221" spans="7:112" ht="14.1" customHeight="1" thickTop="1" thickBot="1" x14ac:dyDescent="0.35">
      <c r="G221" s="106"/>
      <c r="K221" s="7" t="s">
        <v>383</v>
      </c>
      <c r="L221" s="142">
        <f>L210-L217</f>
        <v>66.223034849549762</v>
      </c>
      <c r="M221" s="142">
        <f>M210-M217</f>
        <v>37.904749720754097</v>
      </c>
      <c r="N221" s="142">
        <f>N210-N217</f>
        <v>38.599821954442859</v>
      </c>
      <c r="O221" s="142">
        <f>O210-O217</f>
        <v>56.096313419326677</v>
      </c>
      <c r="P221"/>
      <c r="Q221"/>
      <c r="R221"/>
      <c r="S221"/>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c r="BS221" s="107"/>
      <c r="BT221" s="107"/>
      <c r="BU221" s="107"/>
      <c r="BV221" s="107"/>
      <c r="BW221" s="107"/>
      <c r="BX221" s="107"/>
      <c r="BY221" s="107"/>
      <c r="BZ221" s="107"/>
      <c r="CA221" s="107"/>
      <c r="CB221" s="107"/>
      <c r="CC221" s="107"/>
      <c r="CD221" s="107"/>
      <c r="CE221" s="107"/>
      <c r="CF221" s="107"/>
      <c r="CG221" s="107"/>
      <c r="CH221" s="107"/>
      <c r="CI221" s="107"/>
      <c r="CJ221" s="107"/>
      <c r="CK221" s="107"/>
      <c r="CL221" s="107"/>
      <c r="CM221" s="107"/>
      <c r="CN221" s="107"/>
      <c r="CO221" s="107"/>
      <c r="CP221" s="107"/>
      <c r="CQ221" s="107"/>
      <c r="CR221" s="107"/>
      <c r="CS221" s="107"/>
      <c r="CT221" s="107"/>
      <c r="CU221" s="107"/>
      <c r="CV221" s="107"/>
      <c r="CW221" s="107"/>
      <c r="CX221" s="107"/>
      <c r="CY221" s="107"/>
      <c r="CZ221" s="107"/>
      <c r="DA221" s="107"/>
      <c r="DB221" s="107"/>
      <c r="DC221" s="107"/>
      <c r="DD221" s="107"/>
      <c r="DE221" s="107"/>
      <c r="DF221" s="107"/>
      <c r="DG221" s="107"/>
      <c r="DH221" s="107"/>
    </row>
    <row r="222" spans="7:112" ht="14.1" customHeight="1" thickTop="1" x14ac:dyDescent="0.3">
      <c r="G222" s="106"/>
      <c r="K222" s="7" t="s">
        <v>384</v>
      </c>
      <c r="L222" s="142">
        <f>L208-L218</f>
        <v>56.588054278638516</v>
      </c>
      <c r="M222" s="142">
        <f>M208-M218</f>
        <v>29.630373865740566</v>
      </c>
      <c r="N222" s="142">
        <f>N208-N218</f>
        <v>30.693433603915949</v>
      </c>
      <c r="O222" s="142">
        <f>O208-O218</f>
        <v>48.289558696291486</v>
      </c>
      <c r="P222"/>
      <c r="Q222"/>
      <c r="R222"/>
      <c r="S222"/>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c r="BS222" s="107"/>
      <c r="BT222" s="107"/>
      <c r="BU222" s="107"/>
      <c r="BV222" s="107"/>
      <c r="BW222" s="107"/>
      <c r="BX222" s="107"/>
      <c r="BY222" s="107"/>
      <c r="BZ222" s="107"/>
      <c r="CA222" s="107"/>
      <c r="CB222" s="107"/>
      <c r="CC222" s="107"/>
      <c r="CD222" s="107"/>
      <c r="CE222" s="107"/>
      <c r="CF222" s="107"/>
      <c r="CG222" s="107"/>
      <c r="CH222" s="107"/>
      <c r="CI222" s="107"/>
      <c r="CJ222" s="107"/>
      <c r="CK222" s="107"/>
      <c r="CL222" s="107"/>
      <c r="CM222" s="107"/>
      <c r="CN222" s="107"/>
      <c r="CO222" s="107"/>
      <c r="CP222" s="107"/>
      <c r="CQ222" s="107"/>
      <c r="CR222" s="107"/>
      <c r="CS222" s="107"/>
      <c r="CT222" s="107"/>
      <c r="CU222" s="107"/>
      <c r="CV222" s="107"/>
      <c r="CW222" s="107"/>
      <c r="CX222" s="107"/>
      <c r="CY222" s="107"/>
      <c r="CZ222" s="107"/>
      <c r="DA222" s="107"/>
      <c r="DB222" s="107"/>
      <c r="DC222" s="107"/>
      <c r="DD222" s="107"/>
      <c r="DE222" s="107"/>
      <c r="DF222" s="107"/>
      <c r="DG222" s="107"/>
      <c r="DH222" s="107"/>
    </row>
    <row r="223" spans="7:112" ht="14.1" customHeight="1" x14ac:dyDescent="0.3">
      <c r="G223" s="106"/>
      <c r="L223" s="164"/>
      <c r="M223" s="164"/>
      <c r="N223" s="164"/>
      <c r="P223"/>
      <c r="Q223"/>
      <c r="R223"/>
      <c r="S223"/>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c r="BS223" s="107"/>
      <c r="BT223" s="107"/>
      <c r="BU223" s="107"/>
      <c r="BV223" s="107"/>
      <c r="BW223" s="107"/>
      <c r="BX223" s="107"/>
      <c r="BY223" s="107"/>
      <c r="BZ223" s="107"/>
      <c r="CA223" s="107"/>
      <c r="CB223" s="107"/>
      <c r="CC223" s="107"/>
      <c r="CD223" s="107"/>
      <c r="CE223" s="107"/>
      <c r="CF223" s="107"/>
      <c r="CG223" s="107"/>
      <c r="CH223" s="107"/>
      <c r="CI223" s="107"/>
      <c r="CJ223" s="107"/>
      <c r="CK223" s="107"/>
      <c r="CL223" s="107"/>
      <c r="CM223" s="107"/>
      <c r="CN223" s="107"/>
      <c r="CO223" s="107"/>
      <c r="CP223" s="107"/>
      <c r="CQ223" s="107"/>
      <c r="CR223" s="107"/>
      <c r="CS223" s="107"/>
      <c r="CT223" s="107"/>
      <c r="CU223" s="107"/>
      <c r="CV223" s="107"/>
      <c r="CW223" s="107"/>
      <c r="CX223" s="107"/>
      <c r="CY223" s="107"/>
      <c r="CZ223" s="107"/>
      <c r="DA223" s="107"/>
      <c r="DB223" s="107"/>
      <c r="DC223" s="107"/>
      <c r="DD223" s="107"/>
      <c r="DE223" s="107"/>
      <c r="DF223" s="107"/>
      <c r="DG223" s="107"/>
      <c r="DH223" s="107"/>
    </row>
    <row r="224" spans="7:112" ht="14.1" customHeight="1" x14ac:dyDescent="0.3">
      <c r="G224" s="106"/>
      <c r="L224" s="107" t="s">
        <v>365</v>
      </c>
      <c r="M224" s="107" t="s">
        <v>366</v>
      </c>
      <c r="N224" s="107" t="s">
        <v>367</v>
      </c>
      <c r="O224" s="107" t="s">
        <v>368</v>
      </c>
      <c r="P224"/>
      <c r="Q224"/>
      <c r="R224"/>
      <c r="S224"/>
      <c r="U224" s="107"/>
      <c r="V224" s="107"/>
      <c r="W224" s="107"/>
      <c r="X224" s="107"/>
      <c r="Y224" s="107"/>
      <c r="Z224" s="107"/>
      <c r="AA224" s="107"/>
      <c r="AB224" s="107"/>
      <c r="AC224" s="107"/>
      <c r="AD224" s="107"/>
      <c r="AE224" s="107"/>
      <c r="AF224" s="107"/>
      <c r="AG224" s="107"/>
      <c r="AH224" s="107"/>
      <c r="AI224" s="107"/>
      <c r="AJ224" s="107"/>
      <c r="AK224" s="107"/>
      <c r="AL224" s="107"/>
      <c r="AM224" s="107"/>
      <c r="AN224" s="107"/>
      <c r="AO224" s="107"/>
      <c r="AP224" s="107"/>
      <c r="AQ224" s="107"/>
      <c r="AR224" s="107"/>
      <c r="AS224" s="107"/>
      <c r="AT224" s="107"/>
      <c r="AU224" s="107"/>
      <c r="AV224" s="107"/>
      <c r="AW224" s="107"/>
      <c r="AX224" s="107"/>
      <c r="AY224" s="107"/>
      <c r="AZ224" s="107"/>
      <c r="BA224" s="107"/>
      <c r="BB224" s="107"/>
      <c r="BC224" s="107"/>
      <c r="BD224" s="107"/>
      <c r="BE224" s="107"/>
      <c r="BF224" s="107"/>
      <c r="BG224" s="107"/>
      <c r="BH224" s="107"/>
      <c r="BI224" s="107"/>
      <c r="BJ224" s="107"/>
      <c r="BK224" s="107"/>
      <c r="BL224" s="107"/>
      <c r="BM224" s="107"/>
      <c r="BN224" s="107"/>
      <c r="BO224" s="107"/>
      <c r="BP224" s="107"/>
      <c r="BQ224" s="107"/>
      <c r="BR224" s="107"/>
      <c r="BS224" s="107"/>
      <c r="BT224" s="107"/>
      <c r="BU224" s="107"/>
      <c r="BV224" s="107"/>
      <c r="BW224" s="107"/>
      <c r="BX224" s="107"/>
      <c r="BY224" s="107"/>
      <c r="BZ224" s="107"/>
      <c r="CA224" s="107"/>
      <c r="CB224" s="107"/>
      <c r="CC224" s="107"/>
      <c r="CD224" s="107"/>
      <c r="CE224" s="107"/>
      <c r="CF224" s="107"/>
      <c r="CG224" s="107"/>
      <c r="CH224" s="107"/>
      <c r="CI224" s="107"/>
      <c r="CJ224" s="107"/>
      <c r="CK224" s="107"/>
      <c r="CL224" s="107"/>
      <c r="CM224" s="107"/>
      <c r="CN224" s="107"/>
      <c r="CO224" s="107"/>
      <c r="CP224" s="107"/>
      <c r="CQ224" s="107"/>
      <c r="CR224" s="107"/>
      <c r="CS224" s="107"/>
      <c r="CT224" s="107"/>
      <c r="CU224" s="107"/>
      <c r="CV224" s="107"/>
      <c r="CW224" s="107"/>
      <c r="CX224" s="107"/>
      <c r="CY224" s="107"/>
      <c r="CZ224" s="107"/>
      <c r="DA224" s="107"/>
      <c r="DB224" s="107"/>
      <c r="DC224" s="107"/>
      <c r="DD224" s="107"/>
      <c r="DE224" s="107"/>
      <c r="DF224" s="107"/>
      <c r="DG224" s="107"/>
      <c r="DH224" s="107"/>
    </row>
    <row r="225" spans="7:112" ht="14.1" customHeight="1" x14ac:dyDescent="0.3">
      <c r="G225" s="106"/>
      <c r="H225" s="220" t="s">
        <v>148</v>
      </c>
      <c r="J225" s="215" t="s">
        <v>149</v>
      </c>
      <c r="K225" s="7" t="s">
        <v>150</v>
      </c>
      <c r="L225" s="164">
        <v>0.116085097876559</v>
      </c>
      <c r="M225" s="164">
        <v>0.116085097876559</v>
      </c>
      <c r="N225" s="164">
        <v>0.116085097876559</v>
      </c>
      <c r="O225" s="164">
        <v>0.116085097876559</v>
      </c>
      <c r="P225"/>
      <c r="Q225"/>
      <c r="R225"/>
      <c r="S225"/>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c r="BS225" s="107"/>
      <c r="BT225" s="107"/>
      <c r="BU225" s="107"/>
      <c r="BV225" s="107"/>
      <c r="BW225" s="107"/>
      <c r="BX225" s="107"/>
      <c r="BY225" s="107"/>
      <c r="BZ225" s="107"/>
      <c r="CA225" s="107"/>
      <c r="CB225" s="107"/>
      <c r="CC225" s="107"/>
      <c r="CD225" s="107"/>
      <c r="CE225" s="107"/>
      <c r="CF225" s="107"/>
      <c r="CG225" s="107"/>
      <c r="CH225" s="107"/>
      <c r="CI225" s="107"/>
      <c r="CJ225" s="107"/>
      <c r="CK225" s="107"/>
      <c r="CL225" s="107"/>
      <c r="CM225" s="107"/>
      <c r="CN225" s="107"/>
      <c r="CO225" s="107"/>
      <c r="CP225" s="107"/>
      <c r="CQ225" s="107"/>
      <c r="CR225" s="107"/>
      <c r="CS225" s="107"/>
      <c r="CT225" s="107"/>
      <c r="CU225" s="107"/>
      <c r="CV225" s="107"/>
      <c r="CW225" s="107"/>
      <c r="CX225" s="107"/>
      <c r="CY225" s="107"/>
      <c r="CZ225" s="107"/>
      <c r="DA225" s="107"/>
      <c r="DB225" s="107"/>
      <c r="DC225" s="107"/>
      <c r="DD225" s="107"/>
      <c r="DE225" s="107"/>
      <c r="DF225" s="107"/>
      <c r="DG225" s="107"/>
      <c r="DH225" s="107"/>
    </row>
    <row r="226" spans="7:112" ht="14.1" customHeight="1" x14ac:dyDescent="0.3">
      <c r="G226" s="106"/>
      <c r="H226" s="220"/>
      <c r="J226" s="216"/>
      <c r="K226" s="7" t="s">
        <v>151</v>
      </c>
      <c r="L226" s="164">
        <v>0.116085097876559</v>
      </c>
      <c r="M226" s="164">
        <v>0.116085097876559</v>
      </c>
      <c r="N226" s="164">
        <v>0.116085097876559</v>
      </c>
      <c r="O226" s="164">
        <v>0.116085097876559</v>
      </c>
      <c r="P226"/>
      <c r="Q226"/>
      <c r="R226"/>
      <c r="S226"/>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c r="BS226" s="107"/>
      <c r="BT226" s="107"/>
      <c r="BU226" s="107"/>
      <c r="BV226" s="107"/>
      <c r="BW226" s="107"/>
      <c r="BX226" s="107"/>
      <c r="BY226" s="107"/>
      <c r="BZ226" s="107"/>
      <c r="CA226" s="107"/>
      <c r="CB226" s="107"/>
      <c r="CC226" s="107"/>
      <c r="CD226" s="107"/>
      <c r="CE226" s="107"/>
      <c r="CF226" s="107"/>
      <c r="CG226" s="107"/>
      <c r="CH226" s="107"/>
      <c r="CI226" s="107"/>
      <c r="CJ226" s="107"/>
      <c r="CK226" s="107"/>
      <c r="CL226" s="107"/>
      <c r="CM226" s="107"/>
      <c r="CN226" s="107"/>
      <c r="CO226" s="107"/>
      <c r="CP226" s="107"/>
      <c r="CQ226" s="107"/>
      <c r="CR226" s="107"/>
      <c r="CS226" s="107"/>
      <c r="CT226" s="107"/>
      <c r="CU226" s="107"/>
      <c r="CV226" s="107"/>
      <c r="CW226" s="107"/>
      <c r="CX226" s="107"/>
      <c r="CY226" s="107"/>
      <c r="CZ226" s="107"/>
      <c r="DA226" s="107"/>
      <c r="DB226" s="107"/>
      <c r="DC226" s="107"/>
      <c r="DD226" s="107"/>
      <c r="DE226" s="107"/>
      <c r="DF226" s="107"/>
      <c r="DG226" s="107"/>
      <c r="DH226" s="107"/>
    </row>
    <row r="227" spans="7:112" ht="14.1" customHeight="1" x14ac:dyDescent="0.3">
      <c r="G227" s="106"/>
      <c r="H227" s="220"/>
      <c r="J227" s="216"/>
      <c r="K227" s="7" t="s">
        <v>152</v>
      </c>
      <c r="L227" s="164">
        <v>0.116085097876559</v>
      </c>
      <c r="M227" s="164">
        <v>0.116085097876559</v>
      </c>
      <c r="N227" s="164">
        <v>0.116085097876559</v>
      </c>
      <c r="O227" s="164">
        <v>0.116085097876559</v>
      </c>
      <c r="P227"/>
      <c r="Q227"/>
      <c r="R227"/>
      <c r="S22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c r="BS227" s="107"/>
      <c r="BT227" s="107"/>
      <c r="BU227" s="107"/>
      <c r="BV227" s="107"/>
      <c r="BW227" s="107"/>
      <c r="BX227" s="107"/>
      <c r="BY227" s="107"/>
      <c r="BZ227" s="107"/>
      <c r="CA227" s="107"/>
      <c r="CB227" s="107"/>
      <c r="CC227" s="107"/>
      <c r="CD227" s="107"/>
      <c r="CE227" s="107"/>
      <c r="CF227" s="107"/>
      <c r="CG227" s="107"/>
      <c r="CH227" s="107"/>
      <c r="CI227" s="107"/>
      <c r="CJ227" s="107"/>
      <c r="CK227" s="107"/>
      <c r="CL227" s="107"/>
      <c r="CM227" s="107"/>
      <c r="CN227" s="107"/>
      <c r="CO227" s="107"/>
      <c r="CP227" s="107"/>
      <c r="CQ227" s="107"/>
      <c r="CR227" s="107"/>
      <c r="CS227" s="107"/>
      <c r="CT227" s="107"/>
      <c r="CU227" s="107"/>
      <c r="CV227" s="107"/>
      <c r="CW227" s="107"/>
      <c r="CX227" s="107"/>
      <c r="CY227" s="107"/>
      <c r="CZ227" s="107"/>
      <c r="DA227" s="107"/>
      <c r="DB227" s="107"/>
      <c r="DC227" s="107"/>
      <c r="DD227" s="107"/>
      <c r="DE227" s="107"/>
      <c r="DF227" s="107"/>
      <c r="DG227" s="107"/>
      <c r="DH227" s="107"/>
    </row>
    <row r="228" spans="7:112" ht="14.1" customHeight="1" x14ac:dyDescent="0.3">
      <c r="G228" s="106"/>
      <c r="H228" s="220"/>
      <c r="J228" s="216"/>
      <c r="K228" s="7" t="s">
        <v>153</v>
      </c>
      <c r="L228" s="164">
        <v>0</v>
      </c>
      <c r="M228" s="164">
        <v>0</v>
      </c>
      <c r="N228" s="164">
        <v>0</v>
      </c>
      <c r="O228" s="164">
        <v>0</v>
      </c>
      <c r="P228"/>
      <c r="Q228"/>
      <c r="R228"/>
      <c r="S228"/>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c r="BS228" s="107"/>
      <c r="BT228" s="107"/>
      <c r="BU228" s="107"/>
      <c r="BV228" s="107"/>
      <c r="BW228" s="107"/>
      <c r="BX228" s="107"/>
      <c r="BY228" s="107"/>
      <c r="BZ228" s="107"/>
      <c r="CA228" s="107"/>
      <c r="CB228" s="107"/>
      <c r="CC228" s="107"/>
      <c r="CD228" s="107"/>
      <c r="CE228" s="107"/>
      <c r="CF228" s="107"/>
      <c r="CG228" s="107"/>
      <c r="CH228" s="107"/>
      <c r="CI228" s="107"/>
      <c r="CJ228" s="107"/>
      <c r="CK228" s="107"/>
      <c r="CL228" s="107"/>
      <c r="CM228" s="107"/>
      <c r="CN228" s="107"/>
      <c r="CO228" s="107"/>
      <c r="CP228" s="107"/>
      <c r="CQ228" s="107"/>
      <c r="CR228" s="107"/>
      <c r="CS228" s="107"/>
      <c r="CT228" s="107"/>
      <c r="CU228" s="107"/>
      <c r="CV228" s="107"/>
      <c r="CW228" s="107"/>
      <c r="CX228" s="107"/>
      <c r="CY228" s="107"/>
      <c r="CZ228" s="107"/>
      <c r="DA228" s="107"/>
      <c r="DB228" s="107"/>
      <c r="DC228" s="107"/>
      <c r="DD228" s="107"/>
      <c r="DE228" s="107"/>
      <c r="DF228" s="107"/>
      <c r="DG228" s="107"/>
      <c r="DH228" s="107"/>
    </row>
    <row r="229" spans="7:112" ht="14.1" customHeight="1" x14ac:dyDescent="0.3">
      <c r="G229" s="106"/>
      <c r="H229" s="220"/>
      <c r="J229" s="216"/>
      <c r="K229" s="7" t="s">
        <v>154</v>
      </c>
      <c r="L229" s="165">
        <f>SUMPRODUCT($I$236:$I$241,L236:L241)</f>
        <v>0.99999999999999989</v>
      </c>
      <c r="M229" s="165">
        <f>SUMPRODUCT($I$236:$I$241,M236:M241)</f>
        <v>0.99999999999999989</v>
      </c>
      <c r="N229" s="165">
        <f>SUMPRODUCT($I$236:$I$241,N236:N241)</f>
        <v>0.99999999999999989</v>
      </c>
      <c r="O229" s="165">
        <f>SUMPRODUCT($I$236:$I$241,O236:O241)</f>
        <v>0.99999999999999989</v>
      </c>
      <c r="P229"/>
      <c r="Q229"/>
      <c r="R229"/>
      <c r="S229"/>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c r="BS229" s="107"/>
      <c r="BT229" s="107"/>
      <c r="BU229" s="107"/>
      <c r="BV229" s="107"/>
      <c r="BW229" s="107"/>
      <c r="BX229" s="107"/>
      <c r="BY229" s="107"/>
      <c r="BZ229" s="107"/>
      <c r="CA229" s="107"/>
      <c r="CB229" s="107"/>
      <c r="CC229" s="107"/>
      <c r="CD229" s="107"/>
      <c r="CE229" s="107"/>
      <c r="CF229" s="107"/>
      <c r="CG229" s="107"/>
      <c r="CH229" s="107"/>
      <c r="CI229" s="107"/>
      <c r="CJ229" s="107"/>
      <c r="CK229" s="107"/>
      <c r="CL229" s="107"/>
      <c r="CM229" s="107"/>
      <c r="CN229" s="107"/>
      <c r="CO229" s="107"/>
      <c r="CP229" s="107"/>
      <c r="CQ229" s="107"/>
      <c r="CR229" s="107"/>
      <c r="CS229" s="107"/>
      <c r="CT229" s="107"/>
      <c r="CU229" s="107"/>
      <c r="CV229" s="107"/>
      <c r="CW229" s="107"/>
      <c r="CX229" s="107"/>
      <c r="CY229" s="107"/>
      <c r="CZ229" s="107"/>
      <c r="DA229" s="107"/>
      <c r="DB229" s="107"/>
      <c r="DC229" s="107"/>
      <c r="DD229" s="107"/>
      <c r="DE229" s="107"/>
      <c r="DF229" s="107"/>
      <c r="DG229" s="107"/>
      <c r="DH229" s="107"/>
    </row>
    <row r="230" spans="7:112" ht="14.1" customHeight="1" x14ac:dyDescent="0.3">
      <c r="G230" s="106"/>
      <c r="H230" s="220"/>
      <c r="J230" s="216"/>
      <c r="K230" s="7" t="s">
        <v>155</v>
      </c>
      <c r="L230" s="165">
        <f>SUMPRODUCT($I$236:$I$241,L243:L248)</f>
        <v>0.99999999999999989</v>
      </c>
      <c r="M230" s="165">
        <f>SUMPRODUCT($I$236:$I$241,M243:M248)</f>
        <v>0.99999999999999989</v>
      </c>
      <c r="N230" s="165">
        <f>SUMPRODUCT($I$236:$I$241,N243:N248)</f>
        <v>0.99999999999999989</v>
      </c>
      <c r="O230" s="165">
        <f>SUMPRODUCT($I$236:$I$241,O243:O248)</f>
        <v>0.99999999999999989</v>
      </c>
      <c r="P230"/>
      <c r="Q230"/>
      <c r="R230"/>
      <c r="S230"/>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c r="BS230" s="107"/>
      <c r="BT230" s="107"/>
      <c r="BU230" s="107"/>
      <c r="BV230" s="107"/>
      <c r="BW230" s="107"/>
      <c r="BX230" s="107"/>
      <c r="BY230" s="107"/>
      <c r="BZ230" s="107"/>
      <c r="CA230" s="107"/>
      <c r="CB230" s="107"/>
      <c r="CC230" s="107"/>
      <c r="CD230" s="107"/>
      <c r="CE230" s="107"/>
      <c r="CF230" s="107"/>
      <c r="CG230" s="107"/>
      <c r="CH230" s="107"/>
      <c r="CI230" s="107"/>
      <c r="CJ230" s="107"/>
      <c r="CK230" s="107"/>
      <c r="CL230" s="107"/>
      <c r="CM230" s="107"/>
      <c r="CN230" s="107"/>
      <c r="CO230" s="107"/>
      <c r="CP230" s="107"/>
      <c r="CQ230" s="107"/>
      <c r="CR230" s="107"/>
      <c r="CS230" s="107"/>
      <c r="CT230" s="107"/>
      <c r="CU230" s="107"/>
      <c r="CV230" s="107"/>
      <c r="CW230" s="107"/>
      <c r="CX230" s="107"/>
      <c r="CY230" s="107"/>
      <c r="CZ230" s="107"/>
      <c r="DA230" s="107"/>
      <c r="DB230" s="107"/>
      <c r="DC230" s="107"/>
      <c r="DD230" s="107"/>
      <c r="DE230" s="107"/>
      <c r="DF230" s="107"/>
      <c r="DG230" s="107"/>
      <c r="DH230" s="107"/>
    </row>
    <row r="231" spans="7:112" ht="14.1" customHeight="1" x14ac:dyDescent="0.3">
      <c r="G231" s="106"/>
      <c r="H231" s="220"/>
      <c r="J231" s="216"/>
      <c r="K231" s="7" t="s">
        <v>156</v>
      </c>
      <c r="L231" s="165">
        <f>SUMPRODUCT($I$236:$I$241,L250:L255)</f>
        <v>0.99999999999999989</v>
      </c>
      <c r="M231" s="165">
        <f>SUMPRODUCT($I$236:$I$241,M250:M255)</f>
        <v>0.99999999999999989</v>
      </c>
      <c r="N231" s="165">
        <f>SUMPRODUCT($I$236:$I$241,N250:N255)</f>
        <v>0.99999999999999989</v>
      </c>
      <c r="O231" s="165">
        <f>SUMPRODUCT($I$236:$I$241,O250:O255)</f>
        <v>0.99999999999999989</v>
      </c>
      <c r="P231"/>
      <c r="Q231"/>
      <c r="R231"/>
      <c r="S231"/>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c r="BS231" s="107"/>
      <c r="BT231" s="107"/>
      <c r="BU231" s="107"/>
      <c r="BV231" s="107"/>
      <c r="BW231" s="107"/>
      <c r="BX231" s="107"/>
      <c r="BY231" s="107"/>
      <c r="BZ231" s="107"/>
      <c r="CA231" s="107"/>
      <c r="CB231" s="107"/>
      <c r="CC231" s="107"/>
      <c r="CD231" s="107"/>
      <c r="CE231" s="107"/>
      <c r="CF231" s="107"/>
      <c r="CG231" s="107"/>
      <c r="CH231" s="107"/>
      <c r="CI231" s="107"/>
      <c r="CJ231" s="107"/>
      <c r="CK231" s="107"/>
      <c r="CL231" s="107"/>
      <c r="CM231" s="107"/>
      <c r="CN231" s="107"/>
      <c r="CO231" s="107"/>
      <c r="CP231" s="107"/>
      <c r="CQ231" s="107"/>
      <c r="CR231" s="107"/>
      <c r="CS231" s="107"/>
      <c r="CT231" s="107"/>
      <c r="CU231" s="107"/>
      <c r="CV231" s="107"/>
      <c r="CW231" s="107"/>
      <c r="CX231" s="107"/>
      <c r="CY231" s="107"/>
      <c r="CZ231" s="107"/>
      <c r="DA231" s="107"/>
      <c r="DB231" s="107"/>
      <c r="DC231" s="107"/>
      <c r="DD231" s="107"/>
      <c r="DE231" s="107"/>
      <c r="DF231" s="107"/>
      <c r="DG231" s="107"/>
      <c r="DH231" s="107"/>
    </row>
    <row r="232" spans="7:112" ht="14.1" customHeight="1" x14ac:dyDescent="0.3">
      <c r="G232" s="106"/>
      <c r="H232" s="220"/>
      <c r="J232" s="216"/>
      <c r="K232" s="7" t="s">
        <v>157</v>
      </c>
      <c r="L232" s="165">
        <f t="shared" ref="L232:O234" si="15">(1-P$75*L229*(1-L$228/2)-L$228)/(1-P$75)</f>
        <v>1</v>
      </c>
      <c r="M232" s="165">
        <f t="shared" si="15"/>
        <v>1</v>
      </c>
      <c r="N232" s="165">
        <f t="shared" si="15"/>
        <v>1</v>
      </c>
      <c r="O232" s="165">
        <f t="shared" si="15"/>
        <v>1</v>
      </c>
      <c r="P232"/>
      <c r="Q232"/>
      <c r="R232"/>
      <c r="S232"/>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c r="BS232" s="107"/>
      <c r="BT232" s="107"/>
      <c r="BU232" s="107"/>
      <c r="BV232" s="107"/>
      <c r="BW232" s="107"/>
      <c r="BX232" s="107"/>
      <c r="BY232" s="107"/>
      <c r="BZ232" s="107"/>
      <c r="CA232" s="107"/>
      <c r="CB232" s="107"/>
      <c r="CC232" s="107"/>
      <c r="CD232" s="107"/>
      <c r="CE232" s="107"/>
      <c r="CF232" s="107"/>
      <c r="CG232" s="107"/>
      <c r="CH232" s="107"/>
      <c r="CI232" s="107"/>
      <c r="CJ232" s="107"/>
      <c r="CK232" s="107"/>
      <c r="CL232" s="107"/>
      <c r="CM232" s="107"/>
      <c r="CN232" s="107"/>
      <c r="CO232" s="107"/>
      <c r="CP232" s="107"/>
      <c r="CQ232" s="107"/>
      <c r="CR232" s="107"/>
      <c r="CS232" s="107"/>
      <c r="CT232" s="107"/>
      <c r="CU232" s="107"/>
      <c r="CV232" s="107"/>
      <c r="CW232" s="107"/>
      <c r="CX232" s="107"/>
      <c r="CY232" s="107"/>
      <c r="CZ232" s="107"/>
      <c r="DA232" s="107"/>
      <c r="DB232" s="107"/>
      <c r="DC232" s="107"/>
      <c r="DD232" s="107"/>
      <c r="DE232" s="107"/>
      <c r="DF232" s="107"/>
      <c r="DG232" s="107"/>
      <c r="DH232" s="107"/>
    </row>
    <row r="233" spans="7:112" ht="14.1" customHeight="1" x14ac:dyDescent="0.3">
      <c r="G233" s="106"/>
      <c r="H233" s="220"/>
      <c r="J233" s="216"/>
      <c r="K233" s="7" t="s">
        <v>158</v>
      </c>
      <c r="L233" s="165">
        <f t="shared" si="15"/>
        <v>1</v>
      </c>
      <c r="M233" s="165">
        <f t="shared" si="15"/>
        <v>1</v>
      </c>
      <c r="N233" s="165">
        <f t="shared" si="15"/>
        <v>1</v>
      </c>
      <c r="O233" s="165">
        <f t="shared" si="15"/>
        <v>1</v>
      </c>
      <c r="P233"/>
      <c r="Q233"/>
      <c r="R233"/>
      <c r="S233"/>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c r="BS233" s="107"/>
      <c r="BT233" s="107"/>
      <c r="BU233" s="107"/>
      <c r="BV233" s="107"/>
      <c r="BW233" s="107"/>
      <c r="BX233" s="107"/>
      <c r="BY233" s="107"/>
      <c r="BZ233" s="107"/>
      <c r="CA233" s="107"/>
      <c r="CB233" s="107"/>
      <c r="CC233" s="107"/>
      <c r="CD233" s="107"/>
      <c r="CE233" s="107"/>
      <c r="CF233" s="107"/>
      <c r="CG233" s="107"/>
      <c r="CH233" s="107"/>
      <c r="CI233" s="107"/>
      <c r="CJ233" s="107"/>
      <c r="CK233" s="107"/>
      <c r="CL233" s="107"/>
      <c r="CM233" s="107"/>
      <c r="CN233" s="107"/>
      <c r="CO233" s="107"/>
      <c r="CP233" s="107"/>
      <c r="CQ233" s="107"/>
      <c r="CR233" s="107"/>
      <c r="CS233" s="107"/>
      <c r="CT233" s="107"/>
      <c r="CU233" s="107"/>
      <c r="CV233" s="107"/>
      <c r="CW233" s="107"/>
      <c r="CX233" s="107"/>
      <c r="CY233" s="107"/>
      <c r="CZ233" s="107"/>
      <c r="DA233" s="107"/>
      <c r="DB233" s="107"/>
      <c r="DC233" s="107"/>
      <c r="DD233" s="107"/>
      <c r="DE233" s="107"/>
      <c r="DF233" s="107"/>
      <c r="DG233" s="107"/>
      <c r="DH233" s="107"/>
    </row>
    <row r="234" spans="7:112" ht="14.1" customHeight="1" x14ac:dyDescent="0.3">
      <c r="G234" s="106"/>
      <c r="H234" s="220"/>
      <c r="J234" s="216"/>
      <c r="K234" s="7" t="s">
        <v>159</v>
      </c>
      <c r="L234" s="165">
        <f t="shared" si="15"/>
        <v>1</v>
      </c>
      <c r="M234" s="165">
        <f t="shared" si="15"/>
        <v>1</v>
      </c>
      <c r="N234" s="165">
        <f t="shared" si="15"/>
        <v>1</v>
      </c>
      <c r="O234" s="165">
        <f t="shared" si="15"/>
        <v>1</v>
      </c>
      <c r="P234"/>
      <c r="Q234"/>
      <c r="R234"/>
      <c r="S234"/>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c r="BS234" s="107"/>
      <c r="BT234" s="107"/>
      <c r="BU234" s="107"/>
      <c r="BV234" s="107"/>
      <c r="BW234" s="107"/>
      <c r="BX234" s="107"/>
      <c r="BY234" s="107"/>
      <c r="BZ234" s="107"/>
      <c r="CA234" s="107"/>
      <c r="CB234" s="107"/>
      <c r="CC234" s="107"/>
      <c r="CD234" s="107"/>
      <c r="CE234" s="107"/>
      <c r="CF234" s="107"/>
      <c r="CG234" s="107"/>
      <c r="CH234" s="107"/>
      <c r="CI234" s="107"/>
      <c r="CJ234" s="107"/>
      <c r="CK234" s="107"/>
      <c r="CL234" s="107"/>
      <c r="CM234" s="107"/>
      <c r="CN234" s="107"/>
      <c r="CO234" s="107"/>
      <c r="CP234" s="107"/>
      <c r="CQ234" s="107"/>
      <c r="CR234" s="107"/>
      <c r="CS234" s="107"/>
      <c r="CT234" s="107"/>
      <c r="CU234" s="107"/>
      <c r="CV234" s="107"/>
      <c r="CW234" s="107"/>
      <c r="CX234" s="107"/>
      <c r="CY234" s="107"/>
      <c r="CZ234" s="107"/>
      <c r="DA234" s="107"/>
      <c r="DB234" s="107"/>
      <c r="DC234" s="107"/>
      <c r="DD234" s="107"/>
      <c r="DE234" s="107"/>
      <c r="DF234" s="107"/>
      <c r="DG234" s="107"/>
      <c r="DH234" s="107"/>
    </row>
    <row r="235" spans="7:112" ht="14.1" customHeight="1" x14ac:dyDescent="0.3">
      <c r="G235" s="106"/>
      <c r="H235" s="166"/>
      <c r="I235" s="167" t="s">
        <v>160</v>
      </c>
      <c r="J235" s="168"/>
      <c r="K235" s="169" t="s">
        <v>161</v>
      </c>
      <c r="L235" s="107" t="s">
        <v>365</v>
      </c>
      <c r="M235" s="107" t="s">
        <v>366</v>
      </c>
      <c r="N235" s="107" t="s">
        <v>367</v>
      </c>
      <c r="O235" s="107" t="s">
        <v>368</v>
      </c>
      <c r="P235"/>
      <c r="Q235"/>
      <c r="R235"/>
      <c r="S235"/>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c r="BS235" s="107"/>
      <c r="BT235" s="107"/>
      <c r="BU235" s="107"/>
      <c r="BV235" s="107"/>
      <c r="BW235" s="107"/>
      <c r="BX235" s="107"/>
      <c r="BY235" s="107"/>
      <c r="BZ235" s="107"/>
      <c r="CA235" s="107"/>
      <c r="CB235" s="107"/>
      <c r="CC235" s="107"/>
      <c r="CD235" s="107"/>
      <c r="CE235" s="107"/>
      <c r="CF235" s="107"/>
      <c r="CG235" s="107"/>
      <c r="CH235" s="107"/>
      <c r="CI235" s="107"/>
      <c r="CJ235" s="107"/>
      <c r="CK235" s="107"/>
      <c r="CL235" s="107"/>
      <c r="CM235" s="107"/>
      <c r="CN235" s="107"/>
      <c r="CO235" s="107"/>
      <c r="CP235" s="107"/>
      <c r="CQ235" s="107"/>
      <c r="CR235" s="107"/>
      <c r="CS235" s="107"/>
      <c r="CT235" s="107"/>
      <c r="CU235" s="107"/>
      <c r="CV235" s="107"/>
      <c r="CW235" s="107"/>
      <c r="CX235" s="107"/>
      <c r="CY235" s="107"/>
      <c r="CZ235" s="107"/>
      <c r="DA235" s="107"/>
      <c r="DB235" s="107"/>
      <c r="DC235" s="107"/>
      <c r="DD235" s="107"/>
      <c r="DE235" s="107"/>
      <c r="DF235" s="107"/>
      <c r="DG235" s="107"/>
      <c r="DH235" s="107"/>
    </row>
    <row r="236" spans="7:112" ht="14.1" customHeight="1" x14ac:dyDescent="0.3">
      <c r="G236" s="106"/>
      <c r="H236" s="166"/>
      <c r="I236" s="3">
        <v>0.2</v>
      </c>
      <c r="J236" s="170" t="s">
        <v>162</v>
      </c>
      <c r="K236" s="171">
        <v>1</v>
      </c>
      <c r="L236" s="172">
        <f t="shared" ref="L236:O241" si="16">1/((1+P$79)*(1+P$58))^$K236</f>
        <v>1</v>
      </c>
      <c r="M236" s="172">
        <f t="shared" si="16"/>
        <v>1</v>
      </c>
      <c r="N236" s="172">
        <f t="shared" si="16"/>
        <v>1</v>
      </c>
      <c r="O236" s="172">
        <f t="shared" si="16"/>
        <v>1</v>
      </c>
      <c r="P236"/>
      <c r="Q236"/>
      <c r="R236"/>
      <c r="S236"/>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c r="BS236" s="107"/>
      <c r="BT236" s="107"/>
      <c r="BU236" s="107"/>
      <c r="BV236" s="107"/>
      <c r="BW236" s="107"/>
      <c r="BX236" s="107"/>
      <c r="BY236" s="107"/>
      <c r="BZ236" s="107"/>
      <c r="CA236" s="107"/>
      <c r="CB236" s="107"/>
      <c r="CC236" s="107"/>
      <c r="CD236" s="107"/>
      <c r="CE236" s="107"/>
      <c r="CF236" s="107"/>
      <c r="CG236" s="107"/>
      <c r="CH236" s="107"/>
      <c r="CI236" s="107"/>
      <c r="CJ236" s="107"/>
      <c r="CK236" s="107"/>
      <c r="CL236" s="107"/>
      <c r="CM236" s="107"/>
      <c r="CN236" s="107"/>
      <c r="CO236" s="107"/>
      <c r="CP236" s="107"/>
      <c r="CQ236" s="107"/>
      <c r="CR236" s="107"/>
      <c r="CS236" s="107"/>
      <c r="CT236" s="107"/>
      <c r="CU236" s="107"/>
      <c r="CV236" s="107"/>
      <c r="CW236" s="107"/>
      <c r="CX236" s="107"/>
      <c r="CY236" s="107"/>
      <c r="CZ236" s="107"/>
      <c r="DA236" s="107"/>
      <c r="DB236" s="107"/>
      <c r="DC236" s="107"/>
      <c r="DD236" s="107"/>
      <c r="DE236" s="107"/>
      <c r="DF236" s="107"/>
      <c r="DG236" s="107"/>
      <c r="DH236" s="107"/>
    </row>
    <row r="237" spans="7:112" ht="14.1" customHeight="1" x14ac:dyDescent="0.3">
      <c r="G237" s="106"/>
      <c r="H237" s="166"/>
      <c r="I237" s="3">
        <v>0.32</v>
      </c>
      <c r="J237" s="170"/>
      <c r="K237" s="171">
        <f>K236+1</f>
        <v>2</v>
      </c>
      <c r="L237" s="172">
        <f t="shared" si="16"/>
        <v>1</v>
      </c>
      <c r="M237" s="172">
        <f t="shared" si="16"/>
        <v>1</v>
      </c>
      <c r="N237" s="172">
        <f t="shared" si="16"/>
        <v>1</v>
      </c>
      <c r="O237" s="172">
        <f t="shared" si="16"/>
        <v>1</v>
      </c>
      <c r="P237"/>
      <c r="Q237"/>
      <c r="R237"/>
      <c r="S23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c r="BS237" s="107"/>
      <c r="BT237" s="107"/>
      <c r="BU237" s="107"/>
      <c r="BV237" s="107"/>
      <c r="BW237" s="107"/>
      <c r="BX237" s="107"/>
      <c r="BY237" s="107"/>
      <c r="BZ237" s="107"/>
      <c r="CA237" s="107"/>
      <c r="CB237" s="107"/>
      <c r="CC237" s="107"/>
      <c r="CD237" s="107"/>
      <c r="CE237" s="107"/>
      <c r="CF237" s="107"/>
      <c r="CG237" s="107"/>
      <c r="CH237" s="107"/>
      <c r="CI237" s="107"/>
      <c r="CJ237" s="107"/>
      <c r="CK237" s="107"/>
      <c r="CL237" s="107"/>
      <c r="CM237" s="107"/>
      <c r="CN237" s="107"/>
      <c r="CO237" s="107"/>
      <c r="CP237" s="107"/>
      <c r="CQ237" s="107"/>
      <c r="CR237" s="107"/>
      <c r="CS237" s="107"/>
      <c r="CT237" s="107"/>
      <c r="CU237" s="107"/>
      <c r="CV237" s="107"/>
      <c r="CW237" s="107"/>
      <c r="CX237" s="107"/>
      <c r="CY237" s="107"/>
      <c r="CZ237" s="107"/>
      <c r="DA237" s="107"/>
      <c r="DB237" s="107"/>
      <c r="DC237" s="107"/>
      <c r="DD237" s="107"/>
      <c r="DE237" s="107"/>
      <c r="DF237" s="107"/>
      <c r="DG237" s="107"/>
      <c r="DH237" s="107"/>
    </row>
    <row r="238" spans="7:112" ht="14.1" customHeight="1" x14ac:dyDescent="0.3">
      <c r="G238" s="106"/>
      <c r="H238" s="166"/>
      <c r="I238" s="3">
        <v>0.192</v>
      </c>
      <c r="J238" s="170"/>
      <c r="K238" s="171">
        <f>K237+1</f>
        <v>3</v>
      </c>
      <c r="L238" s="172">
        <f t="shared" si="16"/>
        <v>1</v>
      </c>
      <c r="M238" s="172">
        <f t="shared" si="16"/>
        <v>1</v>
      </c>
      <c r="N238" s="172">
        <f t="shared" si="16"/>
        <v>1</v>
      </c>
      <c r="O238" s="172">
        <f t="shared" si="16"/>
        <v>1</v>
      </c>
      <c r="P238"/>
      <c r="Q238"/>
      <c r="R238"/>
      <c r="S238"/>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c r="BS238" s="107"/>
      <c r="BT238" s="107"/>
      <c r="BU238" s="107"/>
      <c r="BV238" s="107"/>
      <c r="BW238" s="107"/>
      <c r="BX238" s="107"/>
      <c r="BY238" s="107"/>
      <c r="BZ238" s="107"/>
      <c r="CA238" s="107"/>
      <c r="CB238" s="107"/>
      <c r="CC238" s="107"/>
      <c r="CD238" s="107"/>
      <c r="CE238" s="107"/>
      <c r="CF238" s="107"/>
      <c r="CG238" s="107"/>
      <c r="CH238" s="107"/>
      <c r="CI238" s="107"/>
      <c r="CJ238" s="107"/>
      <c r="CK238" s="107"/>
      <c r="CL238" s="107"/>
      <c r="CM238" s="107"/>
      <c r="CN238" s="107"/>
      <c r="CO238" s="107"/>
      <c r="CP238" s="107"/>
      <c r="CQ238" s="107"/>
      <c r="CR238" s="107"/>
      <c r="CS238" s="107"/>
      <c r="CT238" s="107"/>
      <c r="CU238" s="107"/>
      <c r="CV238" s="107"/>
      <c r="CW238" s="107"/>
      <c r="CX238" s="107"/>
      <c r="CY238" s="107"/>
      <c r="CZ238" s="107"/>
      <c r="DA238" s="107"/>
      <c r="DB238" s="107"/>
      <c r="DC238" s="107"/>
      <c r="DD238" s="107"/>
      <c r="DE238" s="107"/>
      <c r="DF238" s="107"/>
      <c r="DG238" s="107"/>
      <c r="DH238" s="107"/>
    </row>
    <row r="239" spans="7:112" ht="14.1" customHeight="1" x14ac:dyDescent="0.3">
      <c r="G239" s="106"/>
      <c r="H239" s="166"/>
      <c r="I239" s="3">
        <v>0.1152</v>
      </c>
      <c r="J239" s="170"/>
      <c r="K239" s="171">
        <f>K238+1</f>
        <v>4</v>
      </c>
      <c r="L239" s="172">
        <f t="shared" si="16"/>
        <v>1</v>
      </c>
      <c r="M239" s="172">
        <f t="shared" si="16"/>
        <v>1</v>
      </c>
      <c r="N239" s="172">
        <f t="shared" si="16"/>
        <v>1</v>
      </c>
      <c r="O239" s="172">
        <f t="shared" si="16"/>
        <v>1</v>
      </c>
      <c r="P239"/>
      <c r="Q239"/>
      <c r="R239"/>
      <c r="S239"/>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c r="BS239" s="107"/>
      <c r="BT239" s="107"/>
      <c r="BU239" s="107"/>
      <c r="BV239" s="107"/>
      <c r="BW239" s="107"/>
      <c r="BX239" s="107"/>
      <c r="BY239" s="107"/>
      <c r="BZ239" s="107"/>
      <c r="CA239" s="107"/>
      <c r="CB239" s="107"/>
      <c r="CC239" s="107"/>
      <c r="CD239" s="107"/>
      <c r="CE239" s="107"/>
      <c r="CF239" s="107"/>
      <c r="CG239" s="107"/>
      <c r="CH239" s="107"/>
      <c r="CI239" s="107"/>
      <c r="CJ239" s="107"/>
      <c r="CK239" s="107"/>
      <c r="CL239" s="107"/>
      <c r="CM239" s="107"/>
      <c r="CN239" s="107"/>
      <c r="CO239" s="107"/>
      <c r="CP239" s="107"/>
      <c r="CQ239" s="107"/>
      <c r="CR239" s="107"/>
      <c r="CS239" s="107"/>
      <c r="CT239" s="107"/>
      <c r="CU239" s="107"/>
      <c r="CV239" s="107"/>
      <c r="CW239" s="107"/>
      <c r="CX239" s="107"/>
      <c r="CY239" s="107"/>
      <c r="CZ239" s="107"/>
      <c r="DA239" s="107"/>
      <c r="DB239" s="107"/>
      <c r="DC239" s="107"/>
      <c r="DD239" s="107"/>
      <c r="DE239" s="107"/>
      <c r="DF239" s="107"/>
      <c r="DG239" s="107"/>
      <c r="DH239" s="107"/>
    </row>
    <row r="240" spans="7:112" ht="14.1" customHeight="1" x14ac:dyDescent="0.3">
      <c r="G240" s="106"/>
      <c r="H240" s="166"/>
      <c r="I240" s="3">
        <v>0.1152</v>
      </c>
      <c r="J240" s="170"/>
      <c r="K240" s="171">
        <f>K239+1</f>
        <v>5</v>
      </c>
      <c r="L240" s="172">
        <f t="shared" si="16"/>
        <v>1</v>
      </c>
      <c r="M240" s="172">
        <f t="shared" si="16"/>
        <v>1</v>
      </c>
      <c r="N240" s="172">
        <f t="shared" si="16"/>
        <v>1</v>
      </c>
      <c r="O240" s="172">
        <f t="shared" si="16"/>
        <v>1</v>
      </c>
      <c r="P240"/>
      <c r="Q240"/>
      <c r="R240"/>
      <c r="S240"/>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c r="BS240" s="107"/>
      <c r="BT240" s="107"/>
      <c r="BU240" s="107"/>
      <c r="BV240" s="107"/>
      <c r="BW240" s="107"/>
      <c r="BX240" s="107"/>
      <c r="BY240" s="107"/>
      <c r="BZ240" s="107"/>
      <c r="CA240" s="107"/>
      <c r="CB240" s="107"/>
      <c r="CC240" s="107"/>
      <c r="CD240" s="107"/>
      <c r="CE240" s="107"/>
      <c r="CF240" s="107"/>
      <c r="CG240" s="107"/>
      <c r="CH240" s="107"/>
      <c r="CI240" s="107"/>
      <c r="CJ240" s="107"/>
      <c r="CK240" s="107"/>
      <c r="CL240" s="107"/>
      <c r="CM240" s="107"/>
      <c r="CN240" s="107"/>
      <c r="CO240" s="107"/>
      <c r="CP240" s="107"/>
      <c r="CQ240" s="107"/>
      <c r="CR240" s="107"/>
      <c r="CS240" s="107"/>
      <c r="CT240" s="107"/>
      <c r="CU240" s="107"/>
      <c r="CV240" s="107"/>
      <c r="CW240" s="107"/>
      <c r="CX240" s="107"/>
      <c r="CY240" s="107"/>
      <c r="CZ240" s="107"/>
      <c r="DA240" s="107"/>
      <c r="DB240" s="107"/>
      <c r="DC240" s="107"/>
      <c r="DD240" s="107"/>
      <c r="DE240" s="107"/>
      <c r="DF240" s="107"/>
      <c r="DG240" s="107"/>
      <c r="DH240" s="107"/>
    </row>
    <row r="241" spans="7:112" ht="14.1" customHeight="1" x14ac:dyDescent="0.3">
      <c r="G241" s="106"/>
      <c r="H241" s="166"/>
      <c r="I241" s="3">
        <v>5.7599999999999998E-2</v>
      </c>
      <c r="J241" s="170"/>
      <c r="K241" s="171">
        <f>K240+1</f>
        <v>6</v>
      </c>
      <c r="L241" s="172">
        <f t="shared" si="16"/>
        <v>1</v>
      </c>
      <c r="M241" s="172">
        <f t="shared" si="16"/>
        <v>1</v>
      </c>
      <c r="N241" s="172">
        <f t="shared" si="16"/>
        <v>1</v>
      </c>
      <c r="O241" s="172">
        <f t="shared" si="16"/>
        <v>1</v>
      </c>
      <c r="P241"/>
      <c r="Q241"/>
      <c r="R241"/>
      <c r="S241"/>
      <c r="U241" s="107"/>
      <c r="V241" s="107"/>
      <c r="W241" s="107"/>
      <c r="X241" s="107"/>
      <c r="Y241" s="107"/>
      <c r="Z241" s="107"/>
      <c r="AA241" s="107"/>
      <c r="AB241" s="107"/>
      <c r="AC241" s="107"/>
      <c r="AD241" s="107"/>
      <c r="AE241" s="107"/>
      <c r="AF241" s="107"/>
      <c r="AG241" s="107"/>
      <c r="AH241" s="107"/>
      <c r="AI241" s="107"/>
      <c r="AJ241" s="107"/>
      <c r="AK241" s="107"/>
      <c r="AL241" s="107"/>
      <c r="AM241" s="107"/>
      <c r="AN241" s="107"/>
      <c r="AO241" s="107"/>
      <c r="AP241" s="107"/>
      <c r="AQ241" s="107"/>
      <c r="AR241" s="107"/>
      <c r="AS241" s="107"/>
      <c r="AT241" s="107"/>
      <c r="AU241" s="107"/>
      <c r="AV241" s="107"/>
      <c r="AW241" s="107"/>
      <c r="AX241" s="107"/>
      <c r="AY241" s="107"/>
      <c r="AZ241" s="107"/>
      <c r="BA241" s="107"/>
      <c r="BB241" s="107"/>
      <c r="BC241" s="107"/>
      <c r="BD241" s="107"/>
      <c r="BE241" s="107"/>
      <c r="BF241" s="107"/>
      <c r="BG241" s="107"/>
      <c r="BH241" s="107"/>
      <c r="BI241" s="107"/>
      <c r="BJ241" s="107"/>
      <c r="BK241" s="107"/>
      <c r="BL241" s="107"/>
      <c r="BM241" s="107"/>
      <c r="BN241" s="107"/>
      <c r="BO241" s="107"/>
      <c r="BP241" s="107"/>
      <c r="BQ241" s="107"/>
      <c r="BR241" s="107"/>
      <c r="BS241" s="107"/>
      <c r="BT241" s="107"/>
      <c r="BU241" s="107"/>
      <c r="BV241" s="107"/>
      <c r="BW241" s="107"/>
      <c r="BX241" s="107"/>
      <c r="BY241" s="107"/>
      <c r="BZ241" s="107"/>
      <c r="CA241" s="107"/>
      <c r="CB241" s="107"/>
      <c r="CC241" s="107"/>
      <c r="CD241" s="107"/>
      <c r="CE241" s="107"/>
      <c r="CF241" s="107"/>
      <c r="CG241" s="107"/>
      <c r="CH241" s="107"/>
      <c r="CI241" s="107"/>
      <c r="CJ241" s="107"/>
      <c r="CK241" s="107"/>
      <c r="CL241" s="107"/>
      <c r="CM241" s="107"/>
      <c r="CN241" s="107"/>
      <c r="CO241" s="107"/>
      <c r="CP241" s="107"/>
      <c r="CQ241" s="107"/>
      <c r="CR241" s="107"/>
      <c r="CS241" s="107"/>
      <c r="CT241" s="107"/>
      <c r="CU241" s="107"/>
      <c r="CV241" s="107"/>
      <c r="CW241" s="107"/>
      <c r="CX241" s="107"/>
      <c r="CY241" s="107"/>
      <c r="CZ241" s="107"/>
      <c r="DA241" s="107"/>
      <c r="DB241" s="107"/>
      <c r="DC241" s="107"/>
      <c r="DD241" s="107"/>
      <c r="DE241" s="107"/>
      <c r="DF241" s="107"/>
      <c r="DG241" s="107"/>
      <c r="DH241" s="107"/>
    </row>
    <row r="242" spans="7:112" ht="14.1" customHeight="1" x14ac:dyDescent="0.3">
      <c r="G242" s="106"/>
      <c r="H242" s="166"/>
      <c r="J242" s="170"/>
      <c r="K242" s="169" t="s">
        <v>163</v>
      </c>
      <c r="L242" s="107" t="s">
        <v>365</v>
      </c>
      <c r="M242" s="107" t="s">
        <v>366</v>
      </c>
      <c r="N242" s="107" t="s">
        <v>367</v>
      </c>
      <c r="O242" s="107" t="s">
        <v>368</v>
      </c>
      <c r="P242"/>
      <c r="Q242"/>
      <c r="R242"/>
      <c r="S242"/>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c r="BS242" s="107"/>
      <c r="BT242" s="107"/>
      <c r="BU242" s="107"/>
      <c r="BV242" s="107"/>
      <c r="BW242" s="107"/>
      <c r="BX242" s="107"/>
      <c r="BY242" s="107"/>
      <c r="BZ242" s="107"/>
      <c r="CA242" s="107"/>
      <c r="CB242" s="107"/>
      <c r="CC242" s="107"/>
      <c r="CD242" s="107"/>
      <c r="CE242" s="107"/>
      <c r="CF242" s="107"/>
      <c r="CG242" s="107"/>
      <c r="CH242" s="107"/>
      <c r="CI242" s="107"/>
      <c r="CJ242" s="107"/>
      <c r="CK242" s="107"/>
      <c r="CL242" s="107"/>
      <c r="CM242" s="107"/>
      <c r="CN242" s="107"/>
      <c r="CO242" s="107"/>
      <c r="CP242" s="107"/>
      <c r="CQ242" s="107"/>
      <c r="CR242" s="107"/>
      <c r="CS242" s="107"/>
      <c r="CT242" s="107"/>
      <c r="CU242" s="107"/>
      <c r="CV242" s="107"/>
      <c r="CW242" s="107"/>
      <c r="CX242" s="107"/>
      <c r="CY242" s="107"/>
      <c r="CZ242" s="107"/>
      <c r="DA242" s="107"/>
      <c r="DB242" s="107"/>
      <c r="DC242" s="107"/>
      <c r="DD242" s="107"/>
      <c r="DE242" s="107"/>
      <c r="DF242" s="107"/>
      <c r="DG242" s="107"/>
      <c r="DH242" s="107"/>
    </row>
    <row r="243" spans="7:112" ht="14.1" customHeight="1" x14ac:dyDescent="0.3">
      <c r="G243" s="106"/>
      <c r="H243" s="166"/>
      <c r="J243" s="170"/>
      <c r="K243" s="171">
        <v>1</v>
      </c>
      <c r="L243" s="172">
        <f t="shared" ref="L243:O248" si="17">1/((1+P$80)*(1+P$58))^$K243</f>
        <v>1</v>
      </c>
      <c r="M243" s="172">
        <f t="shared" si="17"/>
        <v>1</v>
      </c>
      <c r="N243" s="172">
        <f t="shared" si="17"/>
        <v>1</v>
      </c>
      <c r="O243" s="172">
        <f t="shared" si="17"/>
        <v>1</v>
      </c>
      <c r="P243"/>
      <c r="Q243"/>
      <c r="R243"/>
      <c r="S243"/>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c r="BS243" s="107"/>
      <c r="BT243" s="107"/>
      <c r="BU243" s="107"/>
      <c r="BV243" s="107"/>
      <c r="BW243" s="107"/>
      <c r="BX243" s="107"/>
      <c r="BY243" s="107"/>
      <c r="BZ243" s="107"/>
      <c r="CA243" s="107"/>
      <c r="CB243" s="107"/>
      <c r="CC243" s="107"/>
      <c r="CD243" s="107"/>
      <c r="CE243" s="107"/>
      <c r="CF243" s="107"/>
      <c r="CG243" s="107"/>
      <c r="CH243" s="107"/>
      <c r="CI243" s="107"/>
      <c r="CJ243" s="107"/>
      <c r="CK243" s="107"/>
      <c r="CL243" s="107"/>
      <c r="CM243" s="107"/>
      <c r="CN243" s="107"/>
      <c r="CO243" s="107"/>
      <c r="CP243" s="107"/>
      <c r="CQ243" s="107"/>
      <c r="CR243" s="107"/>
      <c r="CS243" s="107"/>
      <c r="CT243" s="107"/>
      <c r="CU243" s="107"/>
      <c r="CV243" s="107"/>
      <c r="CW243" s="107"/>
      <c r="CX243" s="107"/>
      <c r="CY243" s="107"/>
      <c r="CZ243" s="107"/>
      <c r="DA243" s="107"/>
      <c r="DB243" s="107"/>
      <c r="DC243" s="107"/>
      <c r="DD243" s="107"/>
      <c r="DE243" s="107"/>
      <c r="DF243" s="107"/>
      <c r="DG243" s="107"/>
      <c r="DH243" s="107"/>
    </row>
    <row r="244" spans="7:112" ht="14.1" customHeight="1" x14ac:dyDescent="0.3">
      <c r="G244" s="106"/>
      <c r="H244" s="166"/>
      <c r="J244" s="170"/>
      <c r="K244" s="171">
        <v>2</v>
      </c>
      <c r="L244" s="172">
        <f t="shared" si="17"/>
        <v>1</v>
      </c>
      <c r="M244" s="172">
        <f t="shared" si="17"/>
        <v>1</v>
      </c>
      <c r="N244" s="172">
        <f t="shared" si="17"/>
        <v>1</v>
      </c>
      <c r="O244" s="172">
        <f t="shared" si="17"/>
        <v>1</v>
      </c>
      <c r="P244"/>
      <c r="Q244"/>
      <c r="R244"/>
      <c r="S244"/>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c r="BS244" s="107"/>
      <c r="BT244" s="107"/>
      <c r="BU244" s="107"/>
      <c r="BV244" s="107"/>
      <c r="BW244" s="107"/>
      <c r="BX244" s="107"/>
      <c r="BY244" s="107"/>
      <c r="BZ244" s="107"/>
      <c r="CA244" s="107"/>
      <c r="CB244" s="107"/>
      <c r="CC244" s="107"/>
      <c r="CD244" s="107"/>
      <c r="CE244" s="107"/>
      <c r="CF244" s="107"/>
      <c r="CG244" s="107"/>
      <c r="CH244" s="107"/>
      <c r="CI244" s="107"/>
      <c r="CJ244" s="107"/>
      <c r="CK244" s="107"/>
      <c r="CL244" s="107"/>
      <c r="CM244" s="107"/>
      <c r="CN244" s="107"/>
      <c r="CO244" s="107"/>
      <c r="CP244" s="107"/>
      <c r="CQ244" s="107"/>
      <c r="CR244" s="107"/>
      <c r="CS244" s="107"/>
      <c r="CT244" s="107"/>
      <c r="CU244" s="107"/>
      <c r="CV244" s="107"/>
      <c r="CW244" s="107"/>
      <c r="CX244" s="107"/>
      <c r="CY244" s="107"/>
      <c r="CZ244" s="107"/>
      <c r="DA244" s="107"/>
      <c r="DB244" s="107"/>
      <c r="DC244" s="107"/>
      <c r="DD244" s="107"/>
      <c r="DE244" s="107"/>
      <c r="DF244" s="107"/>
      <c r="DG244" s="107"/>
      <c r="DH244" s="107"/>
    </row>
    <row r="245" spans="7:112" ht="14.1" customHeight="1" x14ac:dyDescent="0.3">
      <c r="G245" s="106"/>
      <c r="H245" s="166"/>
      <c r="J245" s="170"/>
      <c r="K245" s="171">
        <v>3</v>
      </c>
      <c r="L245" s="172">
        <f t="shared" si="17"/>
        <v>1</v>
      </c>
      <c r="M245" s="172">
        <f t="shared" si="17"/>
        <v>1</v>
      </c>
      <c r="N245" s="172">
        <f t="shared" si="17"/>
        <v>1</v>
      </c>
      <c r="O245" s="172">
        <f t="shared" si="17"/>
        <v>1</v>
      </c>
      <c r="P245"/>
      <c r="Q245"/>
      <c r="R245"/>
      <c r="S245"/>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c r="BS245" s="107"/>
      <c r="BT245" s="107"/>
      <c r="BU245" s="107"/>
      <c r="BV245" s="107"/>
      <c r="BW245" s="107"/>
      <c r="BX245" s="107"/>
      <c r="BY245" s="107"/>
      <c r="BZ245" s="107"/>
      <c r="CA245" s="107"/>
      <c r="CB245" s="107"/>
      <c r="CC245" s="107"/>
      <c r="CD245" s="107"/>
      <c r="CE245" s="107"/>
      <c r="CF245" s="107"/>
      <c r="CG245" s="107"/>
      <c r="CH245" s="107"/>
      <c r="CI245" s="107"/>
      <c r="CJ245" s="107"/>
      <c r="CK245" s="107"/>
      <c r="CL245" s="107"/>
      <c r="CM245" s="107"/>
      <c r="CN245" s="107"/>
      <c r="CO245" s="107"/>
      <c r="CP245" s="107"/>
      <c r="CQ245" s="107"/>
      <c r="CR245" s="107"/>
      <c r="CS245" s="107"/>
      <c r="CT245" s="107"/>
      <c r="CU245" s="107"/>
      <c r="CV245" s="107"/>
      <c r="CW245" s="107"/>
      <c r="CX245" s="107"/>
      <c r="CY245" s="107"/>
      <c r="CZ245" s="107"/>
      <c r="DA245" s="107"/>
      <c r="DB245" s="107"/>
      <c r="DC245" s="107"/>
      <c r="DD245" s="107"/>
      <c r="DE245" s="107"/>
      <c r="DF245" s="107"/>
      <c r="DG245" s="107"/>
      <c r="DH245" s="107"/>
    </row>
    <row r="246" spans="7:112" ht="14.1" customHeight="1" x14ac:dyDescent="0.3">
      <c r="G246" s="106"/>
      <c r="H246" s="166"/>
      <c r="J246" s="170"/>
      <c r="K246" s="171">
        <v>4</v>
      </c>
      <c r="L246" s="172">
        <f t="shared" si="17"/>
        <v>1</v>
      </c>
      <c r="M246" s="172">
        <f t="shared" si="17"/>
        <v>1</v>
      </c>
      <c r="N246" s="172">
        <f t="shared" si="17"/>
        <v>1</v>
      </c>
      <c r="O246" s="172">
        <f t="shared" si="17"/>
        <v>1</v>
      </c>
      <c r="P246"/>
      <c r="Q246"/>
      <c r="R246"/>
      <c r="S246"/>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c r="BS246" s="107"/>
      <c r="BT246" s="107"/>
      <c r="BU246" s="107"/>
      <c r="BV246" s="107"/>
      <c r="BW246" s="107"/>
      <c r="BX246" s="107"/>
      <c r="BY246" s="107"/>
      <c r="BZ246" s="107"/>
      <c r="CA246" s="107"/>
      <c r="CB246" s="107"/>
      <c r="CC246" s="107"/>
      <c r="CD246" s="107"/>
      <c r="CE246" s="107"/>
      <c r="CF246" s="107"/>
      <c r="CG246" s="107"/>
      <c r="CH246" s="107"/>
      <c r="CI246" s="107"/>
      <c r="CJ246" s="107"/>
      <c r="CK246" s="107"/>
      <c r="CL246" s="107"/>
      <c r="CM246" s="107"/>
      <c r="CN246" s="107"/>
      <c r="CO246" s="107"/>
      <c r="CP246" s="107"/>
      <c r="CQ246" s="107"/>
      <c r="CR246" s="107"/>
      <c r="CS246" s="107"/>
      <c r="CT246" s="107"/>
      <c r="CU246" s="107"/>
      <c r="CV246" s="107"/>
      <c r="CW246" s="107"/>
      <c r="CX246" s="107"/>
      <c r="CY246" s="107"/>
      <c r="CZ246" s="107"/>
      <c r="DA246" s="107"/>
      <c r="DB246" s="107"/>
      <c r="DC246" s="107"/>
      <c r="DD246" s="107"/>
      <c r="DE246" s="107"/>
      <c r="DF246" s="107"/>
      <c r="DG246" s="107"/>
      <c r="DH246" s="107"/>
    </row>
    <row r="247" spans="7:112" ht="14.1" customHeight="1" x14ac:dyDescent="0.3">
      <c r="G247" s="106"/>
      <c r="H247" s="166"/>
      <c r="J247" s="170"/>
      <c r="K247" s="171">
        <v>5</v>
      </c>
      <c r="L247" s="172">
        <f t="shared" si="17"/>
        <v>1</v>
      </c>
      <c r="M247" s="172">
        <f t="shared" si="17"/>
        <v>1</v>
      </c>
      <c r="N247" s="172">
        <f t="shared" si="17"/>
        <v>1</v>
      </c>
      <c r="O247" s="172">
        <f t="shared" si="17"/>
        <v>1</v>
      </c>
      <c r="P247"/>
      <c r="Q247"/>
      <c r="R247"/>
      <c r="S24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c r="BS247" s="107"/>
      <c r="BT247" s="107"/>
      <c r="BU247" s="107"/>
      <c r="BV247" s="107"/>
      <c r="BW247" s="107"/>
      <c r="BX247" s="107"/>
      <c r="BY247" s="107"/>
      <c r="BZ247" s="107"/>
      <c r="CA247" s="107"/>
      <c r="CB247" s="107"/>
      <c r="CC247" s="107"/>
      <c r="CD247" s="107"/>
      <c r="CE247" s="107"/>
      <c r="CF247" s="107"/>
      <c r="CG247" s="107"/>
      <c r="CH247" s="107"/>
      <c r="CI247" s="107"/>
      <c r="CJ247" s="107"/>
      <c r="CK247" s="107"/>
      <c r="CL247" s="107"/>
      <c r="CM247" s="107"/>
      <c r="CN247" s="107"/>
      <c r="CO247" s="107"/>
      <c r="CP247" s="107"/>
      <c r="CQ247" s="107"/>
      <c r="CR247" s="107"/>
      <c r="CS247" s="107"/>
      <c r="CT247" s="107"/>
      <c r="CU247" s="107"/>
      <c r="CV247" s="107"/>
      <c r="CW247" s="107"/>
      <c r="CX247" s="107"/>
      <c r="CY247" s="107"/>
      <c r="CZ247" s="107"/>
      <c r="DA247" s="107"/>
      <c r="DB247" s="107"/>
      <c r="DC247" s="107"/>
      <c r="DD247" s="107"/>
      <c r="DE247" s="107"/>
      <c r="DF247" s="107"/>
      <c r="DG247" s="107"/>
      <c r="DH247" s="107"/>
    </row>
    <row r="248" spans="7:112" ht="14.1" customHeight="1" x14ac:dyDescent="0.3">
      <c r="G248" s="106"/>
      <c r="H248" s="166"/>
      <c r="J248" s="170"/>
      <c r="K248" s="171">
        <v>6</v>
      </c>
      <c r="L248" s="172">
        <f t="shared" si="17"/>
        <v>1</v>
      </c>
      <c r="M248" s="172">
        <f t="shared" si="17"/>
        <v>1</v>
      </c>
      <c r="N248" s="172">
        <f t="shared" si="17"/>
        <v>1</v>
      </c>
      <c r="O248" s="172">
        <f t="shared" si="17"/>
        <v>1</v>
      </c>
      <c r="P248"/>
      <c r="Q248"/>
      <c r="R248"/>
      <c r="S248"/>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c r="BS248" s="107"/>
      <c r="BT248" s="107"/>
      <c r="BU248" s="107"/>
      <c r="BV248" s="107"/>
      <c r="BW248" s="107"/>
      <c r="BX248" s="107"/>
      <c r="BY248" s="107"/>
      <c r="BZ248" s="107"/>
      <c r="CA248" s="107"/>
      <c r="CB248" s="107"/>
      <c r="CC248" s="107"/>
      <c r="CD248" s="107"/>
      <c r="CE248" s="107"/>
      <c r="CF248" s="107"/>
      <c r="CG248" s="107"/>
      <c r="CH248" s="107"/>
      <c r="CI248" s="107"/>
      <c r="CJ248" s="107"/>
      <c r="CK248" s="107"/>
      <c r="CL248" s="107"/>
      <c r="CM248" s="107"/>
      <c r="CN248" s="107"/>
      <c r="CO248" s="107"/>
      <c r="CP248" s="107"/>
      <c r="CQ248" s="107"/>
      <c r="CR248" s="107"/>
      <c r="CS248" s="107"/>
      <c r="CT248" s="107"/>
      <c r="CU248" s="107"/>
      <c r="CV248" s="107"/>
      <c r="CW248" s="107"/>
      <c r="CX248" s="107"/>
      <c r="CY248" s="107"/>
      <c r="CZ248" s="107"/>
      <c r="DA248" s="107"/>
      <c r="DB248" s="107"/>
      <c r="DC248" s="107"/>
      <c r="DD248" s="107"/>
      <c r="DE248" s="107"/>
      <c r="DF248" s="107"/>
      <c r="DG248" s="107"/>
      <c r="DH248" s="107"/>
    </row>
    <row r="249" spans="7:112" ht="14.1" customHeight="1" x14ac:dyDescent="0.3">
      <c r="G249" s="106"/>
      <c r="H249" s="166"/>
      <c r="J249" s="170"/>
      <c r="K249" s="171" t="s">
        <v>164</v>
      </c>
      <c r="L249" s="107" t="s">
        <v>365</v>
      </c>
      <c r="M249" s="107" t="s">
        <v>366</v>
      </c>
      <c r="N249" s="107" t="s">
        <v>367</v>
      </c>
      <c r="O249" s="107" t="s">
        <v>368</v>
      </c>
      <c r="P249"/>
      <c r="Q249"/>
      <c r="R249"/>
      <c r="S249"/>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c r="BS249" s="107"/>
      <c r="BT249" s="107"/>
      <c r="BU249" s="107"/>
      <c r="BV249" s="107"/>
      <c r="BW249" s="107"/>
      <c r="BX249" s="107"/>
      <c r="BY249" s="107"/>
      <c r="BZ249" s="107"/>
      <c r="CA249" s="107"/>
      <c r="CB249" s="107"/>
      <c r="CC249" s="107"/>
      <c r="CD249" s="107"/>
      <c r="CE249" s="107"/>
      <c r="CF249" s="107"/>
      <c r="CG249" s="107"/>
      <c r="CH249" s="107"/>
      <c r="CI249" s="107"/>
      <c r="CJ249" s="107"/>
      <c r="CK249" s="107"/>
      <c r="CL249" s="107"/>
      <c r="CM249" s="107"/>
      <c r="CN249" s="107"/>
      <c r="CO249" s="107"/>
      <c r="CP249" s="107"/>
      <c r="CQ249" s="107"/>
      <c r="CR249" s="107"/>
      <c r="CS249" s="107"/>
      <c r="CT249" s="107"/>
      <c r="CU249" s="107"/>
      <c r="CV249" s="107"/>
      <c r="CW249" s="107"/>
      <c r="CX249" s="107"/>
      <c r="CY249" s="107"/>
      <c r="CZ249" s="107"/>
      <c r="DA249" s="107"/>
      <c r="DB249" s="107"/>
      <c r="DC249" s="107"/>
      <c r="DD249" s="107"/>
      <c r="DE249" s="107"/>
      <c r="DF249" s="107"/>
      <c r="DG249" s="107"/>
      <c r="DH249" s="107"/>
    </row>
    <row r="250" spans="7:112" ht="14.1" customHeight="1" x14ac:dyDescent="0.3">
      <c r="G250" s="106"/>
      <c r="H250" s="166"/>
      <c r="J250" s="170"/>
      <c r="K250" s="171">
        <v>1</v>
      </c>
      <c r="L250" s="172">
        <f t="shared" ref="L250:O255" si="18">1/((1+P$81)*(1+P$58))^$K250</f>
        <v>1</v>
      </c>
      <c r="M250" s="172">
        <f t="shared" si="18"/>
        <v>1</v>
      </c>
      <c r="N250" s="172">
        <f t="shared" si="18"/>
        <v>1</v>
      </c>
      <c r="O250" s="172">
        <f t="shared" si="18"/>
        <v>1</v>
      </c>
      <c r="P250"/>
      <c r="Q250"/>
      <c r="R250"/>
      <c r="S250"/>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c r="BS250" s="107"/>
      <c r="BT250" s="107"/>
      <c r="BU250" s="107"/>
      <c r="BV250" s="107"/>
      <c r="BW250" s="107"/>
      <c r="BX250" s="107"/>
      <c r="BY250" s="107"/>
      <c r="BZ250" s="107"/>
      <c r="CA250" s="107"/>
      <c r="CB250" s="107"/>
      <c r="CC250" s="107"/>
      <c r="CD250" s="107"/>
      <c r="CE250" s="107"/>
      <c r="CF250" s="107"/>
      <c r="CG250" s="107"/>
      <c r="CH250" s="107"/>
      <c r="CI250" s="107"/>
      <c r="CJ250" s="107"/>
      <c r="CK250" s="107"/>
      <c r="CL250" s="107"/>
      <c r="CM250" s="107"/>
      <c r="CN250" s="107"/>
      <c r="CO250" s="107"/>
      <c r="CP250" s="107"/>
      <c r="CQ250" s="107"/>
      <c r="CR250" s="107"/>
      <c r="CS250" s="107"/>
      <c r="CT250" s="107"/>
      <c r="CU250" s="107"/>
      <c r="CV250" s="107"/>
      <c r="CW250" s="107"/>
      <c r="CX250" s="107"/>
      <c r="CY250" s="107"/>
      <c r="CZ250" s="107"/>
      <c r="DA250" s="107"/>
      <c r="DB250" s="107"/>
      <c r="DC250" s="107"/>
      <c r="DD250" s="107"/>
      <c r="DE250" s="107"/>
      <c r="DF250" s="107"/>
      <c r="DG250" s="107"/>
      <c r="DH250" s="107"/>
    </row>
    <row r="251" spans="7:112" ht="14.1" customHeight="1" x14ac:dyDescent="0.3">
      <c r="G251" s="106"/>
      <c r="H251" s="166"/>
      <c r="J251" s="170"/>
      <c r="K251" s="171">
        <v>2</v>
      </c>
      <c r="L251" s="172">
        <f t="shared" si="18"/>
        <v>1</v>
      </c>
      <c r="M251" s="172">
        <f t="shared" si="18"/>
        <v>1</v>
      </c>
      <c r="N251" s="172">
        <f t="shared" si="18"/>
        <v>1</v>
      </c>
      <c r="O251" s="172">
        <f t="shared" si="18"/>
        <v>1</v>
      </c>
      <c r="P251"/>
      <c r="Q251"/>
      <c r="R251"/>
      <c r="S251"/>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c r="BS251" s="107"/>
      <c r="BT251" s="107"/>
      <c r="BU251" s="107"/>
      <c r="BV251" s="107"/>
      <c r="BW251" s="107"/>
      <c r="BX251" s="107"/>
      <c r="BY251" s="107"/>
      <c r="BZ251" s="107"/>
      <c r="CA251" s="107"/>
      <c r="CB251" s="107"/>
      <c r="CC251" s="107"/>
      <c r="CD251" s="107"/>
      <c r="CE251" s="107"/>
      <c r="CF251" s="107"/>
      <c r="CG251" s="107"/>
      <c r="CH251" s="107"/>
      <c r="CI251" s="107"/>
      <c r="CJ251" s="107"/>
      <c r="CK251" s="107"/>
      <c r="CL251" s="107"/>
      <c r="CM251" s="107"/>
      <c r="CN251" s="107"/>
      <c r="CO251" s="107"/>
      <c r="CP251" s="107"/>
      <c r="CQ251" s="107"/>
      <c r="CR251" s="107"/>
      <c r="CS251" s="107"/>
      <c r="CT251" s="107"/>
      <c r="CU251" s="107"/>
      <c r="CV251" s="107"/>
      <c r="CW251" s="107"/>
      <c r="CX251" s="107"/>
      <c r="CY251" s="107"/>
      <c r="CZ251" s="107"/>
      <c r="DA251" s="107"/>
      <c r="DB251" s="107"/>
      <c r="DC251" s="107"/>
      <c r="DD251" s="107"/>
      <c r="DE251" s="107"/>
      <c r="DF251" s="107"/>
      <c r="DG251" s="107"/>
      <c r="DH251" s="107"/>
    </row>
    <row r="252" spans="7:112" ht="14.1" customHeight="1" x14ac:dyDescent="0.3">
      <c r="G252" s="106"/>
      <c r="H252" s="166"/>
      <c r="J252" s="170"/>
      <c r="K252" s="171">
        <v>3</v>
      </c>
      <c r="L252" s="172">
        <f t="shared" si="18"/>
        <v>1</v>
      </c>
      <c r="M252" s="172">
        <f t="shared" si="18"/>
        <v>1</v>
      </c>
      <c r="N252" s="172">
        <f t="shared" si="18"/>
        <v>1</v>
      </c>
      <c r="O252" s="172">
        <f t="shared" si="18"/>
        <v>1</v>
      </c>
      <c r="P252"/>
      <c r="Q252"/>
      <c r="R252"/>
      <c r="S252"/>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c r="BS252" s="107"/>
      <c r="BT252" s="107"/>
      <c r="BU252" s="107"/>
      <c r="BV252" s="107"/>
      <c r="BW252" s="107"/>
      <c r="BX252" s="107"/>
      <c r="BY252" s="107"/>
      <c r="BZ252" s="107"/>
      <c r="CA252" s="107"/>
      <c r="CB252" s="107"/>
      <c r="CC252" s="107"/>
      <c r="CD252" s="107"/>
      <c r="CE252" s="107"/>
      <c r="CF252" s="107"/>
      <c r="CG252" s="107"/>
      <c r="CH252" s="107"/>
      <c r="CI252" s="107"/>
      <c r="CJ252" s="107"/>
      <c r="CK252" s="107"/>
      <c r="CL252" s="107"/>
      <c r="CM252" s="107"/>
      <c r="CN252" s="107"/>
      <c r="CO252" s="107"/>
      <c r="CP252" s="107"/>
      <c r="CQ252" s="107"/>
      <c r="CR252" s="107"/>
      <c r="CS252" s="107"/>
      <c r="CT252" s="107"/>
      <c r="CU252" s="107"/>
      <c r="CV252" s="107"/>
      <c r="CW252" s="107"/>
      <c r="CX252" s="107"/>
      <c r="CY252" s="107"/>
      <c r="CZ252" s="107"/>
      <c r="DA252" s="107"/>
      <c r="DB252" s="107"/>
      <c r="DC252" s="107"/>
      <c r="DD252" s="107"/>
      <c r="DE252" s="107"/>
      <c r="DF252" s="107"/>
      <c r="DG252" s="107"/>
      <c r="DH252" s="107"/>
    </row>
    <row r="253" spans="7:112" ht="14.1" customHeight="1" x14ac:dyDescent="0.3">
      <c r="G253" s="106"/>
      <c r="H253" s="166"/>
      <c r="J253" s="170"/>
      <c r="K253" s="171">
        <v>4</v>
      </c>
      <c r="L253" s="172">
        <f t="shared" si="18"/>
        <v>1</v>
      </c>
      <c r="M253" s="172">
        <f t="shared" si="18"/>
        <v>1</v>
      </c>
      <c r="N253" s="172">
        <f t="shared" si="18"/>
        <v>1</v>
      </c>
      <c r="O253" s="172">
        <f t="shared" si="18"/>
        <v>1</v>
      </c>
      <c r="P253"/>
      <c r="Q253"/>
      <c r="R253"/>
      <c r="S253"/>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c r="BS253" s="107"/>
      <c r="BT253" s="107"/>
      <c r="BU253" s="107"/>
      <c r="BV253" s="107"/>
      <c r="BW253" s="107"/>
      <c r="BX253" s="107"/>
      <c r="BY253" s="107"/>
      <c r="BZ253" s="107"/>
      <c r="CA253" s="107"/>
      <c r="CB253" s="107"/>
      <c r="CC253" s="107"/>
      <c r="CD253" s="107"/>
      <c r="CE253" s="107"/>
      <c r="CF253" s="107"/>
      <c r="CG253" s="107"/>
      <c r="CH253" s="107"/>
      <c r="CI253" s="107"/>
      <c r="CJ253" s="107"/>
      <c r="CK253" s="107"/>
      <c r="CL253" s="107"/>
      <c r="CM253" s="107"/>
      <c r="CN253" s="107"/>
      <c r="CO253" s="107"/>
      <c r="CP253" s="107"/>
      <c r="CQ253" s="107"/>
      <c r="CR253" s="107"/>
      <c r="CS253" s="107"/>
      <c r="CT253" s="107"/>
      <c r="CU253" s="107"/>
      <c r="CV253" s="107"/>
      <c r="CW253" s="107"/>
      <c r="CX253" s="107"/>
      <c r="CY253" s="107"/>
      <c r="CZ253" s="107"/>
      <c r="DA253" s="107"/>
      <c r="DB253" s="107"/>
      <c r="DC253" s="107"/>
      <c r="DD253" s="107"/>
      <c r="DE253" s="107"/>
      <c r="DF253" s="107"/>
      <c r="DG253" s="107"/>
      <c r="DH253" s="107"/>
    </row>
    <row r="254" spans="7:112" ht="14.1" customHeight="1" x14ac:dyDescent="0.3">
      <c r="G254" s="106"/>
      <c r="H254" s="166"/>
      <c r="J254" s="170"/>
      <c r="K254" s="171">
        <v>5</v>
      </c>
      <c r="L254" s="172">
        <f t="shared" si="18"/>
        <v>1</v>
      </c>
      <c r="M254" s="172">
        <f t="shared" si="18"/>
        <v>1</v>
      </c>
      <c r="N254" s="172">
        <f t="shared" si="18"/>
        <v>1</v>
      </c>
      <c r="O254" s="172">
        <f t="shared" si="18"/>
        <v>1</v>
      </c>
      <c r="P254"/>
      <c r="Q254"/>
      <c r="R254"/>
      <c r="S254"/>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c r="BS254" s="107"/>
      <c r="BT254" s="107"/>
      <c r="BU254" s="107"/>
      <c r="BV254" s="107"/>
      <c r="BW254" s="107"/>
      <c r="BX254" s="107"/>
      <c r="BY254" s="107"/>
      <c r="BZ254" s="107"/>
      <c r="CA254" s="107"/>
      <c r="CB254" s="107"/>
      <c r="CC254" s="107"/>
      <c r="CD254" s="107"/>
      <c r="CE254" s="107"/>
      <c r="CF254" s="107"/>
      <c r="CG254" s="107"/>
      <c r="CH254" s="107"/>
      <c r="CI254" s="107"/>
      <c r="CJ254" s="107"/>
      <c r="CK254" s="107"/>
      <c r="CL254" s="107"/>
      <c r="CM254" s="107"/>
      <c r="CN254" s="107"/>
      <c r="CO254" s="107"/>
      <c r="CP254" s="107"/>
      <c r="CQ254" s="107"/>
      <c r="CR254" s="107"/>
      <c r="CS254" s="107"/>
      <c r="CT254" s="107"/>
      <c r="CU254" s="107"/>
      <c r="CV254" s="107"/>
      <c r="CW254" s="107"/>
      <c r="CX254" s="107"/>
      <c r="CY254" s="107"/>
      <c r="CZ254" s="107"/>
      <c r="DA254" s="107"/>
      <c r="DB254" s="107"/>
      <c r="DC254" s="107"/>
      <c r="DD254" s="107"/>
      <c r="DE254" s="107"/>
      <c r="DF254" s="107"/>
      <c r="DG254" s="107"/>
      <c r="DH254" s="107"/>
    </row>
    <row r="255" spans="7:112" ht="14.1" customHeight="1" x14ac:dyDescent="0.3">
      <c r="G255" s="173"/>
      <c r="H255" s="174"/>
      <c r="I255" s="174"/>
      <c r="J255" s="175"/>
      <c r="K255" s="171">
        <v>6</v>
      </c>
      <c r="L255" s="172">
        <f t="shared" si="18"/>
        <v>1</v>
      </c>
      <c r="M255" s="172">
        <f t="shared" si="18"/>
        <v>1</v>
      </c>
      <c r="N255" s="172">
        <f t="shared" si="18"/>
        <v>1</v>
      </c>
      <c r="O255" s="172">
        <f t="shared" si="18"/>
        <v>1</v>
      </c>
      <c r="P255"/>
      <c r="Q255"/>
      <c r="R255"/>
      <c r="S255"/>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c r="BS255" s="107"/>
      <c r="BT255" s="107"/>
      <c r="BU255" s="107"/>
      <c r="BV255" s="107"/>
      <c r="BW255" s="107"/>
      <c r="BX255" s="107"/>
      <c r="BY255" s="107"/>
      <c r="BZ255" s="107"/>
      <c r="CA255" s="107"/>
      <c r="CB255" s="107"/>
      <c r="CC255" s="107"/>
      <c r="CD255" s="107"/>
      <c r="CE255" s="107"/>
      <c r="CF255" s="107"/>
      <c r="CG255" s="107"/>
      <c r="CH255" s="107"/>
      <c r="CI255" s="107"/>
      <c r="CJ255" s="107"/>
      <c r="CK255" s="107"/>
      <c r="CL255" s="107"/>
      <c r="CM255" s="107"/>
      <c r="CN255" s="107"/>
      <c r="CO255" s="107"/>
      <c r="CP255" s="107"/>
      <c r="CQ255" s="107"/>
      <c r="CR255" s="107"/>
      <c r="CS255" s="107"/>
      <c r="CT255" s="107"/>
      <c r="CU255" s="107"/>
      <c r="CV255" s="107"/>
      <c r="CW255" s="107"/>
      <c r="CX255" s="107"/>
      <c r="CY255" s="107"/>
      <c r="CZ255" s="107"/>
      <c r="DA255" s="107"/>
      <c r="DB255" s="107"/>
      <c r="DC255" s="107"/>
      <c r="DD255" s="107"/>
      <c r="DE255" s="107"/>
      <c r="DF255" s="107"/>
      <c r="DG255" s="107"/>
      <c r="DH255" s="107"/>
    </row>
    <row r="256" spans="7:112" ht="14.1" customHeight="1" x14ac:dyDescent="0.3">
      <c r="G256" s="173"/>
      <c r="H256" s="174"/>
      <c r="I256" s="174"/>
      <c r="J256" s="174"/>
      <c r="K256" s="174"/>
      <c r="L256" s="174"/>
      <c r="M256" s="174"/>
      <c r="N256" s="174"/>
      <c r="O256" s="174"/>
      <c r="P256"/>
      <c r="Q256"/>
      <c r="R256"/>
      <c r="S256"/>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c r="BS256" s="107"/>
      <c r="BT256" s="107"/>
      <c r="BU256" s="107"/>
      <c r="BV256" s="107"/>
      <c r="BW256" s="107"/>
      <c r="BX256" s="107"/>
      <c r="BY256" s="107"/>
      <c r="BZ256" s="107"/>
      <c r="CA256" s="107"/>
      <c r="CB256" s="107"/>
      <c r="CC256" s="107"/>
      <c r="CD256" s="107"/>
      <c r="CE256" s="107"/>
      <c r="CF256" s="107"/>
      <c r="CG256" s="107"/>
      <c r="CH256" s="107"/>
      <c r="CI256" s="107"/>
      <c r="CJ256" s="107"/>
      <c r="CK256" s="107"/>
      <c r="CL256" s="107"/>
      <c r="CM256" s="107"/>
      <c r="CN256" s="107"/>
      <c r="CO256" s="107"/>
      <c r="CP256" s="107"/>
      <c r="CQ256" s="107"/>
      <c r="CR256" s="107"/>
      <c r="CS256" s="107"/>
      <c r="CT256" s="107"/>
      <c r="CU256" s="107"/>
      <c r="CV256" s="107"/>
      <c r="CW256" s="107"/>
      <c r="CX256" s="107"/>
      <c r="CY256" s="107"/>
      <c r="CZ256" s="107"/>
      <c r="DA256" s="107"/>
      <c r="DB256" s="107"/>
      <c r="DC256" s="107"/>
      <c r="DD256" s="107"/>
      <c r="DE256" s="107"/>
      <c r="DF256" s="107"/>
      <c r="DG256" s="107"/>
      <c r="DH256" s="107"/>
    </row>
    <row r="257" spans="3:112" ht="14.1" customHeight="1" x14ac:dyDescent="0.3">
      <c r="P257"/>
      <c r="Q257"/>
      <c r="R257"/>
      <c r="S25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c r="BS257" s="107"/>
      <c r="BT257" s="107"/>
      <c r="BU257" s="107"/>
      <c r="BV257" s="107"/>
      <c r="BW257" s="107"/>
      <c r="BX257" s="107"/>
      <c r="BY257" s="107"/>
      <c r="BZ257" s="107"/>
      <c r="CA257" s="107"/>
      <c r="CB257" s="107"/>
      <c r="CC257" s="107"/>
      <c r="CD257" s="107"/>
      <c r="CE257" s="107"/>
      <c r="CF257" s="107"/>
      <c r="CG257" s="107"/>
      <c r="CH257" s="107"/>
      <c r="CI257" s="107"/>
      <c r="CJ257" s="107"/>
      <c r="CK257" s="107"/>
      <c r="CL257" s="107"/>
      <c r="CM257" s="107"/>
      <c r="CN257" s="107"/>
      <c r="CO257" s="107"/>
      <c r="CP257" s="107"/>
      <c r="CQ257" s="107"/>
      <c r="CR257" s="107"/>
      <c r="CS257" s="107"/>
      <c r="CT257" s="107"/>
      <c r="CU257" s="107"/>
      <c r="CV257" s="107"/>
      <c r="CW257" s="107"/>
      <c r="CX257" s="107"/>
      <c r="CY257" s="107"/>
      <c r="CZ257" s="107"/>
      <c r="DA257" s="107"/>
      <c r="DB257" s="107"/>
      <c r="DC257" s="107"/>
      <c r="DD257" s="107"/>
      <c r="DE257" s="107"/>
      <c r="DF257" s="107"/>
      <c r="DG257" s="107"/>
      <c r="DH257" s="107"/>
    </row>
    <row r="258" spans="3:112" ht="14.1" customHeight="1" x14ac:dyDescent="0.3">
      <c r="P258"/>
      <c r="Q258"/>
      <c r="R258"/>
      <c r="S258"/>
      <c r="T258" s="107"/>
      <c r="U258" s="107"/>
      <c r="V258" s="107"/>
      <c r="W258" s="107"/>
      <c r="X258" s="107"/>
      <c r="Y258" s="107"/>
      <c r="Z258" s="107"/>
      <c r="AA258" s="107"/>
      <c r="AB258" s="107"/>
      <c r="AC258" s="107"/>
      <c r="AD258" s="107"/>
      <c r="AE258" s="107"/>
      <c r="AF258" s="107"/>
      <c r="AG258" s="107"/>
      <c r="AH258" s="107"/>
      <c r="AI258" s="107"/>
      <c r="AJ258" s="107"/>
      <c r="AK258" s="107"/>
      <c r="AL258" s="107"/>
      <c r="AM258" s="107"/>
      <c r="AN258" s="107"/>
      <c r="AO258" s="107"/>
      <c r="AP258" s="107"/>
      <c r="AQ258" s="107"/>
      <c r="AR258" s="107"/>
      <c r="AS258" s="107"/>
      <c r="AT258" s="107"/>
      <c r="AU258" s="107"/>
      <c r="AV258" s="107"/>
      <c r="AW258" s="107"/>
      <c r="AX258" s="107"/>
      <c r="AY258" s="107"/>
      <c r="AZ258" s="107"/>
      <c r="BA258" s="107"/>
      <c r="BB258" s="107"/>
      <c r="BC258" s="107"/>
      <c r="BD258" s="107"/>
      <c r="BE258" s="107"/>
      <c r="BF258" s="107"/>
      <c r="BG258" s="107"/>
      <c r="BH258" s="107"/>
      <c r="BI258" s="107"/>
      <c r="BJ258" s="107"/>
      <c r="BK258" s="107"/>
      <c r="BL258" s="107"/>
      <c r="BM258" s="107"/>
      <c r="BN258" s="107"/>
      <c r="BO258" s="107"/>
      <c r="BP258" s="107"/>
      <c r="BQ258" s="107"/>
      <c r="BR258" s="107"/>
      <c r="BS258" s="107"/>
      <c r="BT258" s="107"/>
      <c r="BU258" s="107"/>
      <c r="BV258" s="107"/>
      <c r="BW258" s="107"/>
      <c r="BX258" s="107"/>
      <c r="BY258" s="107"/>
      <c r="BZ258" s="107"/>
      <c r="CA258" s="107"/>
      <c r="CB258" s="107"/>
      <c r="CC258" s="107"/>
      <c r="CD258" s="107"/>
      <c r="CE258" s="107"/>
      <c r="CF258" s="107"/>
      <c r="CG258" s="107"/>
      <c r="CH258" s="107"/>
      <c r="CI258" s="107"/>
      <c r="CJ258" s="107"/>
      <c r="CK258" s="107"/>
      <c r="CL258" s="107"/>
      <c r="CM258" s="107"/>
      <c r="CN258" s="107"/>
      <c r="CO258" s="107"/>
      <c r="CP258" s="107"/>
      <c r="CQ258" s="107"/>
      <c r="CR258" s="107"/>
      <c r="CS258" s="107"/>
      <c r="CT258" s="107"/>
      <c r="CU258" s="107"/>
      <c r="CV258" s="107"/>
      <c r="CW258" s="107"/>
      <c r="CX258" s="107"/>
      <c r="CY258" s="107"/>
      <c r="CZ258" s="107"/>
      <c r="DA258" s="107"/>
      <c r="DB258" s="107"/>
      <c r="DC258" s="107"/>
      <c r="DD258" s="107"/>
      <c r="DE258" s="107"/>
      <c r="DF258" s="107"/>
      <c r="DG258" s="107"/>
      <c r="DH258" s="107"/>
    </row>
    <row r="259" spans="3:112" ht="14.1" customHeight="1" x14ac:dyDescent="0.3">
      <c r="C259" s="115" t="s">
        <v>5</v>
      </c>
      <c r="G259" s="176" t="s">
        <v>165</v>
      </c>
      <c r="H259" s="117"/>
      <c r="I259" s="117"/>
      <c r="J259" s="117"/>
      <c r="K259" s="117"/>
      <c r="L259" s="117"/>
      <c r="M259" s="117"/>
      <c r="N259" s="117"/>
      <c r="O259" s="117"/>
      <c r="P259"/>
      <c r="Q259"/>
      <c r="R259"/>
      <c r="S259"/>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c r="BS259" s="107"/>
      <c r="BT259" s="107"/>
      <c r="BU259" s="107"/>
      <c r="BV259" s="107"/>
      <c r="BW259" s="107"/>
      <c r="BX259" s="107"/>
      <c r="BY259" s="107"/>
      <c r="BZ259" s="107"/>
      <c r="CA259" s="107"/>
      <c r="CB259" s="107"/>
      <c r="CC259" s="107"/>
      <c r="CD259" s="107"/>
      <c r="CE259" s="107"/>
      <c r="CF259" s="107"/>
      <c r="CG259" s="107"/>
      <c r="CH259" s="107"/>
      <c r="CI259" s="107"/>
      <c r="CJ259" s="107"/>
      <c r="CK259" s="107"/>
      <c r="CL259" s="107"/>
      <c r="CM259" s="107"/>
      <c r="CN259" s="107"/>
      <c r="CO259" s="107"/>
      <c r="CP259" s="107"/>
      <c r="CQ259" s="107"/>
      <c r="CR259" s="107"/>
      <c r="CS259" s="107"/>
      <c r="CT259" s="107"/>
      <c r="CU259" s="107"/>
      <c r="CV259" s="107"/>
      <c r="CW259" s="107"/>
      <c r="CX259" s="107"/>
      <c r="CY259" s="107"/>
      <c r="CZ259" s="107"/>
      <c r="DA259" s="107"/>
      <c r="DB259" s="107"/>
      <c r="DC259" s="107"/>
      <c r="DD259" s="107"/>
      <c r="DE259" s="107"/>
      <c r="DF259" s="107"/>
      <c r="DG259" s="107"/>
      <c r="DH259" s="107"/>
    </row>
    <row r="260" spans="3:112" ht="14.1" customHeight="1" x14ac:dyDescent="0.3">
      <c r="P260"/>
      <c r="Q260"/>
      <c r="R260"/>
      <c r="S260"/>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c r="BS260" s="107"/>
      <c r="BT260" s="107"/>
      <c r="BU260" s="107"/>
      <c r="BV260" s="107"/>
      <c r="BW260" s="107"/>
      <c r="BX260" s="107"/>
      <c r="BY260" s="107"/>
      <c r="BZ260" s="107"/>
      <c r="CA260" s="107"/>
      <c r="CB260" s="107"/>
      <c r="CC260" s="107"/>
      <c r="CD260" s="107"/>
      <c r="CE260" s="107"/>
      <c r="CF260" s="107"/>
      <c r="CG260" s="107"/>
      <c r="CH260" s="107"/>
      <c r="CI260" s="107"/>
      <c r="CJ260" s="107"/>
      <c r="CK260" s="107"/>
      <c r="CL260" s="107"/>
      <c r="CM260" s="107"/>
      <c r="CN260" s="107"/>
      <c r="CO260" s="107"/>
      <c r="CP260" s="107"/>
      <c r="CQ260" s="107"/>
      <c r="CR260" s="107"/>
      <c r="CS260" s="107"/>
      <c r="CT260" s="107"/>
      <c r="CU260" s="107"/>
      <c r="CV260" s="107"/>
      <c r="CW260" s="107"/>
      <c r="CX260" s="107"/>
      <c r="CY260" s="107"/>
      <c r="CZ260" s="107"/>
      <c r="DA260" s="107"/>
      <c r="DB260" s="107"/>
      <c r="DC260" s="107"/>
      <c r="DD260" s="107"/>
      <c r="DE260" s="107"/>
      <c r="DF260" s="107"/>
      <c r="DG260" s="107"/>
      <c r="DH260" s="107"/>
    </row>
    <row r="261" spans="3:112" ht="14.1" customHeight="1" x14ac:dyDescent="0.3">
      <c r="H261" s="213" t="s">
        <v>166</v>
      </c>
      <c r="I261" s="213"/>
      <c r="J261" s="213"/>
      <c r="K261" s="213"/>
      <c r="L261" s="213"/>
      <c r="M261" s="177"/>
      <c r="N261" s="177"/>
      <c r="O261" s="177"/>
      <c r="P261"/>
      <c r="Q261"/>
      <c r="R261"/>
      <c r="S261"/>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c r="BS261" s="107"/>
      <c r="BT261" s="107"/>
      <c r="BU261" s="107"/>
      <c r="BV261" s="107"/>
      <c r="BW261" s="107"/>
      <c r="BX261" s="107"/>
      <c r="BY261" s="107"/>
      <c r="BZ261" s="107"/>
      <c r="CA261" s="107"/>
      <c r="CB261" s="107"/>
      <c r="CC261" s="107"/>
      <c r="CD261" s="107"/>
      <c r="CE261" s="107"/>
      <c r="CF261" s="107"/>
      <c r="CG261" s="107"/>
      <c r="CH261" s="107"/>
      <c r="CI261" s="107"/>
      <c r="CJ261" s="107"/>
      <c r="CK261" s="107"/>
      <c r="CL261" s="107"/>
      <c r="CM261" s="107"/>
      <c r="CN261" s="107"/>
      <c r="CO261" s="107"/>
      <c r="CP261" s="107"/>
      <c r="CQ261" s="107"/>
      <c r="CR261" s="107"/>
      <c r="CS261" s="107"/>
      <c r="CT261" s="107"/>
      <c r="CU261" s="107"/>
      <c r="CV261" s="107"/>
      <c r="CW261" s="107"/>
      <c r="CX261" s="107"/>
      <c r="CY261" s="107"/>
      <c r="CZ261" s="107"/>
      <c r="DA261" s="107"/>
      <c r="DB261" s="107"/>
      <c r="DC261" s="107"/>
      <c r="DD261" s="107"/>
      <c r="DE261" s="107"/>
      <c r="DF261" s="107"/>
      <c r="DG261" s="107"/>
      <c r="DH261" s="107"/>
    </row>
    <row r="262" spans="3:112" ht="14.1" customHeight="1" x14ac:dyDescent="0.3">
      <c r="H262" s="214" t="s">
        <v>167</v>
      </c>
      <c r="I262" s="214"/>
      <c r="J262" s="214"/>
      <c r="K262" s="214"/>
      <c r="L262" s="214"/>
      <c r="M262" s="178" t="s">
        <v>168</v>
      </c>
      <c r="N262" s="75"/>
      <c r="O262" s="75"/>
      <c r="P262"/>
      <c r="Q262"/>
      <c r="R262"/>
      <c r="S262"/>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c r="BS262" s="107"/>
      <c r="BT262" s="107"/>
      <c r="BU262" s="107"/>
      <c r="BV262" s="107"/>
      <c r="BW262" s="107"/>
      <c r="BX262" s="107"/>
      <c r="BY262" s="107"/>
      <c r="BZ262" s="107"/>
      <c r="CA262" s="107"/>
      <c r="CB262" s="107"/>
      <c r="CC262" s="107"/>
      <c r="CD262" s="107"/>
      <c r="CE262" s="107"/>
      <c r="CF262" s="107"/>
      <c r="CG262" s="107"/>
      <c r="CH262" s="107"/>
      <c r="CI262" s="107"/>
      <c r="CJ262" s="107"/>
      <c r="CK262" s="107"/>
      <c r="CL262" s="107"/>
      <c r="CM262" s="107"/>
      <c r="CN262" s="107"/>
      <c r="CO262" s="107"/>
      <c r="CP262" s="107"/>
      <c r="CQ262" s="107"/>
      <c r="CR262" s="107"/>
      <c r="CS262" s="107"/>
      <c r="CT262" s="107"/>
      <c r="CU262" s="107"/>
      <c r="CV262" s="107"/>
      <c r="CW262" s="107"/>
      <c r="CX262" s="107"/>
      <c r="CY262" s="107"/>
      <c r="CZ262" s="107"/>
      <c r="DA262" s="107"/>
      <c r="DB262" s="107"/>
      <c r="DC262" s="107"/>
      <c r="DD262" s="107"/>
      <c r="DE262" s="107"/>
      <c r="DF262" s="107"/>
      <c r="DG262" s="107"/>
      <c r="DH262" s="107"/>
    </row>
    <row r="263" spans="3:112" ht="14.1" customHeight="1" x14ac:dyDescent="0.3">
      <c r="H263" s="214" t="s">
        <v>94</v>
      </c>
      <c r="I263" s="214"/>
      <c r="J263" s="214"/>
      <c r="K263" s="214"/>
      <c r="L263" s="214"/>
      <c r="M263" s="178" t="s">
        <v>168</v>
      </c>
      <c r="N263" s="75"/>
      <c r="O263" s="75"/>
      <c r="P263"/>
      <c r="Q263"/>
      <c r="R263"/>
      <c r="S263"/>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c r="BS263" s="107"/>
      <c r="BT263" s="107"/>
      <c r="BU263" s="107"/>
      <c r="BV263" s="107"/>
      <c r="BW263" s="107"/>
      <c r="BX263" s="107"/>
      <c r="BY263" s="107"/>
      <c r="BZ263" s="107"/>
      <c r="CA263" s="107"/>
      <c r="CB263" s="107"/>
      <c r="CC263" s="107"/>
      <c r="CD263" s="107"/>
      <c r="CE263" s="107"/>
      <c r="CF263" s="107"/>
      <c r="CG263" s="107"/>
      <c r="CH263" s="107"/>
      <c r="CI263" s="107"/>
      <c r="CJ263" s="107"/>
      <c r="CK263" s="107"/>
      <c r="CL263" s="107"/>
      <c r="CM263" s="107"/>
      <c r="CN263" s="107"/>
      <c r="CO263" s="107"/>
      <c r="CP263" s="107"/>
      <c r="CQ263" s="107"/>
      <c r="CR263" s="107"/>
      <c r="CS263" s="107"/>
      <c r="CT263" s="107"/>
      <c r="CU263" s="107"/>
      <c r="CV263" s="107"/>
      <c r="CW263" s="107"/>
      <c r="CX263" s="107"/>
      <c r="CY263" s="107"/>
      <c r="CZ263" s="107"/>
      <c r="DA263" s="107"/>
      <c r="DB263" s="107"/>
      <c r="DC263" s="107"/>
      <c r="DD263" s="107"/>
      <c r="DE263" s="107"/>
      <c r="DF263" s="107"/>
      <c r="DG263" s="107"/>
      <c r="DH263" s="107"/>
    </row>
    <row r="264" spans="3:112" ht="14.1" customHeight="1" x14ac:dyDescent="0.3">
      <c r="H264" s="214" t="s">
        <v>140</v>
      </c>
      <c r="I264" s="214"/>
      <c r="J264" s="214"/>
      <c r="K264" s="214"/>
      <c r="L264" s="214"/>
      <c r="M264" s="178" t="s">
        <v>169</v>
      </c>
      <c r="N264" s="180" t="s">
        <v>170</v>
      </c>
      <c r="O264" s="180" t="s">
        <v>171</v>
      </c>
      <c r="P264"/>
      <c r="Q264"/>
      <c r="R264"/>
      <c r="S264"/>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c r="BS264" s="107"/>
      <c r="BT264" s="107"/>
      <c r="BU264" s="107"/>
      <c r="BV264" s="107"/>
      <c r="BW264" s="107"/>
      <c r="BX264" s="107"/>
      <c r="BY264" s="107"/>
      <c r="BZ264" s="107"/>
      <c r="CA264" s="107"/>
      <c r="CB264" s="107"/>
      <c r="CC264" s="107"/>
      <c r="CD264" s="107"/>
      <c r="CE264" s="107"/>
      <c r="CF264" s="107"/>
      <c r="CG264" s="107"/>
      <c r="CH264" s="107"/>
      <c r="CI264" s="107"/>
      <c r="CJ264" s="107"/>
      <c r="CK264" s="107"/>
      <c r="CL264" s="107"/>
      <c r="CM264" s="107"/>
      <c r="CN264" s="107"/>
      <c r="CO264" s="107"/>
      <c r="CP264" s="107"/>
      <c r="CQ264" s="107"/>
      <c r="CR264" s="107"/>
      <c r="CS264" s="107"/>
      <c r="CT264" s="107"/>
      <c r="CU264" s="107"/>
      <c r="CV264" s="107"/>
      <c r="CW264" s="107"/>
      <c r="CX264" s="107"/>
      <c r="CY264" s="107"/>
      <c r="CZ264" s="107"/>
      <c r="DA264" s="107"/>
      <c r="DB264" s="107"/>
      <c r="DC264" s="107"/>
      <c r="DD264" s="107"/>
      <c r="DE264" s="107"/>
      <c r="DF264" s="107"/>
      <c r="DG264" s="107"/>
      <c r="DH264" s="107"/>
    </row>
    <row r="265" spans="3:112" ht="14.1" customHeight="1" x14ac:dyDescent="0.3">
      <c r="H265" s="214" t="s">
        <v>172</v>
      </c>
      <c r="I265" s="214"/>
      <c r="J265" s="214"/>
      <c r="K265" s="214"/>
      <c r="L265" s="214"/>
      <c r="M265" s="178" t="s">
        <v>169</v>
      </c>
      <c r="N265" s="180" t="s">
        <v>170</v>
      </c>
      <c r="O265" s="180" t="s">
        <v>171</v>
      </c>
      <c r="P265"/>
      <c r="Q265"/>
      <c r="R265"/>
      <c r="S265"/>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c r="BS265" s="107"/>
      <c r="BT265" s="107"/>
      <c r="BU265" s="107"/>
      <c r="BV265" s="107"/>
      <c r="BW265" s="107"/>
      <c r="BX265" s="107"/>
      <c r="BY265" s="107"/>
      <c r="BZ265" s="107"/>
      <c r="CA265" s="107"/>
      <c r="CB265" s="107"/>
      <c r="CC265" s="107"/>
      <c r="CD265" s="107"/>
      <c r="CE265" s="107"/>
      <c r="CF265" s="107"/>
      <c r="CG265" s="107"/>
      <c r="CH265" s="107"/>
      <c r="CI265" s="107"/>
      <c r="CJ265" s="107"/>
      <c r="CK265" s="107"/>
      <c r="CL265" s="107"/>
      <c r="CM265" s="107"/>
      <c r="CN265" s="107"/>
      <c r="CO265" s="107"/>
      <c r="CP265" s="107"/>
      <c r="CQ265" s="107"/>
      <c r="CR265" s="107"/>
      <c r="CS265" s="107"/>
      <c r="CT265" s="107"/>
      <c r="CU265" s="107"/>
      <c r="CV265" s="107"/>
      <c r="CW265" s="107"/>
      <c r="CX265" s="107"/>
      <c r="CY265" s="107"/>
      <c r="CZ265" s="107"/>
      <c r="DA265" s="107"/>
      <c r="DB265" s="107"/>
      <c r="DC265" s="107"/>
      <c r="DD265" s="107"/>
      <c r="DE265" s="107"/>
      <c r="DF265" s="107"/>
      <c r="DG265" s="107"/>
      <c r="DH265" s="107"/>
    </row>
    <row r="266" spans="3:112" ht="14.1" customHeight="1" x14ac:dyDescent="0.3">
      <c r="H266" s="214" t="s">
        <v>173</v>
      </c>
      <c r="I266" s="214"/>
      <c r="J266" s="214"/>
      <c r="K266" s="214"/>
      <c r="L266" s="214"/>
      <c r="M266" s="181" t="s">
        <v>174</v>
      </c>
      <c r="N266" s="75"/>
      <c r="O266" s="75"/>
      <c r="P266"/>
      <c r="Q266"/>
      <c r="R266"/>
      <c r="S266"/>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c r="BS266" s="107"/>
      <c r="BT266" s="107"/>
      <c r="BU266" s="107"/>
      <c r="BV266" s="107"/>
      <c r="BW266" s="107"/>
      <c r="BX266" s="107"/>
      <c r="BY266" s="107"/>
      <c r="BZ266" s="107"/>
      <c r="CA266" s="107"/>
      <c r="CB266" s="107"/>
      <c r="CC266" s="107"/>
      <c r="CD266" s="107"/>
      <c r="CE266" s="107"/>
      <c r="CF266" s="107"/>
      <c r="CG266" s="107"/>
      <c r="CH266" s="107"/>
      <c r="CI266" s="107"/>
      <c r="CJ266" s="107"/>
      <c r="CK266" s="107"/>
      <c r="CL266" s="107"/>
      <c r="CM266" s="107"/>
      <c r="CN266" s="107"/>
      <c r="CO266" s="107"/>
      <c r="CP266" s="107"/>
      <c r="CQ266" s="107"/>
      <c r="CR266" s="107"/>
      <c r="CS266" s="107"/>
      <c r="CT266" s="107"/>
      <c r="CU266" s="107"/>
      <c r="CV266" s="107"/>
      <c r="CW266" s="107"/>
      <c r="CX266" s="107"/>
      <c r="CY266" s="107"/>
      <c r="CZ266" s="107"/>
      <c r="DA266" s="107"/>
      <c r="DB266" s="107"/>
      <c r="DC266" s="107"/>
      <c r="DD266" s="107"/>
      <c r="DE266" s="107"/>
      <c r="DF266" s="107"/>
      <c r="DG266" s="107"/>
      <c r="DH266" s="107"/>
    </row>
    <row r="267" spans="3:112" ht="14.1" customHeight="1" x14ac:dyDescent="0.3">
      <c r="H267" s="214" t="s">
        <v>175</v>
      </c>
      <c r="I267" s="214"/>
      <c r="J267" s="214"/>
      <c r="K267" s="214"/>
      <c r="L267" s="214"/>
      <c r="M267" s="181" t="s">
        <v>174</v>
      </c>
      <c r="N267" s="75" t="s">
        <v>176</v>
      </c>
      <c r="O267" s="75"/>
      <c r="P267"/>
      <c r="Q267"/>
      <c r="R267"/>
      <c r="S26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c r="BS267" s="107"/>
      <c r="BT267" s="107"/>
      <c r="BU267" s="107"/>
      <c r="BV267" s="107"/>
      <c r="BW267" s="107"/>
      <c r="BX267" s="107"/>
      <c r="BY267" s="107"/>
      <c r="BZ267" s="107"/>
      <c r="CA267" s="107"/>
      <c r="CB267" s="107"/>
      <c r="CC267" s="107"/>
      <c r="CD267" s="107"/>
      <c r="CE267" s="107"/>
      <c r="CF267" s="107"/>
      <c r="CG267" s="107"/>
      <c r="CH267" s="107"/>
      <c r="CI267" s="107"/>
      <c r="CJ267" s="107"/>
      <c r="CK267" s="107"/>
      <c r="CL267" s="107"/>
      <c r="CM267" s="107"/>
      <c r="CN267" s="107"/>
      <c r="CO267" s="107"/>
      <c r="CP267" s="107"/>
      <c r="CQ267" s="107"/>
      <c r="CR267" s="107"/>
      <c r="CS267" s="107"/>
      <c r="CT267" s="107"/>
      <c r="CU267" s="107"/>
      <c r="CV267" s="107"/>
      <c r="CW267" s="107"/>
      <c r="CX267" s="107"/>
      <c r="CY267" s="107"/>
      <c r="CZ267" s="107"/>
      <c r="DA267" s="107"/>
      <c r="DB267" s="107"/>
      <c r="DC267" s="107"/>
      <c r="DD267" s="107"/>
      <c r="DE267" s="107"/>
      <c r="DF267" s="107"/>
      <c r="DG267" s="107"/>
      <c r="DH267" s="107"/>
    </row>
    <row r="268" spans="3:112" ht="14.1" customHeight="1" x14ac:dyDescent="0.3">
      <c r="H268" s="214" t="s">
        <v>177</v>
      </c>
      <c r="I268" s="214"/>
      <c r="J268" s="214"/>
      <c r="K268" s="214"/>
      <c r="L268" s="214"/>
      <c r="M268" s="178" t="s">
        <v>169</v>
      </c>
      <c r="N268" s="180" t="s">
        <v>170</v>
      </c>
      <c r="O268" s="180" t="s">
        <v>171</v>
      </c>
      <c r="P268"/>
      <c r="Q268"/>
      <c r="R268"/>
      <c r="S268"/>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c r="BS268" s="107"/>
      <c r="BT268" s="107"/>
      <c r="BU268" s="107"/>
      <c r="BV268" s="107"/>
      <c r="BW268" s="107"/>
      <c r="BX268" s="107"/>
      <c r="BY268" s="107"/>
      <c r="BZ268" s="107"/>
      <c r="CA268" s="107"/>
      <c r="CB268" s="107"/>
      <c r="CC268" s="107"/>
      <c r="CD268" s="107"/>
      <c r="CE268" s="107"/>
      <c r="CF268" s="107"/>
      <c r="CG268" s="107"/>
      <c r="CH268" s="107"/>
      <c r="CI268" s="107"/>
      <c r="CJ268" s="107"/>
      <c r="CK268" s="107"/>
      <c r="CL268" s="107"/>
      <c r="CM268" s="107"/>
      <c r="CN268" s="107"/>
      <c r="CO268" s="107"/>
      <c r="CP268" s="107"/>
      <c r="CQ268" s="107"/>
      <c r="CR268" s="107"/>
      <c r="CS268" s="107"/>
      <c r="CT268" s="107"/>
      <c r="CU268" s="107"/>
      <c r="CV268" s="107"/>
      <c r="CW268" s="107"/>
      <c r="CX268" s="107"/>
      <c r="CY268" s="107"/>
      <c r="CZ268" s="107"/>
      <c r="DA268" s="107"/>
      <c r="DB268" s="107"/>
      <c r="DC268" s="107"/>
      <c r="DD268" s="107"/>
      <c r="DE268" s="107"/>
      <c r="DF268" s="107"/>
      <c r="DG268" s="107"/>
      <c r="DH268" s="107"/>
    </row>
    <row r="269" spans="3:112" ht="14.1" customHeight="1" x14ac:dyDescent="0.3">
      <c r="H269" s="212"/>
      <c r="I269" s="212"/>
      <c r="J269" s="212"/>
      <c r="K269" s="212"/>
      <c r="L269" s="212"/>
      <c r="M269" s="5"/>
      <c r="N269" s="5"/>
      <c r="O269" s="5"/>
      <c r="P269"/>
      <c r="Q269"/>
      <c r="R269"/>
      <c r="S269"/>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c r="BS269" s="107"/>
      <c r="BT269" s="107"/>
      <c r="BU269" s="107"/>
      <c r="BV269" s="107"/>
      <c r="BW269" s="107"/>
      <c r="BX269" s="107"/>
      <c r="BY269" s="107"/>
      <c r="BZ269" s="107"/>
      <c r="CA269" s="107"/>
      <c r="CB269" s="107"/>
      <c r="CC269" s="107"/>
      <c r="CD269" s="107"/>
      <c r="CE269" s="107"/>
      <c r="CF269" s="107"/>
      <c r="CG269" s="107"/>
      <c r="CH269" s="107"/>
      <c r="CI269" s="107"/>
      <c r="CJ269" s="107"/>
      <c r="CK269" s="107"/>
      <c r="CL269" s="107"/>
      <c r="CM269" s="107"/>
      <c r="CN269" s="107"/>
      <c r="CO269" s="107"/>
      <c r="CP269" s="107"/>
      <c r="CQ269" s="107"/>
      <c r="CR269" s="107"/>
      <c r="CS269" s="107"/>
      <c r="CT269" s="107"/>
      <c r="CU269" s="107"/>
      <c r="CV269" s="107"/>
      <c r="CW269" s="107"/>
      <c r="CX269" s="107"/>
      <c r="CY269" s="107"/>
      <c r="CZ269" s="107"/>
      <c r="DA269" s="107"/>
      <c r="DB269" s="107"/>
      <c r="DC269" s="107"/>
      <c r="DD269" s="107"/>
      <c r="DE269" s="107"/>
      <c r="DF269" s="107"/>
      <c r="DG269" s="107"/>
      <c r="DH269" s="107"/>
    </row>
    <row r="270" spans="3:112" ht="14.1" customHeight="1" x14ac:dyDescent="0.3">
      <c r="H270" s="213" t="s">
        <v>178</v>
      </c>
      <c r="I270" s="213"/>
      <c r="J270" s="213"/>
      <c r="K270" s="213"/>
      <c r="L270" s="213"/>
      <c r="M270" s="177"/>
      <c r="N270" s="177"/>
      <c r="O270" s="177"/>
      <c r="P270"/>
      <c r="Q270"/>
      <c r="R270"/>
      <c r="S270"/>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c r="BS270" s="107"/>
      <c r="BT270" s="107"/>
      <c r="BU270" s="107"/>
      <c r="BV270" s="107"/>
      <c r="BW270" s="107"/>
      <c r="BX270" s="107"/>
      <c r="BY270" s="107"/>
      <c r="BZ270" s="107"/>
      <c r="CA270" s="107"/>
      <c r="CB270" s="107"/>
      <c r="CC270" s="107"/>
      <c r="CD270" s="107"/>
      <c r="CE270" s="107"/>
      <c r="CF270" s="107"/>
      <c r="CG270" s="107"/>
      <c r="CH270" s="107"/>
      <c r="CI270" s="107"/>
      <c r="CJ270" s="107"/>
      <c r="CK270" s="107"/>
      <c r="CL270" s="107"/>
      <c r="CM270" s="107"/>
      <c r="CN270" s="107"/>
      <c r="CO270" s="107"/>
      <c r="CP270" s="107"/>
      <c r="CQ270" s="107"/>
      <c r="CR270" s="107"/>
      <c r="CS270" s="107"/>
      <c r="CT270" s="107"/>
      <c r="CU270" s="107"/>
      <c r="CV270" s="107"/>
      <c r="CW270" s="107"/>
      <c r="CX270" s="107"/>
      <c r="CY270" s="107"/>
      <c r="CZ270" s="107"/>
      <c r="DA270" s="107"/>
      <c r="DB270" s="107"/>
      <c r="DC270" s="107"/>
      <c r="DD270" s="107"/>
      <c r="DE270" s="107"/>
      <c r="DF270" s="107"/>
      <c r="DG270" s="107"/>
      <c r="DH270" s="107"/>
    </row>
    <row r="271" spans="3:112" ht="14.1" customHeight="1" x14ac:dyDescent="0.3">
      <c r="H271" s="214" t="s">
        <v>94</v>
      </c>
      <c r="I271" s="214"/>
      <c r="J271" s="214"/>
      <c r="K271" s="214"/>
      <c r="L271" s="214"/>
      <c r="M271" s="178" t="s">
        <v>179</v>
      </c>
      <c r="N271" s="180" t="s">
        <v>180</v>
      </c>
      <c r="O271" s="180" t="s">
        <v>171</v>
      </c>
      <c r="P271"/>
      <c r="Q271"/>
      <c r="R271"/>
      <c r="S271"/>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c r="BS271" s="107"/>
      <c r="BT271" s="107"/>
      <c r="BU271" s="107"/>
      <c r="BV271" s="107"/>
      <c r="BW271" s="107"/>
      <c r="BX271" s="107"/>
      <c r="BY271" s="107"/>
      <c r="BZ271" s="107"/>
      <c r="CA271" s="107"/>
      <c r="CB271" s="107"/>
      <c r="CC271" s="107"/>
      <c r="CD271" s="107"/>
      <c r="CE271" s="107"/>
      <c r="CF271" s="107"/>
      <c r="CG271" s="107"/>
      <c r="CH271" s="107"/>
      <c r="CI271" s="107"/>
      <c r="CJ271" s="107"/>
      <c r="CK271" s="107"/>
      <c r="CL271" s="107"/>
      <c r="CM271" s="107"/>
      <c r="CN271" s="107"/>
      <c r="CO271" s="107"/>
      <c r="CP271" s="107"/>
      <c r="CQ271" s="107"/>
      <c r="CR271" s="107"/>
      <c r="CS271" s="107"/>
      <c r="CT271" s="107"/>
      <c r="CU271" s="107"/>
      <c r="CV271" s="107"/>
      <c r="CW271" s="107"/>
      <c r="CX271" s="107"/>
      <c r="CY271" s="107"/>
      <c r="CZ271" s="107"/>
      <c r="DA271" s="107"/>
      <c r="DB271" s="107"/>
      <c r="DC271" s="107"/>
      <c r="DD271" s="107"/>
      <c r="DE271" s="107"/>
      <c r="DF271" s="107"/>
      <c r="DG271" s="107"/>
      <c r="DH271" s="107"/>
    </row>
    <row r="272" spans="3:112" ht="14.1" customHeight="1" x14ac:dyDescent="0.3">
      <c r="H272" s="214" t="s">
        <v>140</v>
      </c>
      <c r="I272" s="214"/>
      <c r="J272" s="214"/>
      <c r="K272" s="214"/>
      <c r="L272" s="214"/>
      <c r="M272" s="178" t="s">
        <v>181</v>
      </c>
      <c r="N272" s="180" t="s">
        <v>180</v>
      </c>
      <c r="O272" s="180" t="s">
        <v>182</v>
      </c>
      <c r="P272"/>
      <c r="Q272"/>
      <c r="R272"/>
      <c r="S272"/>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c r="BS272" s="107"/>
      <c r="BT272" s="107"/>
      <c r="BU272" s="107"/>
      <c r="BV272" s="107"/>
      <c r="BW272" s="107"/>
      <c r="BX272" s="107"/>
      <c r="BY272" s="107"/>
      <c r="BZ272" s="107"/>
      <c r="CA272" s="107"/>
      <c r="CB272" s="107"/>
      <c r="CC272" s="107"/>
      <c r="CD272" s="107"/>
      <c r="CE272" s="107"/>
      <c r="CF272" s="107"/>
      <c r="CG272" s="107"/>
      <c r="CH272" s="107"/>
      <c r="CI272" s="107"/>
      <c r="CJ272" s="107"/>
      <c r="CK272" s="107"/>
      <c r="CL272" s="107"/>
      <c r="CM272" s="107"/>
      <c r="CN272" s="107"/>
      <c r="CO272" s="107"/>
      <c r="CP272" s="107"/>
      <c r="CQ272" s="107"/>
      <c r="CR272" s="107"/>
      <c r="CS272" s="107"/>
      <c r="CT272" s="107"/>
      <c r="CU272" s="107"/>
      <c r="CV272" s="107"/>
      <c r="CW272" s="107"/>
      <c r="CX272" s="107"/>
      <c r="CY272" s="107"/>
      <c r="CZ272" s="107"/>
      <c r="DA272" s="107"/>
      <c r="DB272" s="107"/>
      <c r="DC272" s="107"/>
      <c r="DD272" s="107"/>
      <c r="DE272" s="107"/>
      <c r="DF272" s="107"/>
      <c r="DG272" s="107"/>
      <c r="DH272" s="107"/>
    </row>
    <row r="273" spans="8:112" ht="14.1" customHeight="1" x14ac:dyDescent="0.3">
      <c r="H273" s="214" t="s">
        <v>172</v>
      </c>
      <c r="I273" s="214"/>
      <c r="J273" s="214"/>
      <c r="K273" s="214"/>
      <c r="L273" s="214"/>
      <c r="M273" s="178" t="s">
        <v>181</v>
      </c>
      <c r="N273" s="180" t="s">
        <v>183</v>
      </c>
      <c r="O273" s="180" t="s">
        <v>182</v>
      </c>
      <c r="P273"/>
      <c r="Q273"/>
      <c r="R273"/>
      <c r="S273"/>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c r="BS273" s="107"/>
      <c r="BT273" s="107"/>
      <c r="BU273" s="107"/>
      <c r="BV273" s="107"/>
      <c r="BW273" s="107"/>
      <c r="BX273" s="107"/>
      <c r="BY273" s="107"/>
      <c r="BZ273" s="107"/>
      <c r="CA273" s="107"/>
      <c r="CB273" s="107"/>
      <c r="CC273" s="107"/>
      <c r="CD273" s="107"/>
      <c r="CE273" s="107"/>
      <c r="CF273" s="107"/>
      <c r="CG273" s="107"/>
      <c r="CH273" s="107"/>
      <c r="CI273" s="107"/>
      <c r="CJ273" s="107"/>
      <c r="CK273" s="107"/>
      <c r="CL273" s="107"/>
      <c r="CM273" s="107"/>
      <c r="CN273" s="107"/>
      <c r="CO273" s="107"/>
      <c r="CP273" s="107"/>
      <c r="CQ273" s="107"/>
      <c r="CR273" s="107"/>
      <c r="CS273" s="107"/>
      <c r="CT273" s="107"/>
      <c r="CU273" s="107"/>
      <c r="CV273" s="107"/>
      <c r="CW273" s="107"/>
      <c r="CX273" s="107"/>
      <c r="CY273" s="107"/>
      <c r="CZ273" s="107"/>
      <c r="DA273" s="107"/>
      <c r="DB273" s="107"/>
      <c r="DC273" s="107"/>
      <c r="DD273" s="107"/>
      <c r="DE273" s="107"/>
      <c r="DF273" s="107"/>
      <c r="DG273" s="107"/>
      <c r="DH273" s="107"/>
    </row>
    <row r="274" spans="8:112" ht="14.1" customHeight="1" x14ac:dyDescent="0.3">
      <c r="H274" s="214" t="s">
        <v>173</v>
      </c>
      <c r="I274" s="214"/>
      <c r="J274" s="214"/>
      <c r="K274" s="214"/>
      <c r="L274" s="214"/>
      <c r="M274" s="181" t="s">
        <v>174</v>
      </c>
      <c r="N274" s="75"/>
      <c r="O274" s="75"/>
      <c r="P274"/>
      <c r="Q274"/>
      <c r="R274"/>
      <c r="S274"/>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c r="BS274" s="107"/>
      <c r="BT274" s="107"/>
      <c r="BU274" s="107"/>
      <c r="BV274" s="107"/>
      <c r="BW274" s="107"/>
      <c r="BX274" s="107"/>
      <c r="BY274" s="107"/>
      <c r="BZ274" s="107"/>
      <c r="CA274" s="107"/>
      <c r="CB274" s="107"/>
      <c r="CC274" s="107"/>
      <c r="CD274" s="107"/>
      <c r="CE274" s="107"/>
      <c r="CF274" s="107"/>
      <c r="CG274" s="107"/>
      <c r="CH274" s="107"/>
      <c r="CI274" s="107"/>
      <c r="CJ274" s="107"/>
      <c r="CK274" s="107"/>
      <c r="CL274" s="107"/>
      <c r="CM274" s="107"/>
      <c r="CN274" s="107"/>
      <c r="CO274" s="107"/>
      <c r="CP274" s="107"/>
      <c r="CQ274" s="107"/>
      <c r="CR274" s="107"/>
      <c r="CS274" s="107"/>
      <c r="CT274" s="107"/>
      <c r="CU274" s="107"/>
      <c r="CV274" s="107"/>
      <c r="CW274" s="107"/>
      <c r="CX274" s="107"/>
      <c r="CY274" s="107"/>
      <c r="CZ274" s="107"/>
      <c r="DA274" s="107"/>
      <c r="DB274" s="107"/>
      <c r="DC274" s="107"/>
      <c r="DD274" s="107"/>
      <c r="DE274" s="107"/>
      <c r="DF274" s="107"/>
      <c r="DG274" s="107"/>
      <c r="DH274" s="107"/>
    </row>
    <row r="275" spans="8:112" ht="14.1" customHeight="1" x14ac:dyDescent="0.3">
      <c r="H275" s="214" t="s">
        <v>184</v>
      </c>
      <c r="I275" s="214"/>
      <c r="J275" s="214"/>
      <c r="K275" s="214"/>
      <c r="L275" s="214"/>
      <c r="M275" s="181" t="s">
        <v>174</v>
      </c>
      <c r="N275" s="75"/>
      <c r="O275" s="75"/>
      <c r="P275"/>
      <c r="Q275"/>
      <c r="R275"/>
      <c r="S275"/>
      <c r="T275" s="107"/>
      <c r="U275" s="107"/>
      <c r="V275" s="107"/>
      <c r="W275" s="107"/>
      <c r="X275" s="107"/>
      <c r="Y275" s="107"/>
      <c r="Z275" s="107"/>
      <c r="AA275" s="107"/>
      <c r="AB275" s="107"/>
      <c r="AC275" s="107"/>
      <c r="AD275" s="107"/>
      <c r="AE275" s="107"/>
      <c r="AF275" s="107"/>
      <c r="AG275" s="107"/>
      <c r="AH275" s="107"/>
      <c r="AI275" s="107"/>
      <c r="AJ275" s="107"/>
      <c r="AK275" s="107"/>
      <c r="AL275" s="107"/>
      <c r="AM275" s="107"/>
      <c r="AN275" s="107"/>
      <c r="AO275" s="107"/>
      <c r="AP275" s="107"/>
      <c r="AQ275" s="107"/>
      <c r="AR275" s="107"/>
      <c r="AS275" s="107"/>
      <c r="AT275" s="107"/>
      <c r="AU275" s="107"/>
      <c r="AV275" s="107"/>
      <c r="AW275" s="107"/>
      <c r="AX275" s="107"/>
      <c r="AY275" s="107"/>
      <c r="AZ275" s="107"/>
      <c r="BA275" s="107"/>
      <c r="BB275" s="107"/>
      <c r="BC275" s="107"/>
      <c r="BD275" s="107"/>
      <c r="BE275" s="107"/>
      <c r="BF275" s="107"/>
      <c r="BG275" s="107"/>
      <c r="BH275" s="107"/>
      <c r="BI275" s="107"/>
      <c r="BJ275" s="107"/>
      <c r="BK275" s="107"/>
      <c r="BL275" s="107"/>
      <c r="BM275" s="107"/>
      <c r="BN275" s="107"/>
      <c r="BO275" s="107"/>
      <c r="BP275" s="107"/>
      <c r="BQ275" s="107"/>
      <c r="BR275" s="107"/>
      <c r="BS275" s="107"/>
      <c r="BT275" s="107"/>
      <c r="BU275" s="107"/>
      <c r="BV275" s="107"/>
      <c r="BW275" s="107"/>
      <c r="BX275" s="107"/>
      <c r="BY275" s="107"/>
      <c r="BZ275" s="107"/>
      <c r="CA275" s="107"/>
      <c r="CB275" s="107"/>
      <c r="CC275" s="107"/>
      <c r="CD275" s="107"/>
      <c r="CE275" s="107"/>
      <c r="CF275" s="107"/>
      <c r="CG275" s="107"/>
      <c r="CH275" s="107"/>
      <c r="CI275" s="107"/>
      <c r="CJ275" s="107"/>
      <c r="CK275" s="107"/>
      <c r="CL275" s="107"/>
      <c r="CM275" s="107"/>
      <c r="CN275" s="107"/>
      <c r="CO275" s="107"/>
      <c r="CP275" s="107"/>
      <c r="CQ275" s="107"/>
      <c r="CR275" s="107"/>
      <c r="CS275" s="107"/>
      <c r="CT275" s="107"/>
      <c r="CU275" s="107"/>
      <c r="CV275" s="107"/>
      <c r="CW275" s="107"/>
      <c r="CX275" s="107"/>
      <c r="CY275" s="107"/>
      <c r="CZ275" s="107"/>
      <c r="DA275" s="107"/>
      <c r="DB275" s="107"/>
      <c r="DC275" s="107"/>
      <c r="DD275" s="107"/>
      <c r="DE275" s="107"/>
      <c r="DF275" s="107"/>
      <c r="DG275" s="107"/>
      <c r="DH275" s="107"/>
    </row>
    <row r="276" spans="8:112" ht="14.1" customHeight="1" x14ac:dyDescent="0.3">
      <c r="H276" s="214" t="s">
        <v>177</v>
      </c>
      <c r="I276" s="214"/>
      <c r="J276" s="214"/>
      <c r="K276" s="214"/>
      <c r="L276" s="214"/>
      <c r="M276" s="178" t="s">
        <v>185</v>
      </c>
      <c r="N276" s="180" t="s">
        <v>171</v>
      </c>
      <c r="O276" s="182"/>
      <c r="P276"/>
      <c r="Q276"/>
      <c r="R276"/>
      <c r="S276"/>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c r="BS276" s="107"/>
      <c r="BT276" s="107"/>
      <c r="BU276" s="107"/>
      <c r="BV276" s="107"/>
      <c r="BW276" s="107"/>
      <c r="BX276" s="107"/>
      <c r="BY276" s="107"/>
      <c r="BZ276" s="107"/>
      <c r="CA276" s="107"/>
      <c r="CB276" s="107"/>
      <c r="CC276" s="107"/>
      <c r="CD276" s="107"/>
      <c r="CE276" s="107"/>
      <c r="CF276" s="107"/>
      <c r="CG276" s="107"/>
      <c r="CH276" s="107"/>
      <c r="CI276" s="107"/>
      <c r="CJ276" s="107"/>
      <c r="CK276" s="107"/>
      <c r="CL276" s="107"/>
      <c r="CM276" s="107"/>
      <c r="CN276" s="107"/>
      <c r="CO276" s="107"/>
      <c r="CP276" s="107"/>
      <c r="CQ276" s="107"/>
      <c r="CR276" s="107"/>
      <c r="CS276" s="107"/>
      <c r="CT276" s="107"/>
      <c r="CU276" s="107"/>
      <c r="CV276" s="107"/>
      <c r="CW276" s="107"/>
      <c r="CX276" s="107"/>
      <c r="CY276" s="107"/>
      <c r="CZ276" s="107"/>
      <c r="DA276" s="107"/>
      <c r="DB276" s="107"/>
      <c r="DC276" s="107"/>
      <c r="DD276" s="107"/>
      <c r="DE276" s="107"/>
      <c r="DF276" s="107"/>
      <c r="DG276" s="107"/>
      <c r="DH276" s="107"/>
    </row>
    <row r="277" spans="8:112" ht="14.1" customHeight="1" x14ac:dyDescent="0.25">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c r="BS277" s="107"/>
      <c r="BT277" s="107"/>
      <c r="BU277" s="107"/>
      <c r="BV277" s="107"/>
      <c r="BW277" s="107"/>
      <c r="BX277" s="107"/>
      <c r="BY277" s="107"/>
      <c r="BZ277" s="107"/>
      <c r="CA277" s="107"/>
      <c r="CB277" s="107"/>
      <c r="CC277" s="107"/>
      <c r="CD277" s="107"/>
      <c r="CE277" s="107"/>
      <c r="CF277" s="107"/>
      <c r="CG277" s="107"/>
      <c r="CH277" s="107"/>
      <c r="CI277" s="107"/>
      <c r="CJ277" s="107"/>
      <c r="CK277" s="107"/>
      <c r="CL277" s="107"/>
      <c r="CM277" s="107"/>
      <c r="CN277" s="107"/>
      <c r="CO277" s="107"/>
      <c r="CP277" s="107"/>
      <c r="CQ277" s="107"/>
      <c r="CR277" s="107"/>
      <c r="CS277" s="107"/>
      <c r="CT277" s="107"/>
      <c r="CU277" s="107"/>
      <c r="CV277" s="107"/>
      <c r="CW277" s="107"/>
      <c r="CX277" s="107"/>
      <c r="CY277" s="107"/>
      <c r="CZ277" s="107"/>
      <c r="DA277" s="107"/>
      <c r="DB277" s="107"/>
      <c r="DC277" s="107"/>
      <c r="DD277" s="107"/>
      <c r="DE277" s="107"/>
      <c r="DF277" s="107"/>
      <c r="DG277" s="107"/>
      <c r="DH277" s="107"/>
    </row>
    <row r="278" spans="8:112" ht="14.1" customHeight="1" x14ac:dyDescent="0.25">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c r="BS278" s="107"/>
      <c r="BT278" s="107"/>
      <c r="BU278" s="107"/>
      <c r="BV278" s="107"/>
      <c r="BW278" s="107"/>
      <c r="BX278" s="107"/>
      <c r="BY278" s="107"/>
      <c r="BZ278" s="107"/>
      <c r="CA278" s="107"/>
      <c r="CB278" s="107"/>
      <c r="CC278" s="107"/>
      <c r="CD278" s="107"/>
      <c r="CE278" s="107"/>
      <c r="CF278" s="107"/>
      <c r="CG278" s="107"/>
      <c r="CH278" s="107"/>
      <c r="CI278" s="107"/>
      <c r="CJ278" s="107"/>
      <c r="CK278" s="107"/>
      <c r="CL278" s="107"/>
      <c r="CM278" s="107"/>
      <c r="CN278" s="107"/>
      <c r="CO278" s="107"/>
      <c r="CP278" s="107"/>
      <c r="CQ278" s="107"/>
      <c r="CR278" s="107"/>
      <c r="CS278" s="107"/>
      <c r="CT278" s="107"/>
      <c r="CU278" s="107"/>
      <c r="CV278" s="107"/>
      <c r="CW278" s="107"/>
      <c r="CX278" s="107"/>
      <c r="CY278" s="107"/>
      <c r="CZ278" s="107"/>
      <c r="DA278" s="107"/>
      <c r="DB278" s="107"/>
      <c r="DC278" s="107"/>
      <c r="DD278" s="107"/>
      <c r="DE278" s="107"/>
      <c r="DF278" s="107"/>
      <c r="DG278" s="107"/>
      <c r="DH278" s="107"/>
    </row>
    <row r="279" spans="8:112" ht="14.1" customHeight="1" x14ac:dyDescent="0.25">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c r="BS279" s="107"/>
      <c r="BT279" s="107"/>
      <c r="BU279" s="107"/>
      <c r="BV279" s="107"/>
      <c r="BW279" s="107"/>
      <c r="BX279" s="107"/>
      <c r="BY279" s="107"/>
      <c r="BZ279" s="107"/>
      <c r="CA279" s="107"/>
      <c r="CB279" s="107"/>
      <c r="CC279" s="107"/>
      <c r="CD279" s="107"/>
      <c r="CE279" s="107"/>
      <c r="CF279" s="107"/>
      <c r="CG279" s="107"/>
      <c r="CH279" s="107"/>
      <c r="CI279" s="107"/>
      <c r="CJ279" s="107"/>
      <c r="CK279" s="107"/>
      <c r="CL279" s="107"/>
      <c r="CM279" s="107"/>
      <c r="CN279" s="107"/>
      <c r="CO279" s="107"/>
      <c r="CP279" s="107"/>
      <c r="CQ279" s="107"/>
      <c r="CR279" s="107"/>
      <c r="CS279" s="107"/>
      <c r="CT279" s="107"/>
      <c r="CU279" s="107"/>
      <c r="CV279" s="107"/>
      <c r="CW279" s="107"/>
      <c r="CX279" s="107"/>
      <c r="CY279" s="107"/>
      <c r="CZ279" s="107"/>
      <c r="DA279" s="107"/>
      <c r="DB279" s="107"/>
      <c r="DC279" s="107"/>
      <c r="DD279" s="107"/>
      <c r="DE279" s="107"/>
      <c r="DF279" s="107"/>
      <c r="DG279" s="107"/>
      <c r="DH279" s="107"/>
    </row>
    <row r="280" spans="8:112" ht="14.1" customHeight="1" x14ac:dyDescent="0.25">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c r="BS280" s="107"/>
      <c r="BT280" s="107"/>
      <c r="BU280" s="107"/>
      <c r="BV280" s="107"/>
      <c r="BW280" s="107"/>
      <c r="BX280" s="107"/>
      <c r="BY280" s="107"/>
      <c r="BZ280" s="107"/>
      <c r="CA280" s="107"/>
      <c r="CB280" s="107"/>
      <c r="CC280" s="107"/>
      <c r="CD280" s="107"/>
      <c r="CE280" s="107"/>
      <c r="CF280" s="107"/>
      <c r="CG280" s="107"/>
      <c r="CH280" s="107"/>
      <c r="CI280" s="107"/>
      <c r="CJ280" s="107"/>
      <c r="CK280" s="107"/>
      <c r="CL280" s="107"/>
      <c r="CM280" s="107"/>
      <c r="CN280" s="107"/>
      <c r="CO280" s="107"/>
      <c r="CP280" s="107"/>
      <c r="CQ280" s="107"/>
      <c r="CR280" s="107"/>
      <c r="CS280" s="107"/>
      <c r="CT280" s="107"/>
      <c r="CU280" s="107"/>
      <c r="CV280" s="107"/>
      <c r="CW280" s="107"/>
      <c r="CX280" s="107"/>
      <c r="CY280" s="107"/>
      <c r="CZ280" s="107"/>
      <c r="DA280" s="107"/>
      <c r="DB280" s="107"/>
      <c r="DC280" s="107"/>
      <c r="DD280" s="107"/>
      <c r="DE280" s="107"/>
      <c r="DF280" s="107"/>
      <c r="DG280" s="107"/>
      <c r="DH280" s="107"/>
    </row>
    <row r="281" spans="8:112" ht="14.1" customHeight="1" x14ac:dyDescent="0.25">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c r="BS281" s="107"/>
      <c r="BT281" s="107"/>
      <c r="BU281" s="107"/>
      <c r="BV281" s="107"/>
      <c r="BW281" s="107"/>
      <c r="BX281" s="107"/>
      <c r="BY281" s="107"/>
      <c r="BZ281" s="107"/>
      <c r="CA281" s="107"/>
      <c r="CB281" s="107"/>
      <c r="CC281" s="107"/>
      <c r="CD281" s="107"/>
      <c r="CE281" s="107"/>
      <c r="CF281" s="107"/>
      <c r="CG281" s="107"/>
      <c r="CH281" s="107"/>
      <c r="CI281" s="107"/>
      <c r="CJ281" s="107"/>
      <c r="CK281" s="107"/>
      <c r="CL281" s="107"/>
      <c r="CM281" s="107"/>
      <c r="CN281" s="107"/>
      <c r="CO281" s="107"/>
      <c r="CP281" s="107"/>
      <c r="CQ281" s="107"/>
      <c r="CR281" s="107"/>
      <c r="CS281" s="107"/>
      <c r="CT281" s="107"/>
      <c r="CU281" s="107"/>
      <c r="CV281" s="107"/>
      <c r="CW281" s="107"/>
      <c r="CX281" s="107"/>
      <c r="CY281" s="107"/>
      <c r="CZ281" s="107"/>
      <c r="DA281" s="107"/>
      <c r="DB281" s="107"/>
      <c r="DC281" s="107"/>
      <c r="DD281" s="107"/>
      <c r="DE281" s="107"/>
      <c r="DF281" s="107"/>
      <c r="DG281" s="107"/>
      <c r="DH281" s="107"/>
    </row>
    <row r="282" spans="8:112" ht="14.1" customHeight="1" x14ac:dyDescent="0.25">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c r="BS282" s="107"/>
      <c r="BT282" s="107"/>
      <c r="BU282" s="107"/>
      <c r="BV282" s="107"/>
      <c r="BW282" s="107"/>
      <c r="BX282" s="107"/>
      <c r="BY282" s="107"/>
      <c r="BZ282" s="107"/>
      <c r="CA282" s="107"/>
      <c r="CB282" s="107"/>
      <c r="CC282" s="107"/>
      <c r="CD282" s="107"/>
      <c r="CE282" s="107"/>
      <c r="CF282" s="107"/>
      <c r="CG282" s="107"/>
      <c r="CH282" s="107"/>
      <c r="CI282" s="107"/>
      <c r="CJ282" s="107"/>
      <c r="CK282" s="107"/>
      <c r="CL282" s="107"/>
      <c r="CM282" s="107"/>
      <c r="CN282" s="107"/>
      <c r="CO282" s="107"/>
      <c r="CP282" s="107"/>
      <c r="CQ282" s="107"/>
      <c r="CR282" s="107"/>
      <c r="CS282" s="107"/>
      <c r="CT282" s="107"/>
      <c r="CU282" s="107"/>
      <c r="CV282" s="107"/>
      <c r="CW282" s="107"/>
      <c r="CX282" s="107"/>
      <c r="CY282" s="107"/>
      <c r="CZ282" s="107"/>
      <c r="DA282" s="107"/>
      <c r="DB282" s="107"/>
      <c r="DC282" s="107"/>
      <c r="DD282" s="107"/>
      <c r="DE282" s="107"/>
      <c r="DF282" s="107"/>
      <c r="DG282" s="107"/>
      <c r="DH282" s="107"/>
    </row>
    <row r="283" spans="8:112" ht="14.1" customHeight="1" x14ac:dyDescent="0.25">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c r="BS283" s="107"/>
      <c r="BT283" s="107"/>
      <c r="BU283" s="107"/>
      <c r="BV283" s="107"/>
      <c r="BW283" s="107"/>
      <c r="BX283" s="107"/>
      <c r="BY283" s="107"/>
      <c r="BZ283" s="107"/>
      <c r="CA283" s="107"/>
      <c r="CB283" s="107"/>
      <c r="CC283" s="107"/>
      <c r="CD283" s="107"/>
      <c r="CE283" s="107"/>
      <c r="CF283" s="107"/>
      <c r="CG283" s="107"/>
      <c r="CH283" s="107"/>
      <c r="CI283" s="107"/>
      <c r="CJ283" s="107"/>
      <c r="CK283" s="107"/>
      <c r="CL283" s="107"/>
      <c r="CM283" s="107"/>
      <c r="CN283" s="107"/>
      <c r="CO283" s="107"/>
      <c r="CP283" s="107"/>
      <c r="CQ283" s="107"/>
      <c r="CR283" s="107"/>
      <c r="CS283" s="107"/>
      <c r="CT283" s="107"/>
      <c r="CU283" s="107"/>
      <c r="CV283" s="107"/>
      <c r="CW283" s="107"/>
      <c r="CX283" s="107"/>
      <c r="CY283" s="107"/>
      <c r="CZ283" s="107"/>
      <c r="DA283" s="107"/>
      <c r="DB283" s="107"/>
      <c r="DC283" s="107"/>
      <c r="DD283" s="107"/>
      <c r="DE283" s="107"/>
      <c r="DF283" s="107"/>
      <c r="DG283" s="107"/>
      <c r="DH283" s="107"/>
    </row>
    <row r="284" spans="8:112" ht="14.1" customHeight="1" x14ac:dyDescent="0.25">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c r="BS284" s="107"/>
      <c r="BT284" s="107"/>
      <c r="BU284" s="107"/>
      <c r="BV284" s="107"/>
      <c r="BW284" s="107"/>
      <c r="BX284" s="107"/>
      <c r="BY284" s="107"/>
      <c r="BZ284" s="107"/>
      <c r="CA284" s="107"/>
      <c r="CB284" s="107"/>
      <c r="CC284" s="107"/>
      <c r="CD284" s="107"/>
      <c r="CE284" s="107"/>
      <c r="CF284" s="107"/>
      <c r="CG284" s="107"/>
      <c r="CH284" s="107"/>
      <c r="CI284" s="107"/>
      <c r="CJ284" s="107"/>
      <c r="CK284" s="107"/>
      <c r="CL284" s="107"/>
      <c r="CM284" s="107"/>
      <c r="CN284" s="107"/>
      <c r="CO284" s="107"/>
      <c r="CP284" s="107"/>
      <c r="CQ284" s="107"/>
      <c r="CR284" s="107"/>
      <c r="CS284" s="107"/>
      <c r="CT284" s="107"/>
      <c r="CU284" s="107"/>
      <c r="CV284" s="107"/>
      <c r="CW284" s="107"/>
      <c r="CX284" s="107"/>
      <c r="CY284" s="107"/>
      <c r="CZ284" s="107"/>
      <c r="DA284" s="107"/>
      <c r="DB284" s="107"/>
      <c r="DC284" s="107"/>
      <c r="DD284" s="107"/>
      <c r="DE284" s="107"/>
      <c r="DF284" s="107"/>
      <c r="DG284" s="107"/>
      <c r="DH284" s="107"/>
    </row>
    <row r="285" spans="8:112" ht="14.1" customHeight="1" x14ac:dyDescent="0.25">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c r="BS285" s="107"/>
      <c r="BT285" s="107"/>
      <c r="BU285" s="107"/>
      <c r="BV285" s="107"/>
      <c r="BW285" s="107"/>
      <c r="BX285" s="107"/>
      <c r="BY285" s="107"/>
      <c r="BZ285" s="107"/>
      <c r="CA285" s="107"/>
      <c r="CB285" s="107"/>
      <c r="CC285" s="107"/>
      <c r="CD285" s="107"/>
      <c r="CE285" s="107"/>
      <c r="CF285" s="107"/>
      <c r="CG285" s="107"/>
      <c r="CH285" s="107"/>
      <c r="CI285" s="107"/>
      <c r="CJ285" s="107"/>
      <c r="CK285" s="107"/>
      <c r="CL285" s="107"/>
      <c r="CM285" s="107"/>
      <c r="CN285" s="107"/>
      <c r="CO285" s="107"/>
      <c r="CP285" s="107"/>
      <c r="CQ285" s="107"/>
      <c r="CR285" s="107"/>
      <c r="CS285" s="107"/>
      <c r="CT285" s="107"/>
      <c r="CU285" s="107"/>
      <c r="CV285" s="107"/>
      <c r="CW285" s="107"/>
      <c r="CX285" s="107"/>
      <c r="CY285" s="107"/>
      <c r="CZ285" s="107"/>
      <c r="DA285" s="107"/>
      <c r="DB285" s="107"/>
      <c r="DC285" s="107"/>
      <c r="DD285" s="107"/>
      <c r="DE285" s="107"/>
      <c r="DF285" s="107"/>
      <c r="DG285" s="107"/>
      <c r="DH285" s="107"/>
    </row>
    <row r="286" spans="8:112" ht="14.1" customHeight="1" x14ac:dyDescent="0.25">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c r="BS286" s="107"/>
      <c r="BT286" s="107"/>
      <c r="BU286" s="107"/>
      <c r="BV286" s="107"/>
      <c r="BW286" s="107"/>
      <c r="BX286" s="107"/>
      <c r="BY286" s="107"/>
      <c r="BZ286" s="107"/>
      <c r="CA286" s="107"/>
      <c r="CB286" s="107"/>
      <c r="CC286" s="107"/>
      <c r="CD286" s="107"/>
      <c r="CE286" s="107"/>
      <c r="CF286" s="107"/>
      <c r="CG286" s="107"/>
      <c r="CH286" s="107"/>
      <c r="CI286" s="107"/>
      <c r="CJ286" s="107"/>
      <c r="CK286" s="107"/>
      <c r="CL286" s="107"/>
      <c r="CM286" s="107"/>
      <c r="CN286" s="107"/>
      <c r="CO286" s="107"/>
      <c r="CP286" s="107"/>
      <c r="CQ286" s="107"/>
      <c r="CR286" s="107"/>
      <c r="CS286" s="107"/>
      <c r="CT286" s="107"/>
      <c r="CU286" s="107"/>
      <c r="CV286" s="107"/>
      <c r="CW286" s="107"/>
      <c r="CX286" s="107"/>
      <c r="CY286" s="107"/>
      <c r="CZ286" s="107"/>
      <c r="DA286" s="107"/>
      <c r="DB286" s="107"/>
      <c r="DC286" s="107"/>
      <c r="DD286" s="107"/>
      <c r="DE286" s="107"/>
      <c r="DF286" s="107"/>
      <c r="DG286" s="107"/>
      <c r="DH286" s="107"/>
    </row>
    <row r="287" spans="8:112" ht="14.1" customHeight="1" x14ac:dyDescent="0.25">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c r="BS287" s="107"/>
      <c r="BT287" s="107"/>
      <c r="BU287" s="107"/>
      <c r="BV287" s="107"/>
      <c r="BW287" s="107"/>
      <c r="BX287" s="107"/>
      <c r="BY287" s="107"/>
      <c r="BZ287" s="107"/>
      <c r="CA287" s="107"/>
      <c r="CB287" s="107"/>
      <c r="CC287" s="107"/>
      <c r="CD287" s="107"/>
      <c r="CE287" s="107"/>
      <c r="CF287" s="107"/>
      <c r="CG287" s="107"/>
      <c r="CH287" s="107"/>
      <c r="CI287" s="107"/>
      <c r="CJ287" s="107"/>
      <c r="CK287" s="107"/>
      <c r="CL287" s="107"/>
      <c r="CM287" s="107"/>
      <c r="CN287" s="107"/>
      <c r="CO287" s="107"/>
      <c r="CP287" s="107"/>
      <c r="CQ287" s="107"/>
      <c r="CR287" s="107"/>
      <c r="CS287" s="107"/>
      <c r="CT287" s="107"/>
      <c r="CU287" s="107"/>
      <c r="CV287" s="107"/>
      <c r="CW287" s="107"/>
      <c r="CX287" s="107"/>
      <c r="CY287" s="107"/>
      <c r="CZ287" s="107"/>
      <c r="DA287" s="107"/>
      <c r="DB287" s="107"/>
      <c r="DC287" s="107"/>
      <c r="DD287" s="107"/>
      <c r="DE287" s="107"/>
      <c r="DF287" s="107"/>
      <c r="DG287" s="107"/>
      <c r="DH287" s="107"/>
    </row>
    <row r="288" spans="8:112" ht="14.1" customHeight="1" x14ac:dyDescent="0.25">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c r="BS288" s="107"/>
      <c r="BT288" s="107"/>
      <c r="BU288" s="107"/>
      <c r="BV288" s="107"/>
      <c r="BW288" s="107"/>
      <c r="BX288" s="107"/>
      <c r="BY288" s="107"/>
      <c r="BZ288" s="107"/>
      <c r="CA288" s="107"/>
      <c r="CB288" s="107"/>
      <c r="CC288" s="107"/>
      <c r="CD288" s="107"/>
      <c r="CE288" s="107"/>
      <c r="CF288" s="107"/>
      <c r="CG288" s="107"/>
      <c r="CH288" s="107"/>
      <c r="CI288" s="107"/>
      <c r="CJ288" s="107"/>
      <c r="CK288" s="107"/>
      <c r="CL288" s="107"/>
      <c r="CM288" s="107"/>
      <c r="CN288" s="107"/>
      <c r="CO288" s="107"/>
      <c r="CP288" s="107"/>
      <c r="CQ288" s="107"/>
      <c r="CR288" s="107"/>
      <c r="CS288" s="107"/>
      <c r="CT288" s="107"/>
      <c r="CU288" s="107"/>
      <c r="CV288" s="107"/>
      <c r="CW288" s="107"/>
      <c r="CX288" s="107"/>
      <c r="CY288" s="107"/>
      <c r="CZ288" s="107"/>
      <c r="DA288" s="107"/>
      <c r="DB288" s="107"/>
      <c r="DC288" s="107"/>
      <c r="DD288" s="107"/>
      <c r="DE288" s="107"/>
      <c r="DF288" s="107"/>
      <c r="DG288" s="107"/>
      <c r="DH288" s="107"/>
    </row>
    <row r="289" spans="20:112" ht="14.1" customHeight="1" x14ac:dyDescent="0.25">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c r="BS289" s="107"/>
      <c r="BT289" s="107"/>
      <c r="BU289" s="107"/>
      <c r="BV289" s="107"/>
      <c r="BW289" s="107"/>
      <c r="BX289" s="107"/>
      <c r="BY289" s="107"/>
      <c r="BZ289" s="107"/>
      <c r="CA289" s="107"/>
      <c r="CB289" s="107"/>
      <c r="CC289" s="107"/>
      <c r="CD289" s="107"/>
      <c r="CE289" s="107"/>
      <c r="CF289" s="107"/>
      <c r="CG289" s="107"/>
      <c r="CH289" s="107"/>
      <c r="CI289" s="107"/>
      <c r="CJ289" s="107"/>
      <c r="CK289" s="107"/>
      <c r="CL289" s="107"/>
      <c r="CM289" s="107"/>
      <c r="CN289" s="107"/>
      <c r="CO289" s="107"/>
      <c r="CP289" s="107"/>
      <c r="CQ289" s="107"/>
      <c r="CR289" s="107"/>
      <c r="CS289" s="107"/>
      <c r="CT289" s="107"/>
      <c r="CU289" s="107"/>
      <c r="CV289" s="107"/>
      <c r="CW289" s="107"/>
      <c r="CX289" s="107"/>
      <c r="CY289" s="107"/>
      <c r="CZ289" s="107"/>
      <c r="DA289" s="107"/>
      <c r="DB289" s="107"/>
      <c r="DC289" s="107"/>
      <c r="DD289" s="107"/>
      <c r="DE289" s="107"/>
      <c r="DF289" s="107"/>
      <c r="DG289" s="107"/>
      <c r="DH289" s="107"/>
    </row>
    <row r="290" spans="20:112" ht="14.1" customHeight="1" x14ac:dyDescent="0.25">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c r="BS290" s="107"/>
      <c r="BT290" s="107"/>
      <c r="BU290" s="107"/>
      <c r="BV290" s="107"/>
      <c r="BW290" s="107"/>
      <c r="BX290" s="107"/>
      <c r="BY290" s="107"/>
      <c r="BZ290" s="107"/>
      <c r="CA290" s="107"/>
      <c r="CB290" s="107"/>
      <c r="CC290" s="107"/>
      <c r="CD290" s="107"/>
      <c r="CE290" s="107"/>
      <c r="CF290" s="107"/>
      <c r="CG290" s="107"/>
      <c r="CH290" s="107"/>
      <c r="CI290" s="107"/>
      <c r="CJ290" s="107"/>
      <c r="CK290" s="107"/>
      <c r="CL290" s="107"/>
      <c r="CM290" s="107"/>
      <c r="CN290" s="107"/>
      <c r="CO290" s="107"/>
      <c r="CP290" s="107"/>
      <c r="CQ290" s="107"/>
      <c r="CR290" s="107"/>
      <c r="CS290" s="107"/>
      <c r="CT290" s="107"/>
      <c r="CU290" s="107"/>
      <c r="CV290" s="107"/>
      <c r="CW290" s="107"/>
      <c r="CX290" s="107"/>
      <c r="CY290" s="107"/>
      <c r="CZ290" s="107"/>
      <c r="DA290" s="107"/>
      <c r="DB290" s="107"/>
      <c r="DC290" s="107"/>
      <c r="DD290" s="107"/>
      <c r="DE290" s="107"/>
      <c r="DF290" s="107"/>
      <c r="DG290" s="107"/>
      <c r="DH290" s="107"/>
    </row>
    <row r="459" spans="12:46" ht="14.1" customHeight="1" x14ac:dyDescent="0.25">
      <c r="L459" s="3">
        <v>0</v>
      </c>
      <c r="M459" s="3">
        <v>0</v>
      </c>
      <c r="N459" s="3">
        <v>0</v>
      </c>
      <c r="O459" s="3">
        <v>0</v>
      </c>
      <c r="P459" s="3">
        <v>0</v>
      </c>
      <c r="Q459" s="3">
        <v>0</v>
      </c>
      <c r="R459" s="3">
        <v>0</v>
      </c>
      <c r="S459" s="3">
        <v>0</v>
      </c>
      <c r="T459" s="3">
        <v>0</v>
      </c>
      <c r="U459" s="3">
        <v>0</v>
      </c>
      <c r="V459" s="3">
        <v>0</v>
      </c>
      <c r="W459" s="3">
        <v>0</v>
      </c>
      <c r="X459" s="3">
        <v>0</v>
      </c>
      <c r="Y459" s="3">
        <v>0</v>
      </c>
      <c r="Z459" s="3">
        <v>0</v>
      </c>
      <c r="AA459" s="3">
        <v>0</v>
      </c>
      <c r="AB459" s="3">
        <v>0</v>
      </c>
      <c r="AC459" s="3">
        <v>0</v>
      </c>
      <c r="AD459" s="3">
        <v>0</v>
      </c>
      <c r="AE459" s="3">
        <v>0</v>
      </c>
      <c r="AF459" s="3">
        <v>0</v>
      </c>
      <c r="AG459" s="3">
        <v>0</v>
      </c>
      <c r="AH459" s="3">
        <v>0</v>
      </c>
      <c r="AI459" s="3">
        <v>0</v>
      </c>
      <c r="AJ459" s="3">
        <v>0</v>
      </c>
      <c r="AK459" s="3">
        <v>0</v>
      </c>
      <c r="AL459" s="3">
        <v>0</v>
      </c>
      <c r="AM459" s="3">
        <v>0</v>
      </c>
      <c r="AN459" s="3">
        <v>0</v>
      </c>
      <c r="AO459" s="3">
        <v>0</v>
      </c>
      <c r="AP459" s="3">
        <v>0</v>
      </c>
      <c r="AQ459" s="3">
        <v>0</v>
      </c>
      <c r="AR459" s="3">
        <v>0</v>
      </c>
      <c r="AS459" s="3">
        <v>0</v>
      </c>
      <c r="AT459" s="3">
        <v>0</v>
      </c>
    </row>
  </sheetData>
  <mergeCells count="66">
    <mergeCell ref="H2:K2"/>
    <mergeCell ref="S3:T3"/>
    <mergeCell ref="S4:T4"/>
    <mergeCell ref="S5:T5"/>
    <mergeCell ref="H275:L275"/>
    <mergeCell ref="H276:L276"/>
    <mergeCell ref="J101:J106"/>
    <mergeCell ref="J139:J144"/>
    <mergeCell ref="H269:L269"/>
    <mergeCell ref="H270:L270"/>
    <mergeCell ref="H271:L271"/>
    <mergeCell ref="H272:L272"/>
    <mergeCell ref="H273:L273"/>
    <mergeCell ref="H274:L274"/>
    <mergeCell ref="H263:L263"/>
    <mergeCell ref="H264:L264"/>
    <mergeCell ref="H265:L265"/>
    <mergeCell ref="H266:L266"/>
    <mergeCell ref="H267:L267"/>
    <mergeCell ref="H268:L268"/>
    <mergeCell ref="J58:J85"/>
    <mergeCell ref="H262:L262"/>
    <mergeCell ref="J131:J136"/>
    <mergeCell ref="J155:J160"/>
    <mergeCell ref="J147:J152"/>
    <mergeCell ref="J162:J167"/>
    <mergeCell ref="J178:J183"/>
    <mergeCell ref="H188:H198"/>
    <mergeCell ref="J188:J193"/>
    <mergeCell ref="J196:J201"/>
    <mergeCell ref="H205:H207"/>
    <mergeCell ref="J205:J210"/>
    <mergeCell ref="H225:H234"/>
    <mergeCell ref="J225:J234"/>
    <mergeCell ref="J170:J176"/>
    <mergeCell ref="H261:L261"/>
    <mergeCell ref="J108:J113"/>
    <mergeCell ref="J94:J99"/>
    <mergeCell ref="J115:J120"/>
    <mergeCell ref="J123:J128"/>
    <mergeCell ref="N51:N52"/>
    <mergeCell ref="J48:M48"/>
    <mergeCell ref="J49:M49"/>
    <mergeCell ref="J50:L50"/>
    <mergeCell ref="J42:M42"/>
    <mergeCell ref="J43:M43"/>
    <mergeCell ref="J44:M44"/>
    <mergeCell ref="J45:M45"/>
    <mergeCell ref="J46:M46"/>
    <mergeCell ref="J47:M47"/>
    <mergeCell ref="M51:M52"/>
    <mergeCell ref="G7:AD7"/>
    <mergeCell ref="H9:H27"/>
    <mergeCell ref="H30:H87"/>
    <mergeCell ref="J30:N30"/>
    <mergeCell ref="J31:M31"/>
    <mergeCell ref="J32:M32"/>
    <mergeCell ref="J33:M33"/>
    <mergeCell ref="J34:M34"/>
    <mergeCell ref="J35:M35"/>
    <mergeCell ref="J36:M36"/>
    <mergeCell ref="J37:M37"/>
    <mergeCell ref="J38:M38"/>
    <mergeCell ref="J39:M39"/>
    <mergeCell ref="J40:M40"/>
    <mergeCell ref="J41:M41"/>
  </mergeCells>
  <conditionalFormatting sqref="L101:O106">
    <cfRule type="cellIs" dxfId="0" priority="1" operator="greaterThan">
      <formula>1</formula>
    </cfRule>
  </conditionalFormatting>
  <hyperlinks>
    <hyperlink ref="N273" r:id="rId1" location="H3R4NVT7" xr:uid="{2FD2AD7A-EF24-497A-9B86-D6A9765BC323}"/>
    <hyperlink ref="N272" r:id="rId2" location="H3R4NVT7" xr:uid="{0D9A8677-932B-4880-A908-B82D10B25B13}"/>
    <hyperlink ref="N271" r:id="rId3" location="H3R4NVT7" xr:uid="{463EC9C2-115A-442F-B8C0-9586FFEBB669}"/>
    <hyperlink ref="N276" r:id="rId4" location="XZ87ZYJU" xr:uid="{1AFB54AB-6F38-470B-AC86-FF0DA93C3B42}"/>
    <hyperlink ref="M276" r:id="rId5" location="FYT6DUQC" xr:uid="{1FFE2B47-058F-41DF-9EBA-72EFD232FEA8}"/>
    <hyperlink ref="O273" r:id="rId6" location="XZ87ZYJU" xr:uid="{4081E717-F56B-4F8B-A556-EFAC2A69FC8C}"/>
    <hyperlink ref="M273" r:id="rId7" location="XZ87ZYJU" xr:uid="{9AF52B12-4161-4C2C-91DC-43B0A4605EC5}"/>
    <hyperlink ref="O272" r:id="rId8" location="XZ87ZYJU" xr:uid="{66614EB4-C25A-4182-8A68-A6AD3A6A0876}"/>
    <hyperlink ref="M272" r:id="rId9" location="XZ87ZYJU" xr:uid="{4726DC12-76FD-474A-9B29-2D7CB631A66F}"/>
    <hyperlink ref="O271" r:id="rId10" location="XZ87ZYJU" xr:uid="{C7FB9789-9DE9-44B6-A240-59B9F0CD49BB}"/>
    <hyperlink ref="M271" r:id="rId11" location="W7VWTAH4" xr:uid="{01A95EFD-B157-46B8-8660-3987D9129B36}"/>
    <hyperlink ref="N268" r:id="rId12" location="XP6RZMY9" xr:uid="{6EFEC5B0-1BED-4A99-A06B-93BE8754D381}"/>
    <hyperlink ref="O268" r:id="rId13" location="XZ87ZYJU" xr:uid="{AC51D050-A869-4040-A331-EFA4637EF9C5}"/>
    <hyperlink ref="M268" r:id="rId14" location="FYT6DUQC" xr:uid="{0B4D6B7E-AA08-4C7C-B381-9ACF5489B043}"/>
    <hyperlink ref="O265" r:id="rId15" location="XZ87ZYJU" xr:uid="{36EC4958-708C-413B-8FB6-D7B05236CAC7}"/>
    <hyperlink ref="N265" r:id="rId16" location="XP6RZMY9" xr:uid="{7CAFC3DE-999A-4C49-A1EA-FF46377555DF}"/>
    <hyperlink ref="M265" r:id="rId17" location="FYT6DUQC" xr:uid="{FEA6D560-F003-4B84-B8B1-2CECE48D8FC7}"/>
    <hyperlink ref="M264" r:id="rId18" location="FYT6DUQC" xr:uid="{960D1880-FBA8-4583-94EF-69BD3BAC37A7}"/>
    <hyperlink ref="N264" r:id="rId19" location="XP6RZMY9" xr:uid="{2E0941DF-B5C5-4EC6-B94A-517B24B93182}"/>
    <hyperlink ref="O264" r:id="rId20" location="XZ87ZYJU" xr:uid="{872ED7A1-0AA7-4274-AD3E-33E92E3652E4}"/>
    <hyperlink ref="M263" r:id="rId21" location="2QSYACPJ" xr:uid="{05628E1D-09F0-47A9-A04A-C72ABCE83C37}"/>
    <hyperlink ref="M262" r:id="rId22" location="2QSYACPJ" xr:uid="{8163FE36-7148-4687-A940-06863779DC1D}"/>
    <hyperlink ref="L1" r:id="rId23" xr:uid="{7B7BD01D-2CE6-4D29-860B-7634ACAF35F7}"/>
  </hyperlinks>
  <pageMargins left="0.7" right="0.7" top="0.75" bottom="0.75" header="0.3" footer="0.3"/>
  <pageSetup orientation="portrait" r:id="rId24"/>
  <drawing r:id="rId25"/>
  <legacyDrawing r:id="rId26"/>
  <mc:AlternateContent xmlns:mc="http://schemas.openxmlformats.org/markup-compatibility/2006">
    <mc:Choice Requires="x14">
      <controls>
        <mc:AlternateContent xmlns:mc="http://schemas.openxmlformats.org/markup-compatibility/2006">
          <mc:Choice Requires="x14">
            <control shapeId="2049" r:id="rId27" name="Button 1">
              <controlPr defaultSize="0" print="0" autoFill="0" autoPict="0" macro="[1]!Module4.CurrentCostsJump">
                <anchor moveWithCells="1" sizeWithCells="1">
                  <from>
                    <xdr:col>9</xdr:col>
                    <xdr:colOff>792480</xdr:colOff>
                    <xdr:row>2</xdr:row>
                    <xdr:rowOff>106680</xdr:rowOff>
                  </from>
                  <to>
                    <xdr:col>11</xdr:col>
                    <xdr:colOff>381000</xdr:colOff>
                    <xdr:row>4</xdr:row>
                    <xdr:rowOff>106680</xdr:rowOff>
                  </to>
                </anchor>
              </controlPr>
            </control>
          </mc:Choice>
        </mc:AlternateContent>
        <mc:AlternateContent xmlns:mc="http://schemas.openxmlformats.org/markup-compatibility/2006">
          <mc:Choice Requires="x14">
            <control shapeId="2050" r:id="rId28" name="Button 2">
              <controlPr defaultSize="0" print="0" autoFill="0" autoPict="0" macro="[1]!Module4.FutureProjectionsJump">
                <anchor moveWithCells="1" sizeWithCells="1">
                  <from>
                    <xdr:col>11</xdr:col>
                    <xdr:colOff>647700</xdr:colOff>
                    <xdr:row>2</xdr:row>
                    <xdr:rowOff>106680</xdr:rowOff>
                  </from>
                  <to>
                    <xdr:col>13</xdr:col>
                    <xdr:colOff>723900</xdr:colOff>
                    <xdr:row>4</xdr:row>
                    <xdr:rowOff>106680</xdr:rowOff>
                  </to>
                </anchor>
              </controlPr>
            </control>
          </mc:Choice>
        </mc:AlternateContent>
        <mc:AlternateContent xmlns:mc="http://schemas.openxmlformats.org/markup-compatibility/2006">
          <mc:Choice Requires="x14">
            <control shapeId="2051" r:id="rId29" name="Button 3">
              <controlPr defaultSize="0" print="0" autoFill="0" autoPict="0" macro="[1]!Module4.CurrentCostsJump" altText="Assumptions">
                <anchor moveWithCells="1" sizeWithCells="1">
                  <from>
                    <xdr:col>9</xdr:col>
                    <xdr:colOff>792480</xdr:colOff>
                    <xdr:row>2</xdr:row>
                    <xdr:rowOff>106680</xdr:rowOff>
                  </from>
                  <to>
                    <xdr:col>11</xdr:col>
                    <xdr:colOff>381000</xdr:colOff>
                    <xdr:row>4</xdr:row>
                    <xdr:rowOff>106680</xdr:rowOff>
                  </to>
                </anchor>
              </controlPr>
            </control>
          </mc:Choice>
        </mc:AlternateContent>
        <mc:AlternateContent xmlns:mc="http://schemas.openxmlformats.org/markup-compatibility/2006">
          <mc:Choice Requires="x14">
            <control shapeId="2052" r:id="rId30" name="Button 4">
              <controlPr defaultSize="0" print="0" autoFill="0" autoPict="0" macro="[1]!Module4.HistoricTrendsJump">
                <anchor moveWithCells="1" sizeWithCells="1">
                  <from>
                    <xdr:col>14</xdr:col>
                    <xdr:colOff>68580</xdr:colOff>
                    <xdr:row>2</xdr:row>
                    <xdr:rowOff>106680</xdr:rowOff>
                  </from>
                  <to>
                    <xdr:col>16</xdr:col>
                    <xdr:colOff>106680</xdr:colOff>
                    <xdr:row>4</xdr:row>
                    <xdr:rowOff>106680</xdr:rowOff>
                  </to>
                </anchor>
              </controlPr>
            </control>
          </mc:Choice>
        </mc:AlternateContent>
        <mc:AlternateContent xmlns:mc="http://schemas.openxmlformats.org/markup-compatibility/2006">
          <mc:Choice Requires="x14">
            <control shapeId="2053" r:id="rId31" name="Button 5">
              <controlPr defaultSize="0" print="0" autoFill="0" autoPict="0" macro="[1]!Module4.FutureProjectionsJump">
                <anchor moveWithCells="1" sizeWithCells="1">
                  <from>
                    <xdr:col>11</xdr:col>
                    <xdr:colOff>647700</xdr:colOff>
                    <xdr:row>2</xdr:row>
                    <xdr:rowOff>106680</xdr:rowOff>
                  </from>
                  <to>
                    <xdr:col>13</xdr:col>
                    <xdr:colOff>723900</xdr:colOff>
                    <xdr:row>4</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A11D9-E1F6-4A47-9B43-6480CDEEBB53}">
  <sheetPr codeName="Sheet21">
    <tabColor theme="1"/>
  </sheetPr>
  <dimension ref="A1:XFD102"/>
  <sheetViews>
    <sheetView zoomScaleNormal="100" zoomScalePageLayoutView="85" workbookViewId="0">
      <selection activeCell="C10" sqref="C10"/>
    </sheetView>
  </sheetViews>
  <sheetFormatPr defaultColWidth="11.44140625" defaultRowHeight="14.4" x14ac:dyDescent="0.3"/>
  <cols>
    <col min="1" max="1" width="5" customWidth="1"/>
    <col min="2" max="2" width="30.44140625" style="184" customWidth="1"/>
    <col min="3" max="3" width="69.44140625" style="184" customWidth="1"/>
    <col min="4" max="4" width="72.44140625" style="186" customWidth="1"/>
  </cols>
  <sheetData>
    <row r="1" spans="1:16384" x14ac:dyDescent="0.3">
      <c r="A1" s="252"/>
      <c r="B1" s="253"/>
      <c r="C1" s="253"/>
      <c r="D1" s="253"/>
      <c r="E1" s="252"/>
      <c r="F1" s="253"/>
      <c r="G1" s="253"/>
      <c r="H1" s="253"/>
      <c r="I1" s="252"/>
      <c r="J1" s="253"/>
      <c r="K1" s="253"/>
      <c r="L1" s="253"/>
      <c r="M1" s="252"/>
      <c r="N1" s="253"/>
      <c r="O1" s="253"/>
      <c r="P1" s="253"/>
      <c r="Q1" s="252"/>
      <c r="R1" s="253"/>
      <c r="S1" s="253"/>
      <c r="T1" s="253"/>
      <c r="U1" s="252"/>
      <c r="V1" s="253"/>
      <c r="W1" s="253"/>
      <c r="X1" s="253"/>
      <c r="Y1" s="252"/>
      <c r="Z1" s="253"/>
      <c r="AA1" s="253"/>
      <c r="AB1" s="253"/>
      <c r="AC1" s="252"/>
      <c r="AD1" s="253"/>
      <c r="AE1" s="253"/>
      <c r="AF1" s="253"/>
      <c r="AG1" s="252"/>
      <c r="AH1" s="253"/>
      <c r="AI1" s="253"/>
      <c r="AJ1" s="253"/>
      <c r="AK1" s="252"/>
      <c r="AL1" s="253"/>
      <c r="AM1" s="253"/>
      <c r="AN1" s="253"/>
      <c r="AO1" s="252"/>
      <c r="AP1" s="253"/>
      <c r="AQ1" s="253"/>
      <c r="AR1" s="253"/>
      <c r="AS1" s="252"/>
      <c r="AT1" s="253"/>
      <c r="AU1" s="253"/>
      <c r="AV1" s="253"/>
      <c r="AW1" s="252"/>
      <c r="AX1" s="253"/>
      <c r="AY1" s="253"/>
      <c r="AZ1" s="253"/>
      <c r="BA1" s="252"/>
      <c r="BB1" s="253"/>
      <c r="BC1" s="253"/>
      <c r="BD1" s="253"/>
      <c r="BE1" s="252"/>
      <c r="BF1" s="253"/>
      <c r="BG1" s="253"/>
      <c r="BH1" s="253"/>
      <c r="BI1" s="252"/>
      <c r="BJ1" s="253"/>
      <c r="BK1" s="253"/>
      <c r="BL1" s="253"/>
      <c r="BM1" s="252"/>
      <c r="BN1" s="253"/>
      <c r="BO1" s="253"/>
      <c r="BP1" s="253"/>
      <c r="BQ1" s="252"/>
      <c r="BR1" s="253"/>
      <c r="BS1" s="253"/>
      <c r="BT1" s="253"/>
      <c r="BU1" s="252"/>
      <c r="BV1" s="253"/>
      <c r="BW1" s="253"/>
      <c r="BX1" s="253"/>
      <c r="BY1" s="252"/>
      <c r="BZ1" s="253"/>
      <c r="CA1" s="253"/>
      <c r="CB1" s="253"/>
      <c r="CC1" s="252"/>
      <c r="CD1" s="253"/>
      <c r="CE1" s="253"/>
      <c r="CF1" s="253"/>
      <c r="CG1" s="252"/>
      <c r="CH1" s="253"/>
      <c r="CI1" s="253"/>
      <c r="CJ1" s="253"/>
      <c r="CK1" s="252"/>
      <c r="CL1" s="253"/>
      <c r="CM1" s="253"/>
      <c r="CN1" s="253"/>
      <c r="CO1" s="252"/>
      <c r="CP1" s="253"/>
      <c r="CQ1" s="253"/>
      <c r="CR1" s="253"/>
      <c r="CS1" s="252"/>
      <c r="CT1" s="253"/>
      <c r="CU1" s="253"/>
      <c r="CV1" s="253"/>
      <c r="CW1" s="252"/>
      <c r="CX1" s="253"/>
      <c r="CY1" s="253"/>
      <c r="CZ1" s="253"/>
      <c r="DA1" s="252"/>
      <c r="DB1" s="253"/>
      <c r="DC1" s="253"/>
      <c r="DD1" s="253"/>
      <c r="DE1" s="252"/>
      <c r="DF1" s="253"/>
      <c r="DG1" s="253"/>
      <c r="DH1" s="253"/>
      <c r="DI1" s="252"/>
      <c r="DJ1" s="253"/>
      <c r="DK1" s="253"/>
      <c r="DL1" s="253"/>
      <c r="DM1" s="252"/>
      <c r="DN1" s="253"/>
      <c r="DO1" s="253"/>
      <c r="DP1" s="253"/>
      <c r="DQ1" s="252"/>
      <c r="DR1" s="253"/>
      <c r="DS1" s="253"/>
      <c r="DT1" s="253"/>
      <c r="DU1" s="252"/>
      <c r="DV1" s="253"/>
      <c r="DW1" s="253"/>
      <c r="DX1" s="253"/>
      <c r="DY1" s="252"/>
      <c r="DZ1" s="253"/>
      <c r="EA1" s="253"/>
      <c r="EB1" s="253"/>
      <c r="EC1" s="252"/>
      <c r="ED1" s="253"/>
      <c r="EE1" s="253"/>
      <c r="EF1" s="253"/>
      <c r="EG1" s="252"/>
      <c r="EH1" s="253"/>
      <c r="EI1" s="253"/>
      <c r="EJ1" s="253"/>
      <c r="EK1" s="252"/>
      <c r="EL1" s="253"/>
      <c r="EM1" s="253"/>
      <c r="EN1" s="253"/>
      <c r="EO1" s="252"/>
      <c r="EP1" s="253"/>
      <c r="EQ1" s="253"/>
      <c r="ER1" s="253"/>
      <c r="ES1" s="252"/>
      <c r="ET1" s="253"/>
      <c r="EU1" s="253"/>
      <c r="EV1" s="253"/>
      <c r="EW1" s="252"/>
      <c r="EX1" s="253"/>
      <c r="EY1" s="253"/>
      <c r="EZ1" s="253"/>
      <c r="FA1" s="252"/>
      <c r="FB1" s="253"/>
      <c r="FC1" s="253"/>
      <c r="FD1" s="253"/>
      <c r="FE1" s="252"/>
      <c r="FF1" s="253"/>
      <c r="FG1" s="253"/>
      <c r="FH1" s="253"/>
      <c r="FI1" s="252"/>
      <c r="FJ1" s="253"/>
      <c r="FK1" s="253"/>
      <c r="FL1" s="253"/>
      <c r="FM1" s="252"/>
      <c r="FN1" s="253"/>
      <c r="FO1" s="253"/>
      <c r="FP1" s="253"/>
      <c r="FQ1" s="252"/>
      <c r="FR1" s="253"/>
      <c r="FS1" s="253"/>
      <c r="FT1" s="253"/>
      <c r="FU1" s="252"/>
      <c r="FV1" s="253"/>
      <c r="FW1" s="253"/>
      <c r="FX1" s="253"/>
      <c r="FY1" s="252"/>
      <c r="FZ1" s="253"/>
      <c r="GA1" s="253"/>
      <c r="GB1" s="253"/>
      <c r="GC1" s="252"/>
      <c r="GD1" s="253"/>
      <c r="GE1" s="253"/>
      <c r="GF1" s="253"/>
      <c r="GG1" s="252"/>
      <c r="GH1" s="253"/>
      <c r="GI1" s="253"/>
      <c r="GJ1" s="253"/>
      <c r="GK1" s="252"/>
      <c r="GL1" s="253"/>
      <c r="GM1" s="253"/>
      <c r="GN1" s="253"/>
      <c r="GO1" s="252"/>
      <c r="GP1" s="253"/>
      <c r="GQ1" s="253"/>
      <c r="GR1" s="253"/>
      <c r="GS1" s="252"/>
      <c r="GT1" s="253"/>
      <c r="GU1" s="253"/>
      <c r="GV1" s="253"/>
      <c r="GW1" s="252"/>
      <c r="GX1" s="253"/>
      <c r="GY1" s="253"/>
      <c r="GZ1" s="253"/>
      <c r="HA1" s="252"/>
      <c r="HB1" s="253"/>
      <c r="HC1" s="253"/>
      <c r="HD1" s="253"/>
      <c r="HE1" s="252"/>
      <c r="HF1" s="253"/>
      <c r="HG1" s="253"/>
      <c r="HH1" s="253"/>
      <c r="HI1" s="252"/>
      <c r="HJ1" s="253"/>
      <c r="HK1" s="253"/>
      <c r="HL1" s="253"/>
      <c r="HM1" s="252"/>
      <c r="HN1" s="253"/>
      <c r="HO1" s="253"/>
      <c r="HP1" s="253"/>
      <c r="HQ1" s="252"/>
      <c r="HR1" s="253"/>
      <c r="HS1" s="253"/>
      <c r="HT1" s="253"/>
      <c r="HU1" s="252"/>
      <c r="HV1" s="253"/>
      <c r="HW1" s="253"/>
      <c r="HX1" s="253"/>
      <c r="HY1" s="252"/>
      <c r="HZ1" s="253"/>
      <c r="IA1" s="253"/>
      <c r="IB1" s="253"/>
      <c r="IC1" s="252"/>
      <c r="ID1" s="253"/>
      <c r="IE1" s="253"/>
      <c r="IF1" s="253"/>
      <c r="IG1" s="252"/>
      <c r="IH1" s="253"/>
      <c r="II1" s="253"/>
      <c r="IJ1" s="253"/>
      <c r="IK1" s="252"/>
      <c r="IL1" s="253"/>
      <c r="IM1" s="253"/>
      <c r="IN1" s="253"/>
      <c r="IO1" s="252"/>
      <c r="IP1" s="253"/>
      <c r="IQ1" s="253"/>
      <c r="IR1" s="253"/>
      <c r="IS1" s="252"/>
      <c r="IT1" s="253"/>
      <c r="IU1" s="253"/>
      <c r="IV1" s="253"/>
      <c r="IW1" s="252"/>
      <c r="IX1" s="253"/>
      <c r="IY1" s="253"/>
      <c r="IZ1" s="253"/>
      <c r="JA1" s="252"/>
      <c r="JB1" s="253"/>
      <c r="JC1" s="253"/>
      <c r="JD1" s="253"/>
      <c r="JE1" s="252"/>
      <c r="JF1" s="253"/>
      <c r="JG1" s="253"/>
      <c r="JH1" s="253"/>
      <c r="JI1" s="252"/>
      <c r="JJ1" s="253"/>
      <c r="JK1" s="253"/>
      <c r="JL1" s="253"/>
      <c r="JM1" s="252"/>
      <c r="JN1" s="253"/>
      <c r="JO1" s="253"/>
      <c r="JP1" s="253"/>
      <c r="JQ1" s="252"/>
      <c r="JR1" s="253"/>
      <c r="JS1" s="253"/>
      <c r="JT1" s="253"/>
      <c r="JU1" s="252"/>
      <c r="JV1" s="253"/>
      <c r="JW1" s="253"/>
      <c r="JX1" s="253"/>
      <c r="JY1" s="252"/>
      <c r="JZ1" s="253"/>
      <c r="KA1" s="253"/>
      <c r="KB1" s="253"/>
      <c r="KC1" s="252"/>
      <c r="KD1" s="253"/>
      <c r="KE1" s="253"/>
      <c r="KF1" s="253"/>
      <c r="KG1" s="252"/>
      <c r="KH1" s="253"/>
      <c r="KI1" s="253"/>
      <c r="KJ1" s="253"/>
      <c r="KK1" s="252"/>
      <c r="KL1" s="253"/>
      <c r="KM1" s="253"/>
      <c r="KN1" s="253"/>
      <c r="KO1" s="252"/>
      <c r="KP1" s="253"/>
      <c r="KQ1" s="253"/>
      <c r="KR1" s="253"/>
      <c r="KS1" s="252"/>
      <c r="KT1" s="253"/>
      <c r="KU1" s="253"/>
      <c r="KV1" s="253"/>
      <c r="KW1" s="252"/>
      <c r="KX1" s="253"/>
      <c r="KY1" s="253"/>
      <c r="KZ1" s="253"/>
      <c r="LA1" s="252"/>
      <c r="LB1" s="253"/>
      <c r="LC1" s="253"/>
      <c r="LD1" s="253"/>
      <c r="LE1" s="252"/>
      <c r="LF1" s="253"/>
      <c r="LG1" s="253"/>
      <c r="LH1" s="253"/>
      <c r="LI1" s="252"/>
      <c r="LJ1" s="253"/>
      <c r="LK1" s="253"/>
      <c r="LL1" s="253"/>
      <c r="LM1" s="252"/>
      <c r="LN1" s="253"/>
      <c r="LO1" s="253"/>
      <c r="LP1" s="253"/>
      <c r="LQ1" s="252"/>
      <c r="LR1" s="253"/>
      <c r="LS1" s="253"/>
      <c r="LT1" s="253"/>
      <c r="LU1" s="252"/>
      <c r="LV1" s="253"/>
      <c r="LW1" s="253"/>
      <c r="LX1" s="253"/>
      <c r="LY1" s="252"/>
      <c r="LZ1" s="253"/>
      <c r="MA1" s="253"/>
      <c r="MB1" s="253"/>
      <c r="MC1" s="252"/>
      <c r="MD1" s="253"/>
      <c r="ME1" s="253"/>
      <c r="MF1" s="253"/>
      <c r="MG1" s="252"/>
      <c r="MH1" s="253"/>
      <c r="MI1" s="253"/>
      <c r="MJ1" s="253"/>
      <c r="MK1" s="252"/>
      <c r="ML1" s="253"/>
      <c r="MM1" s="253"/>
      <c r="MN1" s="253"/>
      <c r="MO1" s="252"/>
      <c r="MP1" s="253"/>
      <c r="MQ1" s="253"/>
      <c r="MR1" s="253"/>
      <c r="MS1" s="252"/>
      <c r="MT1" s="253"/>
      <c r="MU1" s="253"/>
      <c r="MV1" s="253"/>
      <c r="MW1" s="252"/>
      <c r="MX1" s="253"/>
      <c r="MY1" s="253"/>
      <c r="MZ1" s="253"/>
      <c r="NA1" s="252"/>
      <c r="NB1" s="253"/>
      <c r="NC1" s="253"/>
      <c r="ND1" s="253"/>
      <c r="NE1" s="252"/>
      <c r="NF1" s="253"/>
      <c r="NG1" s="253"/>
      <c r="NH1" s="253"/>
      <c r="NI1" s="252"/>
      <c r="NJ1" s="253"/>
      <c r="NK1" s="253"/>
      <c r="NL1" s="253"/>
      <c r="NM1" s="252"/>
      <c r="NN1" s="253"/>
      <c r="NO1" s="253"/>
      <c r="NP1" s="253"/>
      <c r="NQ1" s="252"/>
      <c r="NR1" s="253"/>
      <c r="NS1" s="253"/>
      <c r="NT1" s="253"/>
      <c r="NU1" s="252"/>
      <c r="NV1" s="253"/>
      <c r="NW1" s="253"/>
      <c r="NX1" s="253"/>
      <c r="NY1" s="252"/>
      <c r="NZ1" s="253"/>
      <c r="OA1" s="253"/>
      <c r="OB1" s="253"/>
      <c r="OC1" s="252"/>
      <c r="OD1" s="253"/>
      <c r="OE1" s="253"/>
      <c r="OF1" s="253"/>
      <c r="OG1" s="252"/>
      <c r="OH1" s="253"/>
      <c r="OI1" s="253"/>
      <c r="OJ1" s="253"/>
      <c r="OK1" s="252"/>
      <c r="OL1" s="253"/>
      <c r="OM1" s="253"/>
      <c r="ON1" s="253"/>
      <c r="OO1" s="252"/>
      <c r="OP1" s="253"/>
      <c r="OQ1" s="253"/>
      <c r="OR1" s="253"/>
      <c r="OS1" s="252"/>
      <c r="OT1" s="253"/>
      <c r="OU1" s="253"/>
      <c r="OV1" s="253"/>
      <c r="OW1" s="252"/>
      <c r="OX1" s="253"/>
      <c r="OY1" s="253"/>
      <c r="OZ1" s="253"/>
      <c r="PA1" s="252"/>
      <c r="PB1" s="253"/>
      <c r="PC1" s="253"/>
      <c r="PD1" s="253"/>
      <c r="PE1" s="252"/>
      <c r="PF1" s="253"/>
      <c r="PG1" s="253"/>
      <c r="PH1" s="253"/>
      <c r="PI1" s="252"/>
      <c r="PJ1" s="253"/>
      <c r="PK1" s="253"/>
      <c r="PL1" s="253"/>
      <c r="PM1" s="252"/>
      <c r="PN1" s="253"/>
      <c r="PO1" s="253"/>
      <c r="PP1" s="253"/>
      <c r="PQ1" s="252"/>
      <c r="PR1" s="253"/>
      <c r="PS1" s="253"/>
      <c r="PT1" s="253"/>
      <c r="PU1" s="252"/>
      <c r="PV1" s="253"/>
      <c r="PW1" s="253"/>
      <c r="PX1" s="253"/>
      <c r="PY1" s="252"/>
      <c r="PZ1" s="253"/>
      <c r="QA1" s="253"/>
      <c r="QB1" s="253"/>
      <c r="QC1" s="252"/>
      <c r="QD1" s="253"/>
      <c r="QE1" s="253"/>
      <c r="QF1" s="253"/>
      <c r="QG1" s="252"/>
      <c r="QH1" s="253"/>
      <c r="QI1" s="253"/>
      <c r="QJ1" s="253"/>
      <c r="QK1" s="252"/>
      <c r="QL1" s="253"/>
      <c r="QM1" s="253"/>
      <c r="QN1" s="253"/>
      <c r="QO1" s="252"/>
      <c r="QP1" s="253"/>
      <c r="QQ1" s="253"/>
      <c r="QR1" s="253"/>
      <c r="QS1" s="252"/>
      <c r="QT1" s="253"/>
      <c r="QU1" s="253"/>
      <c r="QV1" s="253"/>
      <c r="QW1" s="252"/>
      <c r="QX1" s="253"/>
      <c r="QY1" s="253"/>
      <c r="QZ1" s="253"/>
      <c r="RA1" s="252"/>
      <c r="RB1" s="253"/>
      <c r="RC1" s="253"/>
      <c r="RD1" s="253"/>
      <c r="RE1" s="252"/>
      <c r="RF1" s="253"/>
      <c r="RG1" s="253"/>
      <c r="RH1" s="253"/>
      <c r="RI1" s="252"/>
      <c r="RJ1" s="253"/>
      <c r="RK1" s="253"/>
      <c r="RL1" s="253"/>
      <c r="RM1" s="252"/>
      <c r="RN1" s="253"/>
      <c r="RO1" s="253"/>
      <c r="RP1" s="253"/>
      <c r="RQ1" s="252"/>
      <c r="RR1" s="253"/>
      <c r="RS1" s="253"/>
      <c r="RT1" s="253"/>
      <c r="RU1" s="252"/>
      <c r="RV1" s="253"/>
      <c r="RW1" s="253"/>
      <c r="RX1" s="253"/>
      <c r="RY1" s="252"/>
      <c r="RZ1" s="253"/>
      <c r="SA1" s="253"/>
      <c r="SB1" s="253"/>
      <c r="SC1" s="252"/>
      <c r="SD1" s="253"/>
      <c r="SE1" s="253"/>
      <c r="SF1" s="253"/>
      <c r="SG1" s="252"/>
      <c r="SH1" s="253"/>
      <c r="SI1" s="253"/>
      <c r="SJ1" s="253"/>
      <c r="SK1" s="252"/>
      <c r="SL1" s="253"/>
      <c r="SM1" s="253"/>
      <c r="SN1" s="253"/>
      <c r="SO1" s="252"/>
      <c r="SP1" s="253"/>
      <c r="SQ1" s="253"/>
      <c r="SR1" s="253"/>
      <c r="SS1" s="252"/>
      <c r="ST1" s="253"/>
      <c r="SU1" s="253"/>
      <c r="SV1" s="253"/>
      <c r="SW1" s="252"/>
      <c r="SX1" s="253"/>
      <c r="SY1" s="253"/>
      <c r="SZ1" s="253"/>
      <c r="TA1" s="252"/>
      <c r="TB1" s="253"/>
      <c r="TC1" s="253"/>
      <c r="TD1" s="253"/>
      <c r="TE1" s="252"/>
      <c r="TF1" s="253"/>
      <c r="TG1" s="253"/>
      <c r="TH1" s="253"/>
      <c r="TI1" s="252"/>
      <c r="TJ1" s="253"/>
      <c r="TK1" s="253"/>
      <c r="TL1" s="253"/>
      <c r="TM1" s="252"/>
      <c r="TN1" s="253"/>
      <c r="TO1" s="253"/>
      <c r="TP1" s="253"/>
      <c r="TQ1" s="252"/>
      <c r="TR1" s="253"/>
      <c r="TS1" s="253"/>
      <c r="TT1" s="253"/>
      <c r="TU1" s="252"/>
      <c r="TV1" s="253"/>
      <c r="TW1" s="253"/>
      <c r="TX1" s="253"/>
      <c r="TY1" s="252"/>
      <c r="TZ1" s="253"/>
      <c r="UA1" s="253"/>
      <c r="UB1" s="253"/>
      <c r="UC1" s="252"/>
      <c r="UD1" s="253"/>
      <c r="UE1" s="253"/>
      <c r="UF1" s="253"/>
      <c r="UG1" s="252"/>
      <c r="UH1" s="253"/>
      <c r="UI1" s="253"/>
      <c r="UJ1" s="253"/>
      <c r="UK1" s="252"/>
      <c r="UL1" s="253"/>
      <c r="UM1" s="253"/>
      <c r="UN1" s="253"/>
      <c r="UO1" s="252"/>
      <c r="UP1" s="253"/>
      <c r="UQ1" s="253"/>
      <c r="UR1" s="253"/>
      <c r="US1" s="252"/>
      <c r="UT1" s="253"/>
      <c r="UU1" s="253"/>
      <c r="UV1" s="253"/>
      <c r="UW1" s="252"/>
      <c r="UX1" s="253"/>
      <c r="UY1" s="253"/>
      <c r="UZ1" s="253"/>
      <c r="VA1" s="252"/>
      <c r="VB1" s="253"/>
      <c r="VC1" s="253"/>
      <c r="VD1" s="253"/>
      <c r="VE1" s="252"/>
      <c r="VF1" s="253"/>
      <c r="VG1" s="253"/>
      <c r="VH1" s="253"/>
      <c r="VI1" s="252"/>
      <c r="VJ1" s="253"/>
      <c r="VK1" s="253"/>
      <c r="VL1" s="253"/>
      <c r="VM1" s="252"/>
      <c r="VN1" s="253"/>
      <c r="VO1" s="253"/>
      <c r="VP1" s="253"/>
      <c r="VQ1" s="252"/>
      <c r="VR1" s="253"/>
      <c r="VS1" s="253"/>
      <c r="VT1" s="253"/>
      <c r="VU1" s="252"/>
      <c r="VV1" s="253"/>
      <c r="VW1" s="253"/>
      <c r="VX1" s="253"/>
      <c r="VY1" s="252"/>
      <c r="VZ1" s="253"/>
      <c r="WA1" s="253"/>
      <c r="WB1" s="253"/>
      <c r="WC1" s="252"/>
      <c r="WD1" s="253"/>
      <c r="WE1" s="253"/>
      <c r="WF1" s="253"/>
      <c r="WG1" s="252"/>
      <c r="WH1" s="253"/>
      <c r="WI1" s="253"/>
      <c r="WJ1" s="253"/>
      <c r="WK1" s="252"/>
      <c r="WL1" s="253"/>
      <c r="WM1" s="253"/>
      <c r="WN1" s="253"/>
      <c r="WO1" s="252"/>
      <c r="WP1" s="253"/>
      <c r="WQ1" s="253"/>
      <c r="WR1" s="253"/>
      <c r="WS1" s="252"/>
      <c r="WT1" s="253"/>
      <c r="WU1" s="253"/>
      <c r="WV1" s="253"/>
      <c r="WW1" s="252"/>
      <c r="WX1" s="253"/>
      <c r="WY1" s="253"/>
      <c r="WZ1" s="253"/>
      <c r="XA1" s="252"/>
      <c r="XB1" s="253"/>
      <c r="XC1" s="253"/>
      <c r="XD1" s="253"/>
      <c r="XE1" s="252"/>
      <c r="XF1" s="253"/>
      <c r="XG1" s="253"/>
      <c r="XH1" s="253"/>
      <c r="XI1" s="252"/>
      <c r="XJ1" s="253"/>
      <c r="XK1" s="253"/>
      <c r="XL1" s="253"/>
      <c r="XM1" s="252"/>
      <c r="XN1" s="253"/>
      <c r="XO1" s="253"/>
      <c r="XP1" s="253"/>
      <c r="XQ1" s="252"/>
      <c r="XR1" s="253"/>
      <c r="XS1" s="253"/>
      <c r="XT1" s="253"/>
      <c r="XU1" s="252"/>
      <c r="XV1" s="253"/>
      <c r="XW1" s="253"/>
      <c r="XX1" s="253"/>
      <c r="XY1" s="252"/>
      <c r="XZ1" s="253"/>
      <c r="YA1" s="253"/>
      <c r="YB1" s="253"/>
      <c r="YC1" s="252"/>
      <c r="YD1" s="253"/>
      <c r="YE1" s="253"/>
      <c r="YF1" s="253"/>
      <c r="YG1" s="252"/>
      <c r="YH1" s="253"/>
      <c r="YI1" s="253"/>
      <c r="YJ1" s="253"/>
      <c r="YK1" s="252"/>
      <c r="YL1" s="253"/>
      <c r="YM1" s="253"/>
      <c r="YN1" s="253"/>
      <c r="YO1" s="252"/>
      <c r="YP1" s="253"/>
      <c r="YQ1" s="253"/>
      <c r="YR1" s="253"/>
      <c r="YS1" s="252"/>
      <c r="YT1" s="253"/>
      <c r="YU1" s="253"/>
      <c r="YV1" s="253"/>
      <c r="YW1" s="252"/>
      <c r="YX1" s="253"/>
      <c r="YY1" s="253"/>
      <c r="YZ1" s="253"/>
      <c r="ZA1" s="252"/>
      <c r="ZB1" s="253"/>
      <c r="ZC1" s="253"/>
      <c r="ZD1" s="253"/>
      <c r="ZE1" s="252"/>
      <c r="ZF1" s="253"/>
      <c r="ZG1" s="253"/>
      <c r="ZH1" s="253"/>
      <c r="ZI1" s="252"/>
      <c r="ZJ1" s="253"/>
      <c r="ZK1" s="253"/>
      <c r="ZL1" s="253"/>
      <c r="ZM1" s="252"/>
      <c r="ZN1" s="253"/>
      <c r="ZO1" s="253"/>
      <c r="ZP1" s="253"/>
      <c r="ZQ1" s="252"/>
      <c r="ZR1" s="253"/>
      <c r="ZS1" s="253"/>
      <c r="ZT1" s="253"/>
      <c r="ZU1" s="252"/>
      <c r="ZV1" s="253"/>
      <c r="ZW1" s="253"/>
      <c r="ZX1" s="253"/>
      <c r="ZY1" s="252"/>
      <c r="ZZ1" s="253"/>
      <c r="AAA1" s="253"/>
      <c r="AAB1" s="253"/>
      <c r="AAC1" s="252"/>
      <c r="AAD1" s="253"/>
      <c r="AAE1" s="253"/>
      <c r="AAF1" s="253"/>
      <c r="AAG1" s="252"/>
      <c r="AAH1" s="253"/>
      <c r="AAI1" s="253"/>
      <c r="AAJ1" s="253"/>
      <c r="AAK1" s="252"/>
      <c r="AAL1" s="253"/>
      <c r="AAM1" s="253"/>
      <c r="AAN1" s="253"/>
      <c r="AAO1" s="252"/>
      <c r="AAP1" s="253"/>
      <c r="AAQ1" s="253"/>
      <c r="AAR1" s="253"/>
      <c r="AAS1" s="252"/>
      <c r="AAT1" s="253"/>
      <c r="AAU1" s="253"/>
      <c r="AAV1" s="253"/>
      <c r="AAW1" s="252"/>
      <c r="AAX1" s="253"/>
      <c r="AAY1" s="253"/>
      <c r="AAZ1" s="253"/>
      <c r="ABA1" s="252"/>
      <c r="ABB1" s="253"/>
      <c r="ABC1" s="253"/>
      <c r="ABD1" s="253"/>
      <c r="ABE1" s="252"/>
      <c r="ABF1" s="253"/>
      <c r="ABG1" s="253"/>
      <c r="ABH1" s="253"/>
      <c r="ABI1" s="252"/>
      <c r="ABJ1" s="253"/>
      <c r="ABK1" s="253"/>
      <c r="ABL1" s="253"/>
      <c r="ABM1" s="252"/>
      <c r="ABN1" s="253"/>
      <c r="ABO1" s="253"/>
      <c r="ABP1" s="253"/>
      <c r="ABQ1" s="252"/>
      <c r="ABR1" s="253"/>
      <c r="ABS1" s="253"/>
      <c r="ABT1" s="253"/>
      <c r="ABU1" s="252"/>
      <c r="ABV1" s="253"/>
      <c r="ABW1" s="253"/>
      <c r="ABX1" s="253"/>
      <c r="ABY1" s="252"/>
      <c r="ABZ1" s="253"/>
      <c r="ACA1" s="253"/>
      <c r="ACB1" s="253"/>
      <c r="ACC1" s="252"/>
      <c r="ACD1" s="253"/>
      <c r="ACE1" s="253"/>
      <c r="ACF1" s="253"/>
      <c r="ACG1" s="252"/>
      <c r="ACH1" s="253"/>
      <c r="ACI1" s="253"/>
      <c r="ACJ1" s="253"/>
      <c r="ACK1" s="252"/>
      <c r="ACL1" s="253"/>
      <c r="ACM1" s="253"/>
      <c r="ACN1" s="253"/>
      <c r="ACO1" s="252"/>
      <c r="ACP1" s="253"/>
      <c r="ACQ1" s="253"/>
      <c r="ACR1" s="253"/>
      <c r="ACS1" s="252"/>
      <c r="ACT1" s="253"/>
      <c r="ACU1" s="253"/>
      <c r="ACV1" s="253"/>
      <c r="ACW1" s="252"/>
      <c r="ACX1" s="253"/>
      <c r="ACY1" s="253"/>
      <c r="ACZ1" s="253"/>
      <c r="ADA1" s="252"/>
      <c r="ADB1" s="253"/>
      <c r="ADC1" s="253"/>
      <c r="ADD1" s="253"/>
      <c r="ADE1" s="252"/>
      <c r="ADF1" s="253"/>
      <c r="ADG1" s="253"/>
      <c r="ADH1" s="253"/>
      <c r="ADI1" s="252"/>
      <c r="ADJ1" s="253"/>
      <c r="ADK1" s="253"/>
      <c r="ADL1" s="253"/>
      <c r="ADM1" s="252"/>
      <c r="ADN1" s="253"/>
      <c r="ADO1" s="253"/>
      <c r="ADP1" s="253"/>
      <c r="ADQ1" s="252"/>
      <c r="ADR1" s="253"/>
      <c r="ADS1" s="253"/>
      <c r="ADT1" s="253"/>
      <c r="ADU1" s="252"/>
      <c r="ADV1" s="253"/>
      <c r="ADW1" s="253"/>
      <c r="ADX1" s="253"/>
      <c r="ADY1" s="252"/>
      <c r="ADZ1" s="253"/>
      <c r="AEA1" s="253"/>
      <c r="AEB1" s="253"/>
      <c r="AEC1" s="252"/>
      <c r="AED1" s="253"/>
      <c r="AEE1" s="253"/>
      <c r="AEF1" s="253"/>
      <c r="AEG1" s="252"/>
      <c r="AEH1" s="253"/>
      <c r="AEI1" s="253"/>
      <c r="AEJ1" s="253"/>
      <c r="AEK1" s="252"/>
      <c r="AEL1" s="253"/>
      <c r="AEM1" s="253"/>
      <c r="AEN1" s="253"/>
      <c r="AEO1" s="252"/>
      <c r="AEP1" s="253"/>
      <c r="AEQ1" s="253"/>
      <c r="AER1" s="253"/>
      <c r="AES1" s="252"/>
      <c r="AET1" s="253"/>
      <c r="AEU1" s="253"/>
      <c r="AEV1" s="253"/>
      <c r="AEW1" s="252"/>
      <c r="AEX1" s="253"/>
      <c r="AEY1" s="253"/>
      <c r="AEZ1" s="253"/>
      <c r="AFA1" s="252"/>
      <c r="AFB1" s="253"/>
      <c r="AFC1" s="253"/>
      <c r="AFD1" s="253"/>
      <c r="AFE1" s="252"/>
      <c r="AFF1" s="253"/>
      <c r="AFG1" s="253"/>
      <c r="AFH1" s="253"/>
      <c r="AFI1" s="252"/>
      <c r="AFJ1" s="253"/>
      <c r="AFK1" s="253"/>
      <c r="AFL1" s="253"/>
      <c r="AFM1" s="252"/>
      <c r="AFN1" s="253"/>
      <c r="AFO1" s="253"/>
      <c r="AFP1" s="253"/>
      <c r="AFQ1" s="252"/>
      <c r="AFR1" s="253"/>
      <c r="AFS1" s="253"/>
      <c r="AFT1" s="253"/>
      <c r="AFU1" s="252"/>
      <c r="AFV1" s="253"/>
      <c r="AFW1" s="253"/>
      <c r="AFX1" s="253"/>
      <c r="AFY1" s="252"/>
      <c r="AFZ1" s="253"/>
      <c r="AGA1" s="253"/>
      <c r="AGB1" s="253"/>
      <c r="AGC1" s="252"/>
      <c r="AGD1" s="253"/>
      <c r="AGE1" s="253"/>
      <c r="AGF1" s="253"/>
      <c r="AGG1" s="252"/>
      <c r="AGH1" s="253"/>
      <c r="AGI1" s="253"/>
      <c r="AGJ1" s="253"/>
      <c r="AGK1" s="252"/>
      <c r="AGL1" s="253"/>
      <c r="AGM1" s="253"/>
      <c r="AGN1" s="253"/>
      <c r="AGO1" s="252"/>
      <c r="AGP1" s="253"/>
      <c r="AGQ1" s="253"/>
      <c r="AGR1" s="253"/>
      <c r="AGS1" s="252"/>
      <c r="AGT1" s="253"/>
      <c r="AGU1" s="253"/>
      <c r="AGV1" s="253"/>
      <c r="AGW1" s="252"/>
      <c r="AGX1" s="253"/>
      <c r="AGY1" s="253"/>
      <c r="AGZ1" s="253"/>
      <c r="AHA1" s="252"/>
      <c r="AHB1" s="253"/>
      <c r="AHC1" s="253"/>
      <c r="AHD1" s="253"/>
      <c r="AHE1" s="252"/>
      <c r="AHF1" s="253"/>
      <c r="AHG1" s="253"/>
      <c r="AHH1" s="253"/>
      <c r="AHI1" s="252"/>
      <c r="AHJ1" s="253"/>
      <c r="AHK1" s="253"/>
      <c r="AHL1" s="253"/>
      <c r="AHM1" s="252"/>
      <c r="AHN1" s="253"/>
      <c r="AHO1" s="253"/>
      <c r="AHP1" s="253"/>
      <c r="AHQ1" s="252"/>
      <c r="AHR1" s="253"/>
      <c r="AHS1" s="253"/>
      <c r="AHT1" s="253"/>
      <c r="AHU1" s="252"/>
      <c r="AHV1" s="253"/>
      <c r="AHW1" s="253"/>
      <c r="AHX1" s="253"/>
      <c r="AHY1" s="252"/>
      <c r="AHZ1" s="253"/>
      <c r="AIA1" s="253"/>
      <c r="AIB1" s="253"/>
      <c r="AIC1" s="252"/>
      <c r="AID1" s="253"/>
      <c r="AIE1" s="253"/>
      <c r="AIF1" s="253"/>
      <c r="AIG1" s="252"/>
      <c r="AIH1" s="253"/>
      <c r="AII1" s="253"/>
      <c r="AIJ1" s="253"/>
      <c r="AIK1" s="252"/>
      <c r="AIL1" s="253"/>
      <c r="AIM1" s="253"/>
      <c r="AIN1" s="253"/>
      <c r="AIO1" s="252"/>
      <c r="AIP1" s="253"/>
      <c r="AIQ1" s="253"/>
      <c r="AIR1" s="253"/>
      <c r="AIS1" s="252"/>
      <c r="AIT1" s="253"/>
      <c r="AIU1" s="253"/>
      <c r="AIV1" s="253"/>
      <c r="AIW1" s="252"/>
      <c r="AIX1" s="253"/>
      <c r="AIY1" s="253"/>
      <c r="AIZ1" s="253"/>
      <c r="AJA1" s="252"/>
      <c r="AJB1" s="253"/>
      <c r="AJC1" s="253"/>
      <c r="AJD1" s="253"/>
      <c r="AJE1" s="252"/>
      <c r="AJF1" s="253"/>
      <c r="AJG1" s="253"/>
      <c r="AJH1" s="253"/>
      <c r="AJI1" s="252"/>
      <c r="AJJ1" s="253"/>
      <c r="AJK1" s="253"/>
      <c r="AJL1" s="253"/>
      <c r="AJM1" s="252"/>
      <c r="AJN1" s="253"/>
      <c r="AJO1" s="253"/>
      <c r="AJP1" s="253"/>
      <c r="AJQ1" s="252"/>
      <c r="AJR1" s="253"/>
      <c r="AJS1" s="253"/>
      <c r="AJT1" s="253"/>
      <c r="AJU1" s="252"/>
      <c r="AJV1" s="253"/>
      <c r="AJW1" s="253"/>
      <c r="AJX1" s="253"/>
      <c r="AJY1" s="252"/>
      <c r="AJZ1" s="253"/>
      <c r="AKA1" s="253"/>
      <c r="AKB1" s="253"/>
      <c r="AKC1" s="252"/>
      <c r="AKD1" s="253"/>
      <c r="AKE1" s="253"/>
      <c r="AKF1" s="253"/>
      <c r="AKG1" s="252"/>
      <c r="AKH1" s="253"/>
      <c r="AKI1" s="253"/>
      <c r="AKJ1" s="253"/>
      <c r="AKK1" s="252"/>
      <c r="AKL1" s="253"/>
      <c r="AKM1" s="253"/>
      <c r="AKN1" s="253"/>
      <c r="AKO1" s="252"/>
      <c r="AKP1" s="253"/>
      <c r="AKQ1" s="253"/>
      <c r="AKR1" s="253"/>
      <c r="AKS1" s="252"/>
      <c r="AKT1" s="253"/>
      <c r="AKU1" s="253"/>
      <c r="AKV1" s="253"/>
      <c r="AKW1" s="252"/>
      <c r="AKX1" s="253"/>
      <c r="AKY1" s="253"/>
      <c r="AKZ1" s="253"/>
      <c r="ALA1" s="252"/>
      <c r="ALB1" s="253"/>
      <c r="ALC1" s="253"/>
      <c r="ALD1" s="253"/>
      <c r="ALE1" s="252"/>
      <c r="ALF1" s="253"/>
      <c r="ALG1" s="253"/>
      <c r="ALH1" s="253"/>
      <c r="ALI1" s="252"/>
      <c r="ALJ1" s="253"/>
      <c r="ALK1" s="253"/>
      <c r="ALL1" s="253"/>
      <c r="ALM1" s="252"/>
      <c r="ALN1" s="253"/>
      <c r="ALO1" s="253"/>
      <c r="ALP1" s="253"/>
      <c r="ALQ1" s="252"/>
      <c r="ALR1" s="253"/>
      <c r="ALS1" s="253"/>
      <c r="ALT1" s="253"/>
      <c r="ALU1" s="252"/>
      <c r="ALV1" s="253"/>
      <c r="ALW1" s="253"/>
      <c r="ALX1" s="253"/>
      <c r="ALY1" s="252"/>
      <c r="ALZ1" s="253"/>
      <c r="AMA1" s="253"/>
      <c r="AMB1" s="253"/>
      <c r="AMC1" s="252"/>
      <c r="AMD1" s="253"/>
      <c r="AME1" s="253"/>
      <c r="AMF1" s="253"/>
      <c r="AMG1" s="252"/>
      <c r="AMH1" s="253"/>
      <c r="AMI1" s="253"/>
      <c r="AMJ1" s="253"/>
      <c r="AMK1" s="252"/>
      <c r="AML1" s="253"/>
      <c r="AMM1" s="253"/>
      <c r="AMN1" s="253"/>
      <c r="AMO1" s="252"/>
      <c r="AMP1" s="253"/>
      <c r="AMQ1" s="253"/>
      <c r="AMR1" s="253"/>
      <c r="AMS1" s="252"/>
      <c r="AMT1" s="253"/>
      <c r="AMU1" s="253"/>
      <c r="AMV1" s="253"/>
      <c r="AMW1" s="252"/>
      <c r="AMX1" s="253"/>
      <c r="AMY1" s="253"/>
      <c r="AMZ1" s="253"/>
      <c r="ANA1" s="252"/>
      <c r="ANB1" s="253"/>
      <c r="ANC1" s="253"/>
      <c r="AND1" s="253"/>
      <c r="ANE1" s="252"/>
      <c r="ANF1" s="253"/>
      <c r="ANG1" s="253"/>
      <c r="ANH1" s="253"/>
      <c r="ANI1" s="252"/>
      <c r="ANJ1" s="253"/>
      <c r="ANK1" s="253"/>
      <c r="ANL1" s="253"/>
      <c r="ANM1" s="252"/>
      <c r="ANN1" s="253"/>
      <c r="ANO1" s="253"/>
      <c r="ANP1" s="253"/>
      <c r="ANQ1" s="252"/>
      <c r="ANR1" s="253"/>
      <c r="ANS1" s="253"/>
      <c r="ANT1" s="253"/>
      <c r="ANU1" s="252"/>
      <c r="ANV1" s="253"/>
      <c r="ANW1" s="253"/>
      <c r="ANX1" s="253"/>
      <c r="ANY1" s="252"/>
      <c r="ANZ1" s="253"/>
      <c r="AOA1" s="253"/>
      <c r="AOB1" s="253"/>
      <c r="AOC1" s="252"/>
      <c r="AOD1" s="253"/>
      <c r="AOE1" s="253"/>
      <c r="AOF1" s="253"/>
      <c r="AOG1" s="252"/>
      <c r="AOH1" s="253"/>
      <c r="AOI1" s="253"/>
      <c r="AOJ1" s="253"/>
      <c r="AOK1" s="252"/>
      <c r="AOL1" s="253"/>
      <c r="AOM1" s="253"/>
      <c r="AON1" s="253"/>
      <c r="AOO1" s="252"/>
      <c r="AOP1" s="253"/>
      <c r="AOQ1" s="253"/>
      <c r="AOR1" s="253"/>
      <c r="AOS1" s="252"/>
      <c r="AOT1" s="253"/>
      <c r="AOU1" s="253"/>
      <c r="AOV1" s="253"/>
      <c r="AOW1" s="252"/>
      <c r="AOX1" s="253"/>
      <c r="AOY1" s="253"/>
      <c r="AOZ1" s="253"/>
      <c r="APA1" s="252"/>
      <c r="APB1" s="253"/>
      <c r="APC1" s="253"/>
      <c r="APD1" s="253"/>
      <c r="APE1" s="252"/>
      <c r="APF1" s="253"/>
      <c r="APG1" s="253"/>
      <c r="APH1" s="253"/>
      <c r="API1" s="252"/>
      <c r="APJ1" s="253"/>
      <c r="APK1" s="253"/>
      <c r="APL1" s="253"/>
      <c r="APM1" s="252"/>
      <c r="APN1" s="253"/>
      <c r="APO1" s="253"/>
      <c r="APP1" s="253"/>
      <c r="APQ1" s="252"/>
      <c r="APR1" s="253"/>
      <c r="APS1" s="253"/>
      <c r="APT1" s="253"/>
      <c r="APU1" s="252"/>
      <c r="APV1" s="253"/>
      <c r="APW1" s="253"/>
      <c r="APX1" s="253"/>
      <c r="APY1" s="252"/>
      <c r="APZ1" s="253"/>
      <c r="AQA1" s="253"/>
      <c r="AQB1" s="253"/>
      <c r="AQC1" s="252"/>
      <c r="AQD1" s="253"/>
      <c r="AQE1" s="253"/>
      <c r="AQF1" s="253"/>
      <c r="AQG1" s="252"/>
      <c r="AQH1" s="253"/>
      <c r="AQI1" s="253"/>
      <c r="AQJ1" s="253"/>
      <c r="AQK1" s="252"/>
      <c r="AQL1" s="253"/>
      <c r="AQM1" s="253"/>
      <c r="AQN1" s="253"/>
      <c r="AQO1" s="252"/>
      <c r="AQP1" s="253"/>
      <c r="AQQ1" s="253"/>
      <c r="AQR1" s="253"/>
      <c r="AQS1" s="252"/>
      <c r="AQT1" s="253"/>
      <c r="AQU1" s="253"/>
      <c r="AQV1" s="253"/>
      <c r="AQW1" s="252"/>
      <c r="AQX1" s="253"/>
      <c r="AQY1" s="253"/>
      <c r="AQZ1" s="253"/>
      <c r="ARA1" s="252"/>
      <c r="ARB1" s="253"/>
      <c r="ARC1" s="253"/>
      <c r="ARD1" s="253"/>
      <c r="ARE1" s="252"/>
      <c r="ARF1" s="253"/>
      <c r="ARG1" s="253"/>
      <c r="ARH1" s="253"/>
      <c r="ARI1" s="252"/>
      <c r="ARJ1" s="253"/>
      <c r="ARK1" s="253"/>
      <c r="ARL1" s="253"/>
      <c r="ARM1" s="252"/>
      <c r="ARN1" s="253"/>
      <c r="ARO1" s="253"/>
      <c r="ARP1" s="253"/>
      <c r="ARQ1" s="252"/>
      <c r="ARR1" s="253"/>
      <c r="ARS1" s="253"/>
      <c r="ART1" s="253"/>
      <c r="ARU1" s="252"/>
      <c r="ARV1" s="253"/>
      <c r="ARW1" s="253"/>
      <c r="ARX1" s="253"/>
      <c r="ARY1" s="252"/>
      <c r="ARZ1" s="253"/>
      <c r="ASA1" s="253"/>
      <c r="ASB1" s="253"/>
      <c r="ASC1" s="252"/>
      <c r="ASD1" s="253"/>
      <c r="ASE1" s="253"/>
      <c r="ASF1" s="253"/>
      <c r="ASG1" s="252"/>
      <c r="ASH1" s="253"/>
      <c r="ASI1" s="253"/>
      <c r="ASJ1" s="253"/>
      <c r="ASK1" s="252"/>
      <c r="ASL1" s="253"/>
      <c r="ASM1" s="253"/>
      <c r="ASN1" s="253"/>
      <c r="ASO1" s="252"/>
      <c r="ASP1" s="253"/>
      <c r="ASQ1" s="253"/>
      <c r="ASR1" s="253"/>
      <c r="ASS1" s="252"/>
      <c r="AST1" s="253"/>
      <c r="ASU1" s="253"/>
      <c r="ASV1" s="253"/>
      <c r="ASW1" s="252"/>
      <c r="ASX1" s="253"/>
      <c r="ASY1" s="253"/>
      <c r="ASZ1" s="253"/>
      <c r="ATA1" s="252"/>
      <c r="ATB1" s="253"/>
      <c r="ATC1" s="253"/>
      <c r="ATD1" s="253"/>
      <c r="ATE1" s="252"/>
      <c r="ATF1" s="253"/>
      <c r="ATG1" s="253"/>
      <c r="ATH1" s="253"/>
      <c r="ATI1" s="252"/>
      <c r="ATJ1" s="253"/>
      <c r="ATK1" s="253"/>
      <c r="ATL1" s="253"/>
      <c r="ATM1" s="252"/>
      <c r="ATN1" s="253"/>
      <c r="ATO1" s="253"/>
      <c r="ATP1" s="253"/>
      <c r="ATQ1" s="252"/>
      <c r="ATR1" s="253"/>
      <c r="ATS1" s="253"/>
      <c r="ATT1" s="253"/>
      <c r="ATU1" s="252"/>
      <c r="ATV1" s="253"/>
      <c r="ATW1" s="253"/>
      <c r="ATX1" s="253"/>
      <c r="ATY1" s="252"/>
      <c r="ATZ1" s="253"/>
      <c r="AUA1" s="253"/>
      <c r="AUB1" s="253"/>
      <c r="AUC1" s="252"/>
      <c r="AUD1" s="253"/>
      <c r="AUE1" s="253"/>
      <c r="AUF1" s="253"/>
      <c r="AUG1" s="252"/>
      <c r="AUH1" s="253"/>
      <c r="AUI1" s="253"/>
      <c r="AUJ1" s="253"/>
      <c r="AUK1" s="252"/>
      <c r="AUL1" s="253"/>
      <c r="AUM1" s="253"/>
      <c r="AUN1" s="253"/>
      <c r="AUO1" s="252"/>
      <c r="AUP1" s="253"/>
      <c r="AUQ1" s="253"/>
      <c r="AUR1" s="253"/>
      <c r="AUS1" s="252"/>
      <c r="AUT1" s="253"/>
      <c r="AUU1" s="253"/>
      <c r="AUV1" s="253"/>
      <c r="AUW1" s="252"/>
      <c r="AUX1" s="253"/>
      <c r="AUY1" s="253"/>
      <c r="AUZ1" s="253"/>
      <c r="AVA1" s="252"/>
      <c r="AVB1" s="253"/>
      <c r="AVC1" s="253"/>
      <c r="AVD1" s="253"/>
      <c r="AVE1" s="252"/>
      <c r="AVF1" s="253"/>
      <c r="AVG1" s="253"/>
      <c r="AVH1" s="253"/>
      <c r="AVI1" s="252"/>
      <c r="AVJ1" s="253"/>
      <c r="AVK1" s="253"/>
      <c r="AVL1" s="253"/>
      <c r="AVM1" s="252"/>
      <c r="AVN1" s="253"/>
      <c r="AVO1" s="253"/>
      <c r="AVP1" s="253"/>
      <c r="AVQ1" s="252"/>
      <c r="AVR1" s="253"/>
      <c r="AVS1" s="253"/>
      <c r="AVT1" s="253"/>
      <c r="AVU1" s="252"/>
      <c r="AVV1" s="253"/>
      <c r="AVW1" s="253"/>
      <c r="AVX1" s="253"/>
      <c r="AVY1" s="252"/>
      <c r="AVZ1" s="253"/>
      <c r="AWA1" s="253"/>
      <c r="AWB1" s="253"/>
      <c r="AWC1" s="252"/>
      <c r="AWD1" s="253"/>
      <c r="AWE1" s="253"/>
      <c r="AWF1" s="253"/>
      <c r="AWG1" s="252"/>
      <c r="AWH1" s="253"/>
      <c r="AWI1" s="253"/>
      <c r="AWJ1" s="253"/>
      <c r="AWK1" s="252"/>
      <c r="AWL1" s="253"/>
      <c r="AWM1" s="253"/>
      <c r="AWN1" s="253"/>
      <c r="AWO1" s="252"/>
      <c r="AWP1" s="253"/>
      <c r="AWQ1" s="253"/>
      <c r="AWR1" s="253"/>
      <c r="AWS1" s="252"/>
      <c r="AWT1" s="253"/>
      <c r="AWU1" s="253"/>
      <c r="AWV1" s="253"/>
      <c r="AWW1" s="252"/>
      <c r="AWX1" s="253"/>
      <c r="AWY1" s="253"/>
      <c r="AWZ1" s="253"/>
      <c r="AXA1" s="252"/>
      <c r="AXB1" s="253"/>
      <c r="AXC1" s="253"/>
      <c r="AXD1" s="253"/>
      <c r="AXE1" s="252"/>
      <c r="AXF1" s="253"/>
      <c r="AXG1" s="253"/>
      <c r="AXH1" s="253"/>
      <c r="AXI1" s="252"/>
      <c r="AXJ1" s="253"/>
      <c r="AXK1" s="253"/>
      <c r="AXL1" s="253"/>
      <c r="AXM1" s="252"/>
      <c r="AXN1" s="253"/>
      <c r="AXO1" s="253"/>
      <c r="AXP1" s="253"/>
      <c r="AXQ1" s="252"/>
      <c r="AXR1" s="253"/>
      <c r="AXS1" s="253"/>
      <c r="AXT1" s="253"/>
      <c r="AXU1" s="252"/>
      <c r="AXV1" s="253"/>
      <c r="AXW1" s="253"/>
      <c r="AXX1" s="253"/>
      <c r="AXY1" s="252"/>
      <c r="AXZ1" s="253"/>
      <c r="AYA1" s="253"/>
      <c r="AYB1" s="253"/>
      <c r="AYC1" s="252"/>
      <c r="AYD1" s="253"/>
      <c r="AYE1" s="253"/>
      <c r="AYF1" s="253"/>
      <c r="AYG1" s="252"/>
      <c r="AYH1" s="253"/>
      <c r="AYI1" s="253"/>
      <c r="AYJ1" s="253"/>
      <c r="AYK1" s="252"/>
      <c r="AYL1" s="253"/>
      <c r="AYM1" s="253"/>
      <c r="AYN1" s="253"/>
      <c r="AYO1" s="252"/>
      <c r="AYP1" s="253"/>
      <c r="AYQ1" s="253"/>
      <c r="AYR1" s="253"/>
      <c r="AYS1" s="252"/>
      <c r="AYT1" s="253"/>
      <c r="AYU1" s="253"/>
      <c r="AYV1" s="253"/>
      <c r="AYW1" s="252"/>
      <c r="AYX1" s="253"/>
      <c r="AYY1" s="253"/>
      <c r="AYZ1" s="253"/>
      <c r="AZA1" s="252"/>
      <c r="AZB1" s="253"/>
      <c r="AZC1" s="253"/>
      <c r="AZD1" s="253"/>
      <c r="AZE1" s="252"/>
      <c r="AZF1" s="253"/>
      <c r="AZG1" s="253"/>
      <c r="AZH1" s="253"/>
      <c r="AZI1" s="252"/>
      <c r="AZJ1" s="253"/>
      <c r="AZK1" s="253"/>
      <c r="AZL1" s="253"/>
      <c r="AZM1" s="252"/>
      <c r="AZN1" s="253"/>
      <c r="AZO1" s="253"/>
      <c r="AZP1" s="253"/>
      <c r="AZQ1" s="252"/>
      <c r="AZR1" s="253"/>
      <c r="AZS1" s="253"/>
      <c r="AZT1" s="253"/>
      <c r="AZU1" s="252"/>
      <c r="AZV1" s="253"/>
      <c r="AZW1" s="253"/>
      <c r="AZX1" s="253"/>
      <c r="AZY1" s="252"/>
      <c r="AZZ1" s="253"/>
      <c r="BAA1" s="253"/>
      <c r="BAB1" s="253"/>
      <c r="BAC1" s="252"/>
      <c r="BAD1" s="253"/>
      <c r="BAE1" s="253"/>
      <c r="BAF1" s="253"/>
      <c r="BAG1" s="252"/>
      <c r="BAH1" s="253"/>
      <c r="BAI1" s="253"/>
      <c r="BAJ1" s="253"/>
      <c r="BAK1" s="252"/>
      <c r="BAL1" s="253"/>
      <c r="BAM1" s="253"/>
      <c r="BAN1" s="253"/>
      <c r="BAO1" s="252"/>
      <c r="BAP1" s="253"/>
      <c r="BAQ1" s="253"/>
      <c r="BAR1" s="253"/>
      <c r="BAS1" s="252"/>
      <c r="BAT1" s="253"/>
      <c r="BAU1" s="253"/>
      <c r="BAV1" s="253"/>
      <c r="BAW1" s="252"/>
      <c r="BAX1" s="253"/>
      <c r="BAY1" s="253"/>
      <c r="BAZ1" s="253"/>
      <c r="BBA1" s="252"/>
      <c r="BBB1" s="253"/>
      <c r="BBC1" s="253"/>
      <c r="BBD1" s="253"/>
      <c r="BBE1" s="252"/>
      <c r="BBF1" s="253"/>
      <c r="BBG1" s="253"/>
      <c r="BBH1" s="253"/>
      <c r="BBI1" s="252"/>
      <c r="BBJ1" s="253"/>
      <c r="BBK1" s="253"/>
      <c r="BBL1" s="253"/>
      <c r="BBM1" s="252"/>
      <c r="BBN1" s="253"/>
      <c r="BBO1" s="253"/>
      <c r="BBP1" s="253"/>
      <c r="BBQ1" s="252"/>
      <c r="BBR1" s="253"/>
      <c r="BBS1" s="253"/>
      <c r="BBT1" s="253"/>
      <c r="BBU1" s="252"/>
      <c r="BBV1" s="253"/>
      <c r="BBW1" s="253"/>
      <c r="BBX1" s="253"/>
      <c r="BBY1" s="252"/>
      <c r="BBZ1" s="253"/>
      <c r="BCA1" s="253"/>
      <c r="BCB1" s="253"/>
      <c r="BCC1" s="252"/>
      <c r="BCD1" s="253"/>
      <c r="BCE1" s="253"/>
      <c r="BCF1" s="253"/>
      <c r="BCG1" s="252"/>
      <c r="BCH1" s="253"/>
      <c r="BCI1" s="253"/>
      <c r="BCJ1" s="253"/>
      <c r="BCK1" s="252"/>
      <c r="BCL1" s="253"/>
      <c r="BCM1" s="253"/>
      <c r="BCN1" s="253"/>
      <c r="BCO1" s="252"/>
      <c r="BCP1" s="253"/>
      <c r="BCQ1" s="253"/>
      <c r="BCR1" s="253"/>
      <c r="BCS1" s="252"/>
      <c r="BCT1" s="253"/>
      <c r="BCU1" s="253"/>
      <c r="BCV1" s="253"/>
      <c r="BCW1" s="252"/>
      <c r="BCX1" s="253"/>
      <c r="BCY1" s="253"/>
      <c r="BCZ1" s="253"/>
      <c r="BDA1" s="252"/>
      <c r="BDB1" s="253"/>
      <c r="BDC1" s="253"/>
      <c r="BDD1" s="253"/>
      <c r="BDE1" s="252"/>
      <c r="BDF1" s="253"/>
      <c r="BDG1" s="253"/>
      <c r="BDH1" s="253"/>
      <c r="BDI1" s="252"/>
      <c r="BDJ1" s="253"/>
      <c r="BDK1" s="253"/>
      <c r="BDL1" s="253"/>
      <c r="BDM1" s="252"/>
      <c r="BDN1" s="253"/>
      <c r="BDO1" s="253"/>
      <c r="BDP1" s="253"/>
      <c r="BDQ1" s="252"/>
      <c r="BDR1" s="253"/>
      <c r="BDS1" s="253"/>
      <c r="BDT1" s="253"/>
      <c r="BDU1" s="252"/>
      <c r="BDV1" s="253"/>
      <c r="BDW1" s="253"/>
      <c r="BDX1" s="253"/>
      <c r="BDY1" s="252"/>
      <c r="BDZ1" s="253"/>
      <c r="BEA1" s="253"/>
      <c r="BEB1" s="253"/>
      <c r="BEC1" s="252"/>
      <c r="BED1" s="253"/>
      <c r="BEE1" s="253"/>
      <c r="BEF1" s="253"/>
      <c r="BEG1" s="252"/>
      <c r="BEH1" s="253"/>
      <c r="BEI1" s="253"/>
      <c r="BEJ1" s="253"/>
      <c r="BEK1" s="252"/>
      <c r="BEL1" s="253"/>
      <c r="BEM1" s="253"/>
      <c r="BEN1" s="253"/>
      <c r="BEO1" s="252"/>
      <c r="BEP1" s="253"/>
      <c r="BEQ1" s="253"/>
      <c r="BER1" s="253"/>
      <c r="BES1" s="252"/>
      <c r="BET1" s="253"/>
      <c r="BEU1" s="253"/>
      <c r="BEV1" s="253"/>
      <c r="BEW1" s="252"/>
      <c r="BEX1" s="253"/>
      <c r="BEY1" s="253"/>
      <c r="BEZ1" s="253"/>
      <c r="BFA1" s="252"/>
      <c r="BFB1" s="253"/>
      <c r="BFC1" s="253"/>
      <c r="BFD1" s="253"/>
      <c r="BFE1" s="252"/>
      <c r="BFF1" s="253"/>
      <c r="BFG1" s="253"/>
      <c r="BFH1" s="253"/>
      <c r="BFI1" s="252"/>
      <c r="BFJ1" s="253"/>
      <c r="BFK1" s="253"/>
      <c r="BFL1" s="253"/>
      <c r="BFM1" s="252"/>
      <c r="BFN1" s="253"/>
      <c r="BFO1" s="253"/>
      <c r="BFP1" s="253"/>
      <c r="BFQ1" s="252"/>
      <c r="BFR1" s="253"/>
      <c r="BFS1" s="253"/>
      <c r="BFT1" s="253"/>
      <c r="BFU1" s="252"/>
      <c r="BFV1" s="253"/>
      <c r="BFW1" s="253"/>
      <c r="BFX1" s="253"/>
      <c r="BFY1" s="252"/>
      <c r="BFZ1" s="253"/>
      <c r="BGA1" s="253"/>
      <c r="BGB1" s="253"/>
      <c r="BGC1" s="252"/>
      <c r="BGD1" s="253"/>
      <c r="BGE1" s="253"/>
      <c r="BGF1" s="253"/>
      <c r="BGG1" s="252"/>
      <c r="BGH1" s="253"/>
      <c r="BGI1" s="253"/>
      <c r="BGJ1" s="253"/>
      <c r="BGK1" s="252"/>
      <c r="BGL1" s="253"/>
      <c r="BGM1" s="253"/>
      <c r="BGN1" s="253"/>
      <c r="BGO1" s="252"/>
      <c r="BGP1" s="253"/>
      <c r="BGQ1" s="253"/>
      <c r="BGR1" s="253"/>
      <c r="BGS1" s="252"/>
      <c r="BGT1" s="253"/>
      <c r="BGU1" s="253"/>
      <c r="BGV1" s="253"/>
      <c r="BGW1" s="252"/>
      <c r="BGX1" s="253"/>
      <c r="BGY1" s="253"/>
      <c r="BGZ1" s="253"/>
      <c r="BHA1" s="252"/>
      <c r="BHB1" s="253"/>
      <c r="BHC1" s="253"/>
      <c r="BHD1" s="253"/>
      <c r="BHE1" s="252"/>
      <c r="BHF1" s="253"/>
      <c r="BHG1" s="253"/>
      <c r="BHH1" s="253"/>
      <c r="BHI1" s="252"/>
      <c r="BHJ1" s="253"/>
      <c r="BHK1" s="253"/>
      <c r="BHL1" s="253"/>
      <c r="BHM1" s="252"/>
      <c r="BHN1" s="253"/>
      <c r="BHO1" s="253"/>
      <c r="BHP1" s="253"/>
      <c r="BHQ1" s="252"/>
      <c r="BHR1" s="253"/>
      <c r="BHS1" s="253"/>
      <c r="BHT1" s="253"/>
      <c r="BHU1" s="252"/>
      <c r="BHV1" s="253"/>
      <c r="BHW1" s="253"/>
      <c r="BHX1" s="253"/>
      <c r="BHY1" s="252"/>
      <c r="BHZ1" s="253"/>
      <c r="BIA1" s="253"/>
      <c r="BIB1" s="253"/>
      <c r="BIC1" s="252"/>
      <c r="BID1" s="253"/>
      <c r="BIE1" s="253"/>
      <c r="BIF1" s="253"/>
      <c r="BIG1" s="252"/>
      <c r="BIH1" s="253"/>
      <c r="BII1" s="253"/>
      <c r="BIJ1" s="253"/>
      <c r="BIK1" s="252"/>
      <c r="BIL1" s="253"/>
      <c r="BIM1" s="253"/>
      <c r="BIN1" s="253"/>
      <c r="BIO1" s="252"/>
      <c r="BIP1" s="253"/>
      <c r="BIQ1" s="253"/>
      <c r="BIR1" s="253"/>
      <c r="BIS1" s="252"/>
      <c r="BIT1" s="253"/>
      <c r="BIU1" s="253"/>
      <c r="BIV1" s="253"/>
      <c r="BIW1" s="252"/>
      <c r="BIX1" s="253"/>
      <c r="BIY1" s="253"/>
      <c r="BIZ1" s="253"/>
      <c r="BJA1" s="252"/>
      <c r="BJB1" s="253"/>
      <c r="BJC1" s="253"/>
      <c r="BJD1" s="253"/>
      <c r="BJE1" s="252"/>
      <c r="BJF1" s="253"/>
      <c r="BJG1" s="253"/>
      <c r="BJH1" s="253"/>
      <c r="BJI1" s="252"/>
      <c r="BJJ1" s="253"/>
      <c r="BJK1" s="253"/>
      <c r="BJL1" s="253"/>
      <c r="BJM1" s="252"/>
      <c r="BJN1" s="253"/>
      <c r="BJO1" s="253"/>
      <c r="BJP1" s="253"/>
      <c r="BJQ1" s="252"/>
      <c r="BJR1" s="253"/>
      <c r="BJS1" s="253"/>
      <c r="BJT1" s="253"/>
      <c r="BJU1" s="252"/>
      <c r="BJV1" s="253"/>
      <c r="BJW1" s="253"/>
      <c r="BJX1" s="253"/>
      <c r="BJY1" s="252"/>
      <c r="BJZ1" s="253"/>
      <c r="BKA1" s="253"/>
      <c r="BKB1" s="253"/>
      <c r="BKC1" s="252"/>
      <c r="BKD1" s="253"/>
      <c r="BKE1" s="253"/>
      <c r="BKF1" s="253"/>
      <c r="BKG1" s="252"/>
      <c r="BKH1" s="253"/>
      <c r="BKI1" s="253"/>
      <c r="BKJ1" s="253"/>
      <c r="BKK1" s="252"/>
      <c r="BKL1" s="253"/>
      <c r="BKM1" s="253"/>
      <c r="BKN1" s="253"/>
      <c r="BKO1" s="252"/>
      <c r="BKP1" s="253"/>
      <c r="BKQ1" s="253"/>
      <c r="BKR1" s="253"/>
      <c r="BKS1" s="252"/>
      <c r="BKT1" s="253"/>
      <c r="BKU1" s="253"/>
      <c r="BKV1" s="253"/>
      <c r="BKW1" s="252"/>
      <c r="BKX1" s="253"/>
      <c r="BKY1" s="253"/>
      <c r="BKZ1" s="253"/>
      <c r="BLA1" s="252"/>
      <c r="BLB1" s="253"/>
      <c r="BLC1" s="253"/>
      <c r="BLD1" s="253"/>
      <c r="BLE1" s="252"/>
      <c r="BLF1" s="253"/>
      <c r="BLG1" s="253"/>
      <c r="BLH1" s="253"/>
      <c r="BLI1" s="252"/>
      <c r="BLJ1" s="253"/>
      <c r="BLK1" s="253"/>
      <c r="BLL1" s="253"/>
      <c r="BLM1" s="252"/>
      <c r="BLN1" s="253"/>
      <c r="BLO1" s="253"/>
      <c r="BLP1" s="253"/>
      <c r="BLQ1" s="252"/>
      <c r="BLR1" s="253"/>
      <c r="BLS1" s="253"/>
      <c r="BLT1" s="253"/>
      <c r="BLU1" s="252"/>
      <c r="BLV1" s="253"/>
      <c r="BLW1" s="253"/>
      <c r="BLX1" s="253"/>
      <c r="BLY1" s="252"/>
      <c r="BLZ1" s="253"/>
      <c r="BMA1" s="253"/>
      <c r="BMB1" s="253"/>
      <c r="BMC1" s="252"/>
      <c r="BMD1" s="253"/>
      <c r="BME1" s="253"/>
      <c r="BMF1" s="253"/>
      <c r="BMG1" s="252"/>
      <c r="BMH1" s="253"/>
      <c r="BMI1" s="253"/>
      <c r="BMJ1" s="253"/>
      <c r="BMK1" s="252"/>
      <c r="BML1" s="253"/>
      <c r="BMM1" s="253"/>
      <c r="BMN1" s="253"/>
      <c r="BMO1" s="252"/>
      <c r="BMP1" s="253"/>
      <c r="BMQ1" s="253"/>
      <c r="BMR1" s="253"/>
      <c r="BMS1" s="252"/>
      <c r="BMT1" s="253"/>
      <c r="BMU1" s="253"/>
      <c r="BMV1" s="253"/>
      <c r="BMW1" s="252"/>
      <c r="BMX1" s="253"/>
      <c r="BMY1" s="253"/>
      <c r="BMZ1" s="253"/>
      <c r="BNA1" s="252"/>
      <c r="BNB1" s="253"/>
      <c r="BNC1" s="253"/>
      <c r="BND1" s="253"/>
      <c r="BNE1" s="252"/>
      <c r="BNF1" s="253"/>
      <c r="BNG1" s="253"/>
      <c r="BNH1" s="253"/>
      <c r="BNI1" s="252"/>
      <c r="BNJ1" s="253"/>
      <c r="BNK1" s="253"/>
      <c r="BNL1" s="253"/>
      <c r="BNM1" s="252"/>
      <c r="BNN1" s="253"/>
      <c r="BNO1" s="253"/>
      <c r="BNP1" s="253"/>
      <c r="BNQ1" s="252"/>
      <c r="BNR1" s="253"/>
      <c r="BNS1" s="253"/>
      <c r="BNT1" s="253"/>
      <c r="BNU1" s="252"/>
      <c r="BNV1" s="253"/>
      <c r="BNW1" s="253"/>
      <c r="BNX1" s="253"/>
      <c r="BNY1" s="252"/>
      <c r="BNZ1" s="253"/>
      <c r="BOA1" s="253"/>
      <c r="BOB1" s="253"/>
      <c r="BOC1" s="252"/>
      <c r="BOD1" s="253"/>
      <c r="BOE1" s="253"/>
      <c r="BOF1" s="253"/>
      <c r="BOG1" s="252"/>
      <c r="BOH1" s="253"/>
      <c r="BOI1" s="253"/>
      <c r="BOJ1" s="253"/>
      <c r="BOK1" s="252"/>
      <c r="BOL1" s="253"/>
      <c r="BOM1" s="253"/>
      <c r="BON1" s="253"/>
      <c r="BOO1" s="252"/>
      <c r="BOP1" s="253"/>
      <c r="BOQ1" s="253"/>
      <c r="BOR1" s="253"/>
      <c r="BOS1" s="252"/>
      <c r="BOT1" s="253"/>
      <c r="BOU1" s="253"/>
      <c r="BOV1" s="253"/>
      <c r="BOW1" s="252"/>
      <c r="BOX1" s="253"/>
      <c r="BOY1" s="253"/>
      <c r="BOZ1" s="253"/>
      <c r="BPA1" s="252"/>
      <c r="BPB1" s="253"/>
      <c r="BPC1" s="253"/>
      <c r="BPD1" s="253"/>
      <c r="BPE1" s="252"/>
      <c r="BPF1" s="253"/>
      <c r="BPG1" s="253"/>
      <c r="BPH1" s="253"/>
      <c r="BPI1" s="252"/>
      <c r="BPJ1" s="253"/>
      <c r="BPK1" s="253"/>
      <c r="BPL1" s="253"/>
      <c r="BPM1" s="252"/>
      <c r="BPN1" s="253"/>
      <c r="BPO1" s="253"/>
      <c r="BPP1" s="253"/>
      <c r="BPQ1" s="252"/>
      <c r="BPR1" s="253"/>
      <c r="BPS1" s="253"/>
      <c r="BPT1" s="253"/>
      <c r="BPU1" s="252"/>
      <c r="BPV1" s="253"/>
      <c r="BPW1" s="253"/>
      <c r="BPX1" s="253"/>
      <c r="BPY1" s="252"/>
      <c r="BPZ1" s="253"/>
      <c r="BQA1" s="253"/>
      <c r="BQB1" s="253"/>
      <c r="BQC1" s="252"/>
      <c r="BQD1" s="253"/>
      <c r="BQE1" s="253"/>
      <c r="BQF1" s="253"/>
      <c r="BQG1" s="252"/>
      <c r="BQH1" s="253"/>
      <c r="BQI1" s="253"/>
      <c r="BQJ1" s="253"/>
      <c r="BQK1" s="252"/>
      <c r="BQL1" s="253"/>
      <c r="BQM1" s="253"/>
      <c r="BQN1" s="253"/>
      <c r="BQO1" s="252"/>
      <c r="BQP1" s="253"/>
      <c r="BQQ1" s="253"/>
      <c r="BQR1" s="253"/>
      <c r="BQS1" s="252"/>
      <c r="BQT1" s="253"/>
      <c r="BQU1" s="253"/>
      <c r="BQV1" s="253"/>
      <c r="BQW1" s="252"/>
      <c r="BQX1" s="253"/>
      <c r="BQY1" s="253"/>
      <c r="BQZ1" s="253"/>
      <c r="BRA1" s="252"/>
      <c r="BRB1" s="253"/>
      <c r="BRC1" s="253"/>
      <c r="BRD1" s="253"/>
      <c r="BRE1" s="252"/>
      <c r="BRF1" s="253"/>
      <c r="BRG1" s="253"/>
      <c r="BRH1" s="253"/>
      <c r="BRI1" s="252"/>
      <c r="BRJ1" s="253"/>
      <c r="BRK1" s="253"/>
      <c r="BRL1" s="253"/>
      <c r="BRM1" s="252"/>
      <c r="BRN1" s="253"/>
      <c r="BRO1" s="253"/>
      <c r="BRP1" s="253"/>
      <c r="BRQ1" s="252"/>
      <c r="BRR1" s="253"/>
      <c r="BRS1" s="253"/>
      <c r="BRT1" s="253"/>
      <c r="BRU1" s="252"/>
      <c r="BRV1" s="253"/>
      <c r="BRW1" s="253"/>
      <c r="BRX1" s="253"/>
      <c r="BRY1" s="252"/>
      <c r="BRZ1" s="253"/>
      <c r="BSA1" s="253"/>
      <c r="BSB1" s="253"/>
      <c r="BSC1" s="252"/>
      <c r="BSD1" s="253"/>
      <c r="BSE1" s="253"/>
      <c r="BSF1" s="253"/>
      <c r="BSG1" s="252"/>
      <c r="BSH1" s="253"/>
      <c r="BSI1" s="253"/>
      <c r="BSJ1" s="253"/>
      <c r="BSK1" s="252"/>
      <c r="BSL1" s="253"/>
      <c r="BSM1" s="253"/>
      <c r="BSN1" s="253"/>
      <c r="BSO1" s="252"/>
      <c r="BSP1" s="253"/>
      <c r="BSQ1" s="253"/>
      <c r="BSR1" s="253"/>
      <c r="BSS1" s="252"/>
      <c r="BST1" s="253"/>
      <c r="BSU1" s="253"/>
      <c r="BSV1" s="253"/>
      <c r="BSW1" s="252"/>
      <c r="BSX1" s="253"/>
      <c r="BSY1" s="253"/>
      <c r="BSZ1" s="253"/>
      <c r="BTA1" s="252"/>
      <c r="BTB1" s="253"/>
      <c r="BTC1" s="253"/>
      <c r="BTD1" s="253"/>
      <c r="BTE1" s="252"/>
      <c r="BTF1" s="253"/>
      <c r="BTG1" s="253"/>
      <c r="BTH1" s="253"/>
      <c r="BTI1" s="252"/>
      <c r="BTJ1" s="253"/>
      <c r="BTK1" s="253"/>
      <c r="BTL1" s="253"/>
      <c r="BTM1" s="252"/>
      <c r="BTN1" s="253"/>
      <c r="BTO1" s="253"/>
      <c r="BTP1" s="253"/>
      <c r="BTQ1" s="252"/>
      <c r="BTR1" s="253"/>
      <c r="BTS1" s="253"/>
      <c r="BTT1" s="253"/>
      <c r="BTU1" s="252"/>
      <c r="BTV1" s="253"/>
      <c r="BTW1" s="253"/>
      <c r="BTX1" s="253"/>
      <c r="BTY1" s="252"/>
      <c r="BTZ1" s="253"/>
      <c r="BUA1" s="253"/>
      <c r="BUB1" s="253"/>
      <c r="BUC1" s="252"/>
      <c r="BUD1" s="253"/>
      <c r="BUE1" s="253"/>
      <c r="BUF1" s="253"/>
      <c r="BUG1" s="252"/>
      <c r="BUH1" s="253"/>
      <c r="BUI1" s="253"/>
      <c r="BUJ1" s="253"/>
      <c r="BUK1" s="252"/>
      <c r="BUL1" s="253"/>
      <c r="BUM1" s="253"/>
      <c r="BUN1" s="253"/>
      <c r="BUO1" s="252"/>
      <c r="BUP1" s="253"/>
      <c r="BUQ1" s="253"/>
      <c r="BUR1" s="253"/>
      <c r="BUS1" s="252"/>
      <c r="BUT1" s="253"/>
      <c r="BUU1" s="253"/>
      <c r="BUV1" s="253"/>
      <c r="BUW1" s="252"/>
      <c r="BUX1" s="253"/>
      <c r="BUY1" s="253"/>
      <c r="BUZ1" s="253"/>
      <c r="BVA1" s="252"/>
      <c r="BVB1" s="253"/>
      <c r="BVC1" s="253"/>
      <c r="BVD1" s="253"/>
      <c r="BVE1" s="252"/>
      <c r="BVF1" s="253"/>
      <c r="BVG1" s="253"/>
      <c r="BVH1" s="253"/>
      <c r="BVI1" s="252"/>
      <c r="BVJ1" s="253"/>
      <c r="BVK1" s="253"/>
      <c r="BVL1" s="253"/>
      <c r="BVM1" s="252"/>
      <c r="BVN1" s="253"/>
      <c r="BVO1" s="253"/>
      <c r="BVP1" s="253"/>
      <c r="BVQ1" s="252"/>
      <c r="BVR1" s="253"/>
      <c r="BVS1" s="253"/>
      <c r="BVT1" s="253"/>
      <c r="BVU1" s="252"/>
      <c r="BVV1" s="253"/>
      <c r="BVW1" s="253"/>
      <c r="BVX1" s="253"/>
      <c r="BVY1" s="252"/>
      <c r="BVZ1" s="253"/>
      <c r="BWA1" s="253"/>
      <c r="BWB1" s="253"/>
      <c r="BWC1" s="252"/>
      <c r="BWD1" s="253"/>
      <c r="BWE1" s="253"/>
      <c r="BWF1" s="253"/>
      <c r="BWG1" s="252"/>
      <c r="BWH1" s="253"/>
      <c r="BWI1" s="253"/>
      <c r="BWJ1" s="253"/>
      <c r="BWK1" s="252"/>
      <c r="BWL1" s="253"/>
      <c r="BWM1" s="253"/>
      <c r="BWN1" s="253"/>
      <c r="BWO1" s="252"/>
      <c r="BWP1" s="253"/>
      <c r="BWQ1" s="253"/>
      <c r="BWR1" s="253"/>
      <c r="BWS1" s="252"/>
      <c r="BWT1" s="253"/>
      <c r="BWU1" s="253"/>
      <c r="BWV1" s="253"/>
      <c r="BWW1" s="252"/>
      <c r="BWX1" s="253"/>
      <c r="BWY1" s="253"/>
      <c r="BWZ1" s="253"/>
      <c r="BXA1" s="252"/>
      <c r="BXB1" s="253"/>
      <c r="BXC1" s="253"/>
      <c r="BXD1" s="253"/>
      <c r="BXE1" s="252"/>
      <c r="BXF1" s="253"/>
      <c r="BXG1" s="253"/>
      <c r="BXH1" s="253"/>
      <c r="BXI1" s="252"/>
      <c r="BXJ1" s="253"/>
      <c r="BXK1" s="253"/>
      <c r="BXL1" s="253"/>
      <c r="BXM1" s="252"/>
      <c r="BXN1" s="253"/>
      <c r="BXO1" s="253"/>
      <c r="BXP1" s="253"/>
      <c r="BXQ1" s="252"/>
      <c r="BXR1" s="253"/>
      <c r="BXS1" s="253"/>
      <c r="BXT1" s="253"/>
      <c r="BXU1" s="252"/>
      <c r="BXV1" s="253"/>
      <c r="BXW1" s="253"/>
      <c r="BXX1" s="253"/>
      <c r="BXY1" s="252"/>
      <c r="BXZ1" s="253"/>
      <c r="BYA1" s="253"/>
      <c r="BYB1" s="253"/>
      <c r="BYC1" s="252"/>
      <c r="BYD1" s="253"/>
      <c r="BYE1" s="253"/>
      <c r="BYF1" s="253"/>
      <c r="BYG1" s="252"/>
      <c r="BYH1" s="253"/>
      <c r="BYI1" s="253"/>
      <c r="BYJ1" s="253"/>
      <c r="BYK1" s="252"/>
      <c r="BYL1" s="253"/>
      <c r="BYM1" s="253"/>
      <c r="BYN1" s="253"/>
      <c r="BYO1" s="252"/>
      <c r="BYP1" s="253"/>
      <c r="BYQ1" s="253"/>
      <c r="BYR1" s="253"/>
      <c r="BYS1" s="252"/>
      <c r="BYT1" s="253"/>
      <c r="BYU1" s="253"/>
      <c r="BYV1" s="253"/>
      <c r="BYW1" s="252"/>
      <c r="BYX1" s="253"/>
      <c r="BYY1" s="253"/>
      <c r="BYZ1" s="253"/>
      <c r="BZA1" s="252"/>
      <c r="BZB1" s="253"/>
      <c r="BZC1" s="253"/>
      <c r="BZD1" s="253"/>
      <c r="BZE1" s="252"/>
      <c r="BZF1" s="253"/>
      <c r="BZG1" s="253"/>
      <c r="BZH1" s="253"/>
      <c r="BZI1" s="252"/>
      <c r="BZJ1" s="253"/>
      <c r="BZK1" s="253"/>
      <c r="BZL1" s="253"/>
      <c r="BZM1" s="252"/>
      <c r="BZN1" s="253"/>
      <c r="BZO1" s="253"/>
      <c r="BZP1" s="253"/>
      <c r="BZQ1" s="252"/>
      <c r="BZR1" s="253"/>
      <c r="BZS1" s="253"/>
      <c r="BZT1" s="253"/>
      <c r="BZU1" s="252"/>
      <c r="BZV1" s="253"/>
      <c r="BZW1" s="253"/>
      <c r="BZX1" s="253"/>
      <c r="BZY1" s="252"/>
      <c r="BZZ1" s="253"/>
      <c r="CAA1" s="253"/>
      <c r="CAB1" s="253"/>
      <c r="CAC1" s="252"/>
      <c r="CAD1" s="253"/>
      <c r="CAE1" s="253"/>
      <c r="CAF1" s="253"/>
      <c r="CAG1" s="252"/>
      <c r="CAH1" s="253"/>
      <c r="CAI1" s="253"/>
      <c r="CAJ1" s="253"/>
      <c r="CAK1" s="252"/>
      <c r="CAL1" s="253"/>
      <c r="CAM1" s="253"/>
      <c r="CAN1" s="253"/>
      <c r="CAO1" s="252"/>
      <c r="CAP1" s="253"/>
      <c r="CAQ1" s="253"/>
      <c r="CAR1" s="253"/>
      <c r="CAS1" s="252"/>
      <c r="CAT1" s="253"/>
      <c r="CAU1" s="253"/>
      <c r="CAV1" s="253"/>
      <c r="CAW1" s="252"/>
      <c r="CAX1" s="253"/>
      <c r="CAY1" s="253"/>
      <c r="CAZ1" s="253"/>
      <c r="CBA1" s="252"/>
      <c r="CBB1" s="253"/>
      <c r="CBC1" s="253"/>
      <c r="CBD1" s="253"/>
      <c r="CBE1" s="252"/>
      <c r="CBF1" s="253"/>
      <c r="CBG1" s="253"/>
      <c r="CBH1" s="253"/>
      <c r="CBI1" s="252"/>
      <c r="CBJ1" s="253"/>
      <c r="CBK1" s="253"/>
      <c r="CBL1" s="253"/>
      <c r="CBM1" s="252"/>
      <c r="CBN1" s="253"/>
      <c r="CBO1" s="253"/>
      <c r="CBP1" s="253"/>
      <c r="CBQ1" s="252"/>
      <c r="CBR1" s="253"/>
      <c r="CBS1" s="253"/>
      <c r="CBT1" s="253"/>
      <c r="CBU1" s="252"/>
      <c r="CBV1" s="253"/>
      <c r="CBW1" s="253"/>
      <c r="CBX1" s="253"/>
      <c r="CBY1" s="252"/>
      <c r="CBZ1" s="253"/>
      <c r="CCA1" s="253"/>
      <c r="CCB1" s="253"/>
      <c r="CCC1" s="252"/>
      <c r="CCD1" s="253"/>
      <c r="CCE1" s="253"/>
      <c r="CCF1" s="253"/>
      <c r="CCG1" s="252"/>
      <c r="CCH1" s="253"/>
      <c r="CCI1" s="253"/>
      <c r="CCJ1" s="253"/>
      <c r="CCK1" s="252"/>
      <c r="CCL1" s="253"/>
      <c r="CCM1" s="253"/>
      <c r="CCN1" s="253"/>
      <c r="CCO1" s="252"/>
      <c r="CCP1" s="253"/>
      <c r="CCQ1" s="253"/>
      <c r="CCR1" s="253"/>
      <c r="CCS1" s="252"/>
      <c r="CCT1" s="253"/>
      <c r="CCU1" s="253"/>
      <c r="CCV1" s="253"/>
      <c r="CCW1" s="252"/>
      <c r="CCX1" s="253"/>
      <c r="CCY1" s="253"/>
      <c r="CCZ1" s="253"/>
      <c r="CDA1" s="252"/>
      <c r="CDB1" s="253"/>
      <c r="CDC1" s="253"/>
      <c r="CDD1" s="253"/>
      <c r="CDE1" s="252"/>
      <c r="CDF1" s="253"/>
      <c r="CDG1" s="253"/>
      <c r="CDH1" s="253"/>
      <c r="CDI1" s="252"/>
      <c r="CDJ1" s="253"/>
      <c r="CDK1" s="253"/>
      <c r="CDL1" s="253"/>
      <c r="CDM1" s="252"/>
      <c r="CDN1" s="253"/>
      <c r="CDO1" s="253"/>
      <c r="CDP1" s="253"/>
      <c r="CDQ1" s="252"/>
      <c r="CDR1" s="253"/>
      <c r="CDS1" s="253"/>
      <c r="CDT1" s="253"/>
      <c r="CDU1" s="252"/>
      <c r="CDV1" s="253"/>
      <c r="CDW1" s="253"/>
      <c r="CDX1" s="253"/>
      <c r="CDY1" s="252"/>
      <c r="CDZ1" s="253"/>
      <c r="CEA1" s="253"/>
      <c r="CEB1" s="253"/>
      <c r="CEC1" s="252"/>
      <c r="CED1" s="253"/>
      <c r="CEE1" s="253"/>
      <c r="CEF1" s="253"/>
      <c r="CEG1" s="252"/>
      <c r="CEH1" s="253"/>
      <c r="CEI1" s="253"/>
      <c r="CEJ1" s="253"/>
      <c r="CEK1" s="252"/>
      <c r="CEL1" s="253"/>
      <c r="CEM1" s="253"/>
      <c r="CEN1" s="253"/>
      <c r="CEO1" s="252"/>
      <c r="CEP1" s="253"/>
      <c r="CEQ1" s="253"/>
      <c r="CER1" s="253"/>
      <c r="CES1" s="252"/>
      <c r="CET1" s="253"/>
      <c r="CEU1" s="253"/>
      <c r="CEV1" s="253"/>
      <c r="CEW1" s="252"/>
      <c r="CEX1" s="253"/>
      <c r="CEY1" s="253"/>
      <c r="CEZ1" s="253"/>
      <c r="CFA1" s="252"/>
      <c r="CFB1" s="253"/>
      <c r="CFC1" s="253"/>
      <c r="CFD1" s="253"/>
      <c r="CFE1" s="252"/>
      <c r="CFF1" s="253"/>
      <c r="CFG1" s="253"/>
      <c r="CFH1" s="253"/>
      <c r="CFI1" s="252"/>
      <c r="CFJ1" s="253"/>
      <c r="CFK1" s="253"/>
      <c r="CFL1" s="253"/>
      <c r="CFM1" s="252"/>
      <c r="CFN1" s="253"/>
      <c r="CFO1" s="253"/>
      <c r="CFP1" s="253"/>
      <c r="CFQ1" s="252"/>
      <c r="CFR1" s="253"/>
      <c r="CFS1" s="253"/>
      <c r="CFT1" s="253"/>
      <c r="CFU1" s="252"/>
      <c r="CFV1" s="253"/>
      <c r="CFW1" s="253"/>
      <c r="CFX1" s="253"/>
      <c r="CFY1" s="252"/>
      <c r="CFZ1" s="253"/>
      <c r="CGA1" s="253"/>
      <c r="CGB1" s="253"/>
      <c r="CGC1" s="252"/>
      <c r="CGD1" s="253"/>
      <c r="CGE1" s="253"/>
      <c r="CGF1" s="253"/>
      <c r="CGG1" s="252"/>
      <c r="CGH1" s="253"/>
      <c r="CGI1" s="253"/>
      <c r="CGJ1" s="253"/>
      <c r="CGK1" s="252"/>
      <c r="CGL1" s="253"/>
      <c r="CGM1" s="253"/>
      <c r="CGN1" s="253"/>
      <c r="CGO1" s="252"/>
      <c r="CGP1" s="253"/>
      <c r="CGQ1" s="253"/>
      <c r="CGR1" s="253"/>
      <c r="CGS1" s="252"/>
      <c r="CGT1" s="253"/>
      <c r="CGU1" s="253"/>
      <c r="CGV1" s="253"/>
      <c r="CGW1" s="252"/>
      <c r="CGX1" s="253"/>
      <c r="CGY1" s="253"/>
      <c r="CGZ1" s="253"/>
      <c r="CHA1" s="252"/>
      <c r="CHB1" s="253"/>
      <c r="CHC1" s="253"/>
      <c r="CHD1" s="253"/>
      <c r="CHE1" s="252"/>
      <c r="CHF1" s="253"/>
      <c r="CHG1" s="253"/>
      <c r="CHH1" s="253"/>
      <c r="CHI1" s="252"/>
      <c r="CHJ1" s="253"/>
      <c r="CHK1" s="253"/>
      <c r="CHL1" s="253"/>
      <c r="CHM1" s="252"/>
      <c r="CHN1" s="253"/>
      <c r="CHO1" s="253"/>
      <c r="CHP1" s="253"/>
      <c r="CHQ1" s="252"/>
      <c r="CHR1" s="253"/>
      <c r="CHS1" s="253"/>
      <c r="CHT1" s="253"/>
      <c r="CHU1" s="252"/>
      <c r="CHV1" s="253"/>
      <c r="CHW1" s="253"/>
      <c r="CHX1" s="253"/>
      <c r="CHY1" s="252"/>
      <c r="CHZ1" s="253"/>
      <c r="CIA1" s="253"/>
      <c r="CIB1" s="253"/>
      <c r="CIC1" s="252"/>
      <c r="CID1" s="253"/>
      <c r="CIE1" s="253"/>
      <c r="CIF1" s="253"/>
      <c r="CIG1" s="252"/>
      <c r="CIH1" s="253"/>
      <c r="CII1" s="253"/>
      <c r="CIJ1" s="253"/>
      <c r="CIK1" s="252"/>
      <c r="CIL1" s="253"/>
      <c r="CIM1" s="253"/>
      <c r="CIN1" s="253"/>
      <c r="CIO1" s="252"/>
      <c r="CIP1" s="253"/>
      <c r="CIQ1" s="253"/>
      <c r="CIR1" s="253"/>
      <c r="CIS1" s="252"/>
      <c r="CIT1" s="253"/>
      <c r="CIU1" s="253"/>
      <c r="CIV1" s="253"/>
      <c r="CIW1" s="252"/>
      <c r="CIX1" s="253"/>
      <c r="CIY1" s="253"/>
      <c r="CIZ1" s="253"/>
      <c r="CJA1" s="252"/>
      <c r="CJB1" s="253"/>
      <c r="CJC1" s="253"/>
      <c r="CJD1" s="253"/>
      <c r="CJE1" s="252"/>
      <c r="CJF1" s="253"/>
      <c r="CJG1" s="253"/>
      <c r="CJH1" s="253"/>
      <c r="CJI1" s="252"/>
      <c r="CJJ1" s="253"/>
      <c r="CJK1" s="253"/>
      <c r="CJL1" s="253"/>
      <c r="CJM1" s="252"/>
      <c r="CJN1" s="253"/>
      <c r="CJO1" s="253"/>
      <c r="CJP1" s="253"/>
      <c r="CJQ1" s="252"/>
      <c r="CJR1" s="253"/>
      <c r="CJS1" s="253"/>
      <c r="CJT1" s="253"/>
      <c r="CJU1" s="252"/>
      <c r="CJV1" s="253"/>
      <c r="CJW1" s="253"/>
      <c r="CJX1" s="253"/>
      <c r="CJY1" s="252"/>
      <c r="CJZ1" s="253"/>
      <c r="CKA1" s="253"/>
      <c r="CKB1" s="253"/>
      <c r="CKC1" s="252"/>
      <c r="CKD1" s="253"/>
      <c r="CKE1" s="253"/>
      <c r="CKF1" s="253"/>
      <c r="CKG1" s="252"/>
      <c r="CKH1" s="253"/>
      <c r="CKI1" s="253"/>
      <c r="CKJ1" s="253"/>
      <c r="CKK1" s="252"/>
      <c r="CKL1" s="253"/>
      <c r="CKM1" s="253"/>
      <c r="CKN1" s="253"/>
      <c r="CKO1" s="252"/>
      <c r="CKP1" s="253"/>
      <c r="CKQ1" s="253"/>
      <c r="CKR1" s="253"/>
      <c r="CKS1" s="252"/>
      <c r="CKT1" s="253"/>
      <c r="CKU1" s="253"/>
      <c r="CKV1" s="253"/>
      <c r="CKW1" s="252"/>
      <c r="CKX1" s="253"/>
      <c r="CKY1" s="253"/>
      <c r="CKZ1" s="253"/>
      <c r="CLA1" s="252"/>
      <c r="CLB1" s="253"/>
      <c r="CLC1" s="253"/>
      <c r="CLD1" s="253"/>
      <c r="CLE1" s="252"/>
      <c r="CLF1" s="253"/>
      <c r="CLG1" s="253"/>
      <c r="CLH1" s="253"/>
      <c r="CLI1" s="252"/>
      <c r="CLJ1" s="253"/>
      <c r="CLK1" s="253"/>
      <c r="CLL1" s="253"/>
      <c r="CLM1" s="252"/>
      <c r="CLN1" s="253"/>
      <c r="CLO1" s="253"/>
      <c r="CLP1" s="253"/>
      <c r="CLQ1" s="252"/>
      <c r="CLR1" s="253"/>
      <c r="CLS1" s="253"/>
      <c r="CLT1" s="253"/>
      <c r="CLU1" s="252"/>
      <c r="CLV1" s="253"/>
      <c r="CLW1" s="253"/>
      <c r="CLX1" s="253"/>
      <c r="CLY1" s="252"/>
      <c r="CLZ1" s="253"/>
      <c r="CMA1" s="253"/>
      <c r="CMB1" s="253"/>
      <c r="CMC1" s="252"/>
      <c r="CMD1" s="253"/>
      <c r="CME1" s="253"/>
      <c r="CMF1" s="253"/>
      <c r="CMG1" s="252"/>
      <c r="CMH1" s="253"/>
      <c r="CMI1" s="253"/>
      <c r="CMJ1" s="253"/>
      <c r="CMK1" s="252"/>
      <c r="CML1" s="253"/>
      <c r="CMM1" s="253"/>
      <c r="CMN1" s="253"/>
      <c r="CMO1" s="252"/>
      <c r="CMP1" s="253"/>
      <c r="CMQ1" s="253"/>
      <c r="CMR1" s="253"/>
      <c r="CMS1" s="252"/>
      <c r="CMT1" s="253"/>
      <c r="CMU1" s="253"/>
      <c r="CMV1" s="253"/>
      <c r="CMW1" s="252"/>
      <c r="CMX1" s="253"/>
      <c r="CMY1" s="253"/>
      <c r="CMZ1" s="253"/>
      <c r="CNA1" s="252"/>
      <c r="CNB1" s="253"/>
      <c r="CNC1" s="253"/>
      <c r="CND1" s="253"/>
      <c r="CNE1" s="252"/>
      <c r="CNF1" s="253"/>
      <c r="CNG1" s="253"/>
      <c r="CNH1" s="253"/>
      <c r="CNI1" s="252"/>
      <c r="CNJ1" s="253"/>
      <c r="CNK1" s="253"/>
      <c r="CNL1" s="253"/>
      <c r="CNM1" s="252"/>
      <c r="CNN1" s="253"/>
      <c r="CNO1" s="253"/>
      <c r="CNP1" s="253"/>
      <c r="CNQ1" s="252"/>
      <c r="CNR1" s="253"/>
      <c r="CNS1" s="253"/>
      <c r="CNT1" s="253"/>
      <c r="CNU1" s="252"/>
      <c r="CNV1" s="253"/>
      <c r="CNW1" s="253"/>
      <c r="CNX1" s="253"/>
      <c r="CNY1" s="252"/>
      <c r="CNZ1" s="253"/>
      <c r="COA1" s="253"/>
      <c r="COB1" s="253"/>
      <c r="COC1" s="252"/>
      <c r="COD1" s="253"/>
      <c r="COE1" s="253"/>
      <c r="COF1" s="253"/>
      <c r="COG1" s="252"/>
      <c r="COH1" s="253"/>
      <c r="COI1" s="253"/>
      <c r="COJ1" s="253"/>
      <c r="COK1" s="252"/>
      <c r="COL1" s="253"/>
      <c r="COM1" s="253"/>
      <c r="CON1" s="253"/>
      <c r="COO1" s="252"/>
      <c r="COP1" s="253"/>
      <c r="COQ1" s="253"/>
      <c r="COR1" s="253"/>
      <c r="COS1" s="252"/>
      <c r="COT1" s="253"/>
      <c r="COU1" s="253"/>
      <c r="COV1" s="253"/>
      <c r="COW1" s="252"/>
      <c r="COX1" s="253"/>
      <c r="COY1" s="253"/>
      <c r="COZ1" s="253"/>
      <c r="CPA1" s="252"/>
      <c r="CPB1" s="253"/>
      <c r="CPC1" s="253"/>
      <c r="CPD1" s="253"/>
      <c r="CPE1" s="252"/>
      <c r="CPF1" s="253"/>
      <c r="CPG1" s="253"/>
      <c r="CPH1" s="253"/>
      <c r="CPI1" s="252"/>
      <c r="CPJ1" s="253"/>
      <c r="CPK1" s="253"/>
      <c r="CPL1" s="253"/>
      <c r="CPM1" s="252"/>
      <c r="CPN1" s="253"/>
      <c r="CPO1" s="253"/>
      <c r="CPP1" s="253"/>
      <c r="CPQ1" s="252"/>
      <c r="CPR1" s="253"/>
      <c r="CPS1" s="253"/>
      <c r="CPT1" s="253"/>
      <c r="CPU1" s="252"/>
      <c r="CPV1" s="253"/>
      <c r="CPW1" s="253"/>
      <c r="CPX1" s="253"/>
      <c r="CPY1" s="252"/>
      <c r="CPZ1" s="253"/>
      <c r="CQA1" s="253"/>
      <c r="CQB1" s="253"/>
      <c r="CQC1" s="252"/>
      <c r="CQD1" s="253"/>
      <c r="CQE1" s="253"/>
      <c r="CQF1" s="253"/>
      <c r="CQG1" s="252"/>
      <c r="CQH1" s="253"/>
      <c r="CQI1" s="253"/>
      <c r="CQJ1" s="253"/>
      <c r="CQK1" s="252"/>
      <c r="CQL1" s="253"/>
      <c r="CQM1" s="253"/>
      <c r="CQN1" s="253"/>
      <c r="CQO1" s="252"/>
      <c r="CQP1" s="253"/>
      <c r="CQQ1" s="253"/>
      <c r="CQR1" s="253"/>
      <c r="CQS1" s="252"/>
      <c r="CQT1" s="253"/>
      <c r="CQU1" s="253"/>
      <c r="CQV1" s="253"/>
      <c r="CQW1" s="252"/>
      <c r="CQX1" s="253"/>
      <c r="CQY1" s="253"/>
      <c r="CQZ1" s="253"/>
      <c r="CRA1" s="252"/>
      <c r="CRB1" s="253"/>
      <c r="CRC1" s="253"/>
      <c r="CRD1" s="253"/>
      <c r="CRE1" s="252"/>
      <c r="CRF1" s="253"/>
      <c r="CRG1" s="253"/>
      <c r="CRH1" s="253"/>
      <c r="CRI1" s="252"/>
      <c r="CRJ1" s="253"/>
      <c r="CRK1" s="253"/>
      <c r="CRL1" s="253"/>
      <c r="CRM1" s="252"/>
      <c r="CRN1" s="253"/>
      <c r="CRO1" s="253"/>
      <c r="CRP1" s="253"/>
      <c r="CRQ1" s="252"/>
      <c r="CRR1" s="253"/>
      <c r="CRS1" s="253"/>
      <c r="CRT1" s="253"/>
      <c r="CRU1" s="252"/>
      <c r="CRV1" s="253"/>
      <c r="CRW1" s="253"/>
      <c r="CRX1" s="253"/>
      <c r="CRY1" s="252"/>
      <c r="CRZ1" s="253"/>
      <c r="CSA1" s="253"/>
      <c r="CSB1" s="253"/>
      <c r="CSC1" s="252"/>
      <c r="CSD1" s="253"/>
      <c r="CSE1" s="253"/>
      <c r="CSF1" s="253"/>
      <c r="CSG1" s="252"/>
      <c r="CSH1" s="253"/>
      <c r="CSI1" s="253"/>
      <c r="CSJ1" s="253"/>
      <c r="CSK1" s="252"/>
      <c r="CSL1" s="253"/>
      <c r="CSM1" s="253"/>
      <c r="CSN1" s="253"/>
      <c r="CSO1" s="252"/>
      <c r="CSP1" s="253"/>
      <c r="CSQ1" s="253"/>
      <c r="CSR1" s="253"/>
      <c r="CSS1" s="252"/>
      <c r="CST1" s="253"/>
      <c r="CSU1" s="253"/>
      <c r="CSV1" s="253"/>
      <c r="CSW1" s="252"/>
      <c r="CSX1" s="253"/>
      <c r="CSY1" s="253"/>
      <c r="CSZ1" s="253"/>
      <c r="CTA1" s="252"/>
      <c r="CTB1" s="253"/>
      <c r="CTC1" s="253"/>
      <c r="CTD1" s="253"/>
      <c r="CTE1" s="252"/>
      <c r="CTF1" s="253"/>
      <c r="CTG1" s="253"/>
      <c r="CTH1" s="253"/>
      <c r="CTI1" s="252"/>
      <c r="CTJ1" s="253"/>
      <c r="CTK1" s="253"/>
      <c r="CTL1" s="253"/>
      <c r="CTM1" s="252"/>
      <c r="CTN1" s="253"/>
      <c r="CTO1" s="253"/>
      <c r="CTP1" s="253"/>
      <c r="CTQ1" s="252"/>
      <c r="CTR1" s="253"/>
      <c r="CTS1" s="253"/>
      <c r="CTT1" s="253"/>
      <c r="CTU1" s="252"/>
      <c r="CTV1" s="253"/>
      <c r="CTW1" s="253"/>
      <c r="CTX1" s="253"/>
      <c r="CTY1" s="252"/>
      <c r="CTZ1" s="253"/>
      <c r="CUA1" s="253"/>
      <c r="CUB1" s="253"/>
      <c r="CUC1" s="252"/>
      <c r="CUD1" s="253"/>
      <c r="CUE1" s="253"/>
      <c r="CUF1" s="253"/>
      <c r="CUG1" s="252"/>
      <c r="CUH1" s="253"/>
      <c r="CUI1" s="253"/>
      <c r="CUJ1" s="253"/>
      <c r="CUK1" s="252"/>
      <c r="CUL1" s="253"/>
      <c r="CUM1" s="253"/>
      <c r="CUN1" s="253"/>
      <c r="CUO1" s="252"/>
      <c r="CUP1" s="253"/>
      <c r="CUQ1" s="253"/>
      <c r="CUR1" s="253"/>
      <c r="CUS1" s="252"/>
      <c r="CUT1" s="253"/>
      <c r="CUU1" s="253"/>
      <c r="CUV1" s="253"/>
      <c r="CUW1" s="252"/>
      <c r="CUX1" s="253"/>
      <c r="CUY1" s="253"/>
      <c r="CUZ1" s="253"/>
      <c r="CVA1" s="252"/>
      <c r="CVB1" s="253"/>
      <c r="CVC1" s="253"/>
      <c r="CVD1" s="253"/>
      <c r="CVE1" s="252"/>
      <c r="CVF1" s="253"/>
      <c r="CVG1" s="253"/>
      <c r="CVH1" s="253"/>
      <c r="CVI1" s="252"/>
      <c r="CVJ1" s="253"/>
      <c r="CVK1" s="253"/>
      <c r="CVL1" s="253"/>
      <c r="CVM1" s="252"/>
      <c r="CVN1" s="253"/>
      <c r="CVO1" s="253"/>
      <c r="CVP1" s="253"/>
      <c r="CVQ1" s="252"/>
      <c r="CVR1" s="253"/>
      <c r="CVS1" s="253"/>
      <c r="CVT1" s="253"/>
      <c r="CVU1" s="252"/>
      <c r="CVV1" s="253"/>
      <c r="CVW1" s="253"/>
      <c r="CVX1" s="253"/>
      <c r="CVY1" s="252"/>
      <c r="CVZ1" s="253"/>
      <c r="CWA1" s="253"/>
      <c r="CWB1" s="253"/>
      <c r="CWC1" s="252"/>
      <c r="CWD1" s="253"/>
      <c r="CWE1" s="253"/>
      <c r="CWF1" s="253"/>
      <c r="CWG1" s="252"/>
      <c r="CWH1" s="253"/>
      <c r="CWI1" s="253"/>
      <c r="CWJ1" s="253"/>
      <c r="CWK1" s="252"/>
      <c r="CWL1" s="253"/>
      <c r="CWM1" s="253"/>
      <c r="CWN1" s="253"/>
      <c r="CWO1" s="252"/>
      <c r="CWP1" s="253"/>
      <c r="CWQ1" s="253"/>
      <c r="CWR1" s="253"/>
      <c r="CWS1" s="252"/>
      <c r="CWT1" s="253"/>
      <c r="CWU1" s="253"/>
      <c r="CWV1" s="253"/>
      <c r="CWW1" s="252"/>
      <c r="CWX1" s="253"/>
      <c r="CWY1" s="253"/>
      <c r="CWZ1" s="253"/>
      <c r="CXA1" s="252"/>
      <c r="CXB1" s="253"/>
      <c r="CXC1" s="253"/>
      <c r="CXD1" s="253"/>
      <c r="CXE1" s="252"/>
      <c r="CXF1" s="253"/>
      <c r="CXG1" s="253"/>
      <c r="CXH1" s="253"/>
      <c r="CXI1" s="252"/>
      <c r="CXJ1" s="253"/>
      <c r="CXK1" s="253"/>
      <c r="CXL1" s="253"/>
      <c r="CXM1" s="252"/>
      <c r="CXN1" s="253"/>
      <c r="CXO1" s="253"/>
      <c r="CXP1" s="253"/>
      <c r="CXQ1" s="252"/>
      <c r="CXR1" s="253"/>
      <c r="CXS1" s="253"/>
      <c r="CXT1" s="253"/>
      <c r="CXU1" s="252"/>
      <c r="CXV1" s="253"/>
      <c r="CXW1" s="253"/>
      <c r="CXX1" s="253"/>
      <c r="CXY1" s="252"/>
      <c r="CXZ1" s="253"/>
      <c r="CYA1" s="253"/>
      <c r="CYB1" s="253"/>
      <c r="CYC1" s="252"/>
      <c r="CYD1" s="253"/>
      <c r="CYE1" s="253"/>
      <c r="CYF1" s="253"/>
      <c r="CYG1" s="252"/>
      <c r="CYH1" s="253"/>
      <c r="CYI1" s="253"/>
      <c r="CYJ1" s="253"/>
      <c r="CYK1" s="252"/>
      <c r="CYL1" s="253"/>
      <c r="CYM1" s="253"/>
      <c r="CYN1" s="253"/>
      <c r="CYO1" s="252"/>
      <c r="CYP1" s="253"/>
      <c r="CYQ1" s="253"/>
      <c r="CYR1" s="253"/>
      <c r="CYS1" s="252"/>
      <c r="CYT1" s="253"/>
      <c r="CYU1" s="253"/>
      <c r="CYV1" s="253"/>
      <c r="CYW1" s="252"/>
      <c r="CYX1" s="253"/>
      <c r="CYY1" s="253"/>
      <c r="CYZ1" s="253"/>
      <c r="CZA1" s="252"/>
      <c r="CZB1" s="253"/>
      <c r="CZC1" s="253"/>
      <c r="CZD1" s="253"/>
      <c r="CZE1" s="252"/>
      <c r="CZF1" s="253"/>
      <c r="CZG1" s="253"/>
      <c r="CZH1" s="253"/>
      <c r="CZI1" s="252"/>
      <c r="CZJ1" s="253"/>
      <c r="CZK1" s="253"/>
      <c r="CZL1" s="253"/>
      <c r="CZM1" s="252"/>
      <c r="CZN1" s="253"/>
      <c r="CZO1" s="253"/>
      <c r="CZP1" s="253"/>
      <c r="CZQ1" s="252"/>
      <c r="CZR1" s="253"/>
      <c r="CZS1" s="253"/>
      <c r="CZT1" s="253"/>
      <c r="CZU1" s="252"/>
      <c r="CZV1" s="253"/>
      <c r="CZW1" s="253"/>
      <c r="CZX1" s="253"/>
      <c r="CZY1" s="252"/>
      <c r="CZZ1" s="253"/>
      <c r="DAA1" s="253"/>
      <c r="DAB1" s="253"/>
      <c r="DAC1" s="252"/>
      <c r="DAD1" s="253"/>
      <c r="DAE1" s="253"/>
      <c r="DAF1" s="253"/>
      <c r="DAG1" s="252"/>
      <c r="DAH1" s="253"/>
      <c r="DAI1" s="253"/>
      <c r="DAJ1" s="253"/>
      <c r="DAK1" s="252"/>
      <c r="DAL1" s="253"/>
      <c r="DAM1" s="253"/>
      <c r="DAN1" s="253"/>
      <c r="DAO1" s="252"/>
      <c r="DAP1" s="253"/>
      <c r="DAQ1" s="253"/>
      <c r="DAR1" s="253"/>
      <c r="DAS1" s="252"/>
      <c r="DAT1" s="253"/>
      <c r="DAU1" s="253"/>
      <c r="DAV1" s="253"/>
      <c r="DAW1" s="252"/>
      <c r="DAX1" s="253"/>
      <c r="DAY1" s="253"/>
      <c r="DAZ1" s="253"/>
      <c r="DBA1" s="252"/>
      <c r="DBB1" s="253"/>
      <c r="DBC1" s="253"/>
      <c r="DBD1" s="253"/>
      <c r="DBE1" s="252"/>
      <c r="DBF1" s="253"/>
      <c r="DBG1" s="253"/>
      <c r="DBH1" s="253"/>
      <c r="DBI1" s="252"/>
      <c r="DBJ1" s="253"/>
      <c r="DBK1" s="253"/>
      <c r="DBL1" s="253"/>
      <c r="DBM1" s="252"/>
      <c r="DBN1" s="253"/>
      <c r="DBO1" s="253"/>
      <c r="DBP1" s="253"/>
      <c r="DBQ1" s="252"/>
      <c r="DBR1" s="253"/>
      <c r="DBS1" s="253"/>
      <c r="DBT1" s="253"/>
      <c r="DBU1" s="252"/>
      <c r="DBV1" s="253"/>
      <c r="DBW1" s="253"/>
      <c r="DBX1" s="253"/>
      <c r="DBY1" s="252"/>
      <c r="DBZ1" s="253"/>
      <c r="DCA1" s="253"/>
      <c r="DCB1" s="253"/>
      <c r="DCC1" s="252"/>
      <c r="DCD1" s="253"/>
      <c r="DCE1" s="253"/>
      <c r="DCF1" s="253"/>
      <c r="DCG1" s="252"/>
      <c r="DCH1" s="253"/>
      <c r="DCI1" s="253"/>
      <c r="DCJ1" s="253"/>
      <c r="DCK1" s="252"/>
      <c r="DCL1" s="253"/>
      <c r="DCM1" s="253"/>
      <c r="DCN1" s="253"/>
      <c r="DCO1" s="252"/>
      <c r="DCP1" s="253"/>
      <c r="DCQ1" s="253"/>
      <c r="DCR1" s="253"/>
      <c r="DCS1" s="252"/>
      <c r="DCT1" s="253"/>
      <c r="DCU1" s="253"/>
      <c r="DCV1" s="253"/>
      <c r="DCW1" s="252"/>
      <c r="DCX1" s="253"/>
      <c r="DCY1" s="253"/>
      <c r="DCZ1" s="253"/>
      <c r="DDA1" s="252"/>
      <c r="DDB1" s="253"/>
      <c r="DDC1" s="253"/>
      <c r="DDD1" s="253"/>
      <c r="DDE1" s="252"/>
      <c r="DDF1" s="253"/>
      <c r="DDG1" s="253"/>
      <c r="DDH1" s="253"/>
      <c r="DDI1" s="252"/>
      <c r="DDJ1" s="253"/>
      <c r="DDK1" s="253"/>
      <c r="DDL1" s="253"/>
      <c r="DDM1" s="252"/>
      <c r="DDN1" s="253"/>
      <c r="DDO1" s="253"/>
      <c r="DDP1" s="253"/>
      <c r="DDQ1" s="252"/>
      <c r="DDR1" s="253"/>
      <c r="DDS1" s="253"/>
      <c r="DDT1" s="253"/>
      <c r="DDU1" s="252"/>
      <c r="DDV1" s="253"/>
      <c r="DDW1" s="253"/>
      <c r="DDX1" s="253"/>
      <c r="DDY1" s="252"/>
      <c r="DDZ1" s="253"/>
      <c r="DEA1" s="253"/>
      <c r="DEB1" s="253"/>
      <c r="DEC1" s="252"/>
      <c r="DED1" s="253"/>
      <c r="DEE1" s="253"/>
      <c r="DEF1" s="253"/>
      <c r="DEG1" s="252"/>
      <c r="DEH1" s="253"/>
      <c r="DEI1" s="253"/>
      <c r="DEJ1" s="253"/>
      <c r="DEK1" s="252"/>
      <c r="DEL1" s="253"/>
      <c r="DEM1" s="253"/>
      <c r="DEN1" s="253"/>
      <c r="DEO1" s="252"/>
      <c r="DEP1" s="253"/>
      <c r="DEQ1" s="253"/>
      <c r="DER1" s="253"/>
      <c r="DES1" s="252"/>
      <c r="DET1" s="253"/>
      <c r="DEU1" s="253"/>
      <c r="DEV1" s="253"/>
      <c r="DEW1" s="252"/>
      <c r="DEX1" s="253"/>
      <c r="DEY1" s="253"/>
      <c r="DEZ1" s="253"/>
      <c r="DFA1" s="252"/>
      <c r="DFB1" s="253"/>
      <c r="DFC1" s="253"/>
      <c r="DFD1" s="253"/>
      <c r="DFE1" s="252"/>
      <c r="DFF1" s="253"/>
      <c r="DFG1" s="253"/>
      <c r="DFH1" s="253"/>
      <c r="DFI1" s="252"/>
      <c r="DFJ1" s="253"/>
      <c r="DFK1" s="253"/>
      <c r="DFL1" s="253"/>
      <c r="DFM1" s="252"/>
      <c r="DFN1" s="253"/>
      <c r="DFO1" s="253"/>
      <c r="DFP1" s="253"/>
      <c r="DFQ1" s="252"/>
      <c r="DFR1" s="253"/>
      <c r="DFS1" s="253"/>
      <c r="DFT1" s="253"/>
      <c r="DFU1" s="252"/>
      <c r="DFV1" s="253"/>
      <c r="DFW1" s="253"/>
      <c r="DFX1" s="253"/>
      <c r="DFY1" s="252"/>
      <c r="DFZ1" s="253"/>
      <c r="DGA1" s="253"/>
      <c r="DGB1" s="253"/>
      <c r="DGC1" s="252"/>
      <c r="DGD1" s="253"/>
      <c r="DGE1" s="253"/>
      <c r="DGF1" s="253"/>
      <c r="DGG1" s="252"/>
      <c r="DGH1" s="253"/>
      <c r="DGI1" s="253"/>
      <c r="DGJ1" s="253"/>
      <c r="DGK1" s="252"/>
      <c r="DGL1" s="253"/>
      <c r="DGM1" s="253"/>
      <c r="DGN1" s="253"/>
      <c r="DGO1" s="252"/>
      <c r="DGP1" s="253"/>
      <c r="DGQ1" s="253"/>
      <c r="DGR1" s="253"/>
      <c r="DGS1" s="252"/>
      <c r="DGT1" s="253"/>
      <c r="DGU1" s="253"/>
      <c r="DGV1" s="253"/>
      <c r="DGW1" s="252"/>
      <c r="DGX1" s="253"/>
      <c r="DGY1" s="253"/>
      <c r="DGZ1" s="253"/>
      <c r="DHA1" s="252"/>
      <c r="DHB1" s="253"/>
      <c r="DHC1" s="253"/>
      <c r="DHD1" s="253"/>
      <c r="DHE1" s="252"/>
      <c r="DHF1" s="253"/>
      <c r="DHG1" s="253"/>
      <c r="DHH1" s="253"/>
      <c r="DHI1" s="252"/>
      <c r="DHJ1" s="253"/>
      <c r="DHK1" s="253"/>
      <c r="DHL1" s="253"/>
      <c r="DHM1" s="252"/>
      <c r="DHN1" s="253"/>
      <c r="DHO1" s="253"/>
      <c r="DHP1" s="253"/>
      <c r="DHQ1" s="252"/>
      <c r="DHR1" s="253"/>
      <c r="DHS1" s="253"/>
      <c r="DHT1" s="253"/>
      <c r="DHU1" s="252"/>
      <c r="DHV1" s="253"/>
      <c r="DHW1" s="253"/>
      <c r="DHX1" s="253"/>
      <c r="DHY1" s="252"/>
      <c r="DHZ1" s="253"/>
      <c r="DIA1" s="253"/>
      <c r="DIB1" s="253"/>
      <c r="DIC1" s="252"/>
      <c r="DID1" s="253"/>
      <c r="DIE1" s="253"/>
      <c r="DIF1" s="253"/>
      <c r="DIG1" s="252"/>
      <c r="DIH1" s="253"/>
      <c r="DII1" s="253"/>
      <c r="DIJ1" s="253"/>
      <c r="DIK1" s="252"/>
      <c r="DIL1" s="253"/>
      <c r="DIM1" s="253"/>
      <c r="DIN1" s="253"/>
      <c r="DIO1" s="252"/>
      <c r="DIP1" s="253"/>
      <c r="DIQ1" s="253"/>
      <c r="DIR1" s="253"/>
      <c r="DIS1" s="252"/>
      <c r="DIT1" s="253"/>
      <c r="DIU1" s="253"/>
      <c r="DIV1" s="253"/>
      <c r="DIW1" s="252"/>
      <c r="DIX1" s="253"/>
      <c r="DIY1" s="253"/>
      <c r="DIZ1" s="253"/>
      <c r="DJA1" s="252"/>
      <c r="DJB1" s="253"/>
      <c r="DJC1" s="253"/>
      <c r="DJD1" s="253"/>
      <c r="DJE1" s="252"/>
      <c r="DJF1" s="253"/>
      <c r="DJG1" s="253"/>
      <c r="DJH1" s="253"/>
      <c r="DJI1" s="252"/>
      <c r="DJJ1" s="253"/>
      <c r="DJK1" s="253"/>
      <c r="DJL1" s="253"/>
      <c r="DJM1" s="252"/>
      <c r="DJN1" s="253"/>
      <c r="DJO1" s="253"/>
      <c r="DJP1" s="253"/>
      <c r="DJQ1" s="252"/>
      <c r="DJR1" s="253"/>
      <c r="DJS1" s="253"/>
      <c r="DJT1" s="253"/>
      <c r="DJU1" s="252"/>
      <c r="DJV1" s="253"/>
      <c r="DJW1" s="253"/>
      <c r="DJX1" s="253"/>
      <c r="DJY1" s="252"/>
      <c r="DJZ1" s="253"/>
      <c r="DKA1" s="253"/>
      <c r="DKB1" s="253"/>
      <c r="DKC1" s="252"/>
      <c r="DKD1" s="253"/>
      <c r="DKE1" s="253"/>
      <c r="DKF1" s="253"/>
      <c r="DKG1" s="252"/>
      <c r="DKH1" s="253"/>
      <c r="DKI1" s="253"/>
      <c r="DKJ1" s="253"/>
      <c r="DKK1" s="252"/>
      <c r="DKL1" s="253"/>
      <c r="DKM1" s="253"/>
      <c r="DKN1" s="253"/>
      <c r="DKO1" s="252"/>
      <c r="DKP1" s="253"/>
      <c r="DKQ1" s="253"/>
      <c r="DKR1" s="253"/>
      <c r="DKS1" s="252"/>
      <c r="DKT1" s="253"/>
      <c r="DKU1" s="253"/>
      <c r="DKV1" s="253"/>
      <c r="DKW1" s="252"/>
      <c r="DKX1" s="253"/>
      <c r="DKY1" s="253"/>
      <c r="DKZ1" s="253"/>
      <c r="DLA1" s="252"/>
      <c r="DLB1" s="253"/>
      <c r="DLC1" s="253"/>
      <c r="DLD1" s="253"/>
      <c r="DLE1" s="252"/>
      <c r="DLF1" s="253"/>
      <c r="DLG1" s="253"/>
      <c r="DLH1" s="253"/>
      <c r="DLI1" s="252"/>
      <c r="DLJ1" s="253"/>
      <c r="DLK1" s="253"/>
      <c r="DLL1" s="253"/>
      <c r="DLM1" s="252"/>
      <c r="DLN1" s="253"/>
      <c r="DLO1" s="253"/>
      <c r="DLP1" s="253"/>
      <c r="DLQ1" s="252"/>
      <c r="DLR1" s="253"/>
      <c r="DLS1" s="253"/>
      <c r="DLT1" s="253"/>
      <c r="DLU1" s="252"/>
      <c r="DLV1" s="253"/>
      <c r="DLW1" s="253"/>
      <c r="DLX1" s="253"/>
      <c r="DLY1" s="252"/>
      <c r="DLZ1" s="253"/>
      <c r="DMA1" s="253"/>
      <c r="DMB1" s="253"/>
      <c r="DMC1" s="252"/>
      <c r="DMD1" s="253"/>
      <c r="DME1" s="253"/>
      <c r="DMF1" s="253"/>
      <c r="DMG1" s="252"/>
      <c r="DMH1" s="253"/>
      <c r="DMI1" s="253"/>
      <c r="DMJ1" s="253"/>
      <c r="DMK1" s="252"/>
      <c r="DML1" s="253"/>
      <c r="DMM1" s="253"/>
      <c r="DMN1" s="253"/>
      <c r="DMO1" s="252"/>
      <c r="DMP1" s="253"/>
      <c r="DMQ1" s="253"/>
      <c r="DMR1" s="253"/>
      <c r="DMS1" s="252"/>
      <c r="DMT1" s="253"/>
      <c r="DMU1" s="253"/>
      <c r="DMV1" s="253"/>
      <c r="DMW1" s="252"/>
      <c r="DMX1" s="253"/>
      <c r="DMY1" s="253"/>
      <c r="DMZ1" s="253"/>
      <c r="DNA1" s="252"/>
      <c r="DNB1" s="253"/>
      <c r="DNC1" s="253"/>
      <c r="DND1" s="253"/>
      <c r="DNE1" s="252"/>
      <c r="DNF1" s="253"/>
      <c r="DNG1" s="253"/>
      <c r="DNH1" s="253"/>
      <c r="DNI1" s="252"/>
      <c r="DNJ1" s="253"/>
      <c r="DNK1" s="253"/>
      <c r="DNL1" s="253"/>
      <c r="DNM1" s="252"/>
      <c r="DNN1" s="253"/>
      <c r="DNO1" s="253"/>
      <c r="DNP1" s="253"/>
      <c r="DNQ1" s="252"/>
      <c r="DNR1" s="253"/>
      <c r="DNS1" s="253"/>
      <c r="DNT1" s="253"/>
      <c r="DNU1" s="252"/>
      <c r="DNV1" s="253"/>
      <c r="DNW1" s="253"/>
      <c r="DNX1" s="253"/>
      <c r="DNY1" s="252"/>
      <c r="DNZ1" s="253"/>
      <c r="DOA1" s="253"/>
      <c r="DOB1" s="253"/>
      <c r="DOC1" s="252"/>
      <c r="DOD1" s="253"/>
      <c r="DOE1" s="253"/>
      <c r="DOF1" s="253"/>
      <c r="DOG1" s="252"/>
      <c r="DOH1" s="253"/>
      <c r="DOI1" s="253"/>
      <c r="DOJ1" s="253"/>
      <c r="DOK1" s="252"/>
      <c r="DOL1" s="253"/>
      <c r="DOM1" s="253"/>
      <c r="DON1" s="253"/>
      <c r="DOO1" s="252"/>
      <c r="DOP1" s="253"/>
      <c r="DOQ1" s="253"/>
      <c r="DOR1" s="253"/>
      <c r="DOS1" s="252"/>
      <c r="DOT1" s="253"/>
      <c r="DOU1" s="253"/>
      <c r="DOV1" s="253"/>
      <c r="DOW1" s="252"/>
      <c r="DOX1" s="253"/>
      <c r="DOY1" s="253"/>
      <c r="DOZ1" s="253"/>
      <c r="DPA1" s="252"/>
      <c r="DPB1" s="253"/>
      <c r="DPC1" s="253"/>
      <c r="DPD1" s="253"/>
      <c r="DPE1" s="252"/>
      <c r="DPF1" s="253"/>
      <c r="DPG1" s="253"/>
      <c r="DPH1" s="253"/>
      <c r="DPI1" s="252"/>
      <c r="DPJ1" s="253"/>
      <c r="DPK1" s="253"/>
      <c r="DPL1" s="253"/>
      <c r="DPM1" s="252"/>
      <c r="DPN1" s="253"/>
      <c r="DPO1" s="253"/>
      <c r="DPP1" s="253"/>
      <c r="DPQ1" s="252"/>
      <c r="DPR1" s="253"/>
      <c r="DPS1" s="253"/>
      <c r="DPT1" s="253"/>
      <c r="DPU1" s="252"/>
      <c r="DPV1" s="253"/>
      <c r="DPW1" s="253"/>
      <c r="DPX1" s="253"/>
      <c r="DPY1" s="252"/>
      <c r="DPZ1" s="253"/>
      <c r="DQA1" s="253"/>
      <c r="DQB1" s="253"/>
      <c r="DQC1" s="252"/>
      <c r="DQD1" s="253"/>
      <c r="DQE1" s="253"/>
      <c r="DQF1" s="253"/>
      <c r="DQG1" s="252"/>
      <c r="DQH1" s="253"/>
      <c r="DQI1" s="253"/>
      <c r="DQJ1" s="253"/>
      <c r="DQK1" s="252"/>
      <c r="DQL1" s="253"/>
      <c r="DQM1" s="253"/>
      <c r="DQN1" s="253"/>
      <c r="DQO1" s="252"/>
      <c r="DQP1" s="253"/>
      <c r="DQQ1" s="253"/>
      <c r="DQR1" s="253"/>
      <c r="DQS1" s="252"/>
      <c r="DQT1" s="253"/>
      <c r="DQU1" s="253"/>
      <c r="DQV1" s="253"/>
      <c r="DQW1" s="252"/>
      <c r="DQX1" s="253"/>
      <c r="DQY1" s="253"/>
      <c r="DQZ1" s="253"/>
      <c r="DRA1" s="252"/>
      <c r="DRB1" s="253"/>
      <c r="DRC1" s="253"/>
      <c r="DRD1" s="253"/>
      <c r="DRE1" s="252"/>
      <c r="DRF1" s="253"/>
      <c r="DRG1" s="253"/>
      <c r="DRH1" s="253"/>
      <c r="DRI1" s="252"/>
      <c r="DRJ1" s="253"/>
      <c r="DRK1" s="253"/>
      <c r="DRL1" s="253"/>
      <c r="DRM1" s="252"/>
      <c r="DRN1" s="253"/>
      <c r="DRO1" s="253"/>
      <c r="DRP1" s="253"/>
      <c r="DRQ1" s="252"/>
      <c r="DRR1" s="253"/>
      <c r="DRS1" s="253"/>
      <c r="DRT1" s="253"/>
      <c r="DRU1" s="252"/>
      <c r="DRV1" s="253"/>
      <c r="DRW1" s="253"/>
      <c r="DRX1" s="253"/>
      <c r="DRY1" s="252"/>
      <c r="DRZ1" s="253"/>
      <c r="DSA1" s="253"/>
      <c r="DSB1" s="253"/>
      <c r="DSC1" s="252"/>
      <c r="DSD1" s="253"/>
      <c r="DSE1" s="253"/>
      <c r="DSF1" s="253"/>
      <c r="DSG1" s="252"/>
      <c r="DSH1" s="253"/>
      <c r="DSI1" s="253"/>
      <c r="DSJ1" s="253"/>
      <c r="DSK1" s="252"/>
      <c r="DSL1" s="253"/>
      <c r="DSM1" s="253"/>
      <c r="DSN1" s="253"/>
      <c r="DSO1" s="252"/>
      <c r="DSP1" s="253"/>
      <c r="DSQ1" s="253"/>
      <c r="DSR1" s="253"/>
      <c r="DSS1" s="252"/>
      <c r="DST1" s="253"/>
      <c r="DSU1" s="253"/>
      <c r="DSV1" s="253"/>
      <c r="DSW1" s="252"/>
      <c r="DSX1" s="253"/>
      <c r="DSY1" s="253"/>
      <c r="DSZ1" s="253"/>
      <c r="DTA1" s="252"/>
      <c r="DTB1" s="253"/>
      <c r="DTC1" s="253"/>
      <c r="DTD1" s="253"/>
      <c r="DTE1" s="252"/>
      <c r="DTF1" s="253"/>
      <c r="DTG1" s="253"/>
      <c r="DTH1" s="253"/>
      <c r="DTI1" s="252"/>
      <c r="DTJ1" s="253"/>
      <c r="DTK1" s="253"/>
      <c r="DTL1" s="253"/>
      <c r="DTM1" s="252"/>
      <c r="DTN1" s="253"/>
      <c r="DTO1" s="253"/>
      <c r="DTP1" s="253"/>
      <c r="DTQ1" s="252"/>
      <c r="DTR1" s="253"/>
      <c r="DTS1" s="253"/>
      <c r="DTT1" s="253"/>
      <c r="DTU1" s="252"/>
      <c r="DTV1" s="253"/>
      <c r="DTW1" s="253"/>
      <c r="DTX1" s="253"/>
      <c r="DTY1" s="252"/>
      <c r="DTZ1" s="253"/>
      <c r="DUA1" s="253"/>
      <c r="DUB1" s="253"/>
      <c r="DUC1" s="252"/>
      <c r="DUD1" s="253"/>
      <c r="DUE1" s="253"/>
      <c r="DUF1" s="253"/>
      <c r="DUG1" s="252"/>
      <c r="DUH1" s="253"/>
      <c r="DUI1" s="253"/>
      <c r="DUJ1" s="253"/>
      <c r="DUK1" s="252"/>
      <c r="DUL1" s="253"/>
      <c r="DUM1" s="253"/>
      <c r="DUN1" s="253"/>
      <c r="DUO1" s="252"/>
      <c r="DUP1" s="253"/>
      <c r="DUQ1" s="253"/>
      <c r="DUR1" s="253"/>
      <c r="DUS1" s="252"/>
      <c r="DUT1" s="253"/>
      <c r="DUU1" s="253"/>
      <c r="DUV1" s="253"/>
      <c r="DUW1" s="252"/>
      <c r="DUX1" s="253"/>
      <c r="DUY1" s="253"/>
      <c r="DUZ1" s="253"/>
      <c r="DVA1" s="252"/>
      <c r="DVB1" s="253"/>
      <c r="DVC1" s="253"/>
      <c r="DVD1" s="253"/>
      <c r="DVE1" s="252"/>
      <c r="DVF1" s="253"/>
      <c r="DVG1" s="253"/>
      <c r="DVH1" s="253"/>
      <c r="DVI1" s="252"/>
      <c r="DVJ1" s="253"/>
      <c r="DVK1" s="253"/>
      <c r="DVL1" s="253"/>
      <c r="DVM1" s="252"/>
      <c r="DVN1" s="253"/>
      <c r="DVO1" s="253"/>
      <c r="DVP1" s="253"/>
      <c r="DVQ1" s="252"/>
      <c r="DVR1" s="253"/>
      <c r="DVS1" s="253"/>
      <c r="DVT1" s="253"/>
      <c r="DVU1" s="252"/>
      <c r="DVV1" s="253"/>
      <c r="DVW1" s="253"/>
      <c r="DVX1" s="253"/>
      <c r="DVY1" s="252"/>
      <c r="DVZ1" s="253"/>
      <c r="DWA1" s="253"/>
      <c r="DWB1" s="253"/>
      <c r="DWC1" s="252"/>
      <c r="DWD1" s="253"/>
      <c r="DWE1" s="253"/>
      <c r="DWF1" s="253"/>
      <c r="DWG1" s="252"/>
      <c r="DWH1" s="253"/>
      <c r="DWI1" s="253"/>
      <c r="DWJ1" s="253"/>
      <c r="DWK1" s="252"/>
      <c r="DWL1" s="253"/>
      <c r="DWM1" s="253"/>
      <c r="DWN1" s="253"/>
      <c r="DWO1" s="252"/>
      <c r="DWP1" s="253"/>
      <c r="DWQ1" s="253"/>
      <c r="DWR1" s="253"/>
      <c r="DWS1" s="252"/>
      <c r="DWT1" s="253"/>
      <c r="DWU1" s="253"/>
      <c r="DWV1" s="253"/>
      <c r="DWW1" s="252"/>
      <c r="DWX1" s="253"/>
      <c r="DWY1" s="253"/>
      <c r="DWZ1" s="253"/>
      <c r="DXA1" s="252"/>
      <c r="DXB1" s="253"/>
      <c r="DXC1" s="253"/>
      <c r="DXD1" s="253"/>
      <c r="DXE1" s="252"/>
      <c r="DXF1" s="253"/>
      <c r="DXG1" s="253"/>
      <c r="DXH1" s="253"/>
      <c r="DXI1" s="252"/>
      <c r="DXJ1" s="253"/>
      <c r="DXK1" s="253"/>
      <c r="DXL1" s="253"/>
      <c r="DXM1" s="252"/>
      <c r="DXN1" s="253"/>
      <c r="DXO1" s="253"/>
      <c r="DXP1" s="253"/>
      <c r="DXQ1" s="252"/>
      <c r="DXR1" s="253"/>
      <c r="DXS1" s="253"/>
      <c r="DXT1" s="253"/>
      <c r="DXU1" s="252"/>
      <c r="DXV1" s="253"/>
      <c r="DXW1" s="253"/>
      <c r="DXX1" s="253"/>
      <c r="DXY1" s="252"/>
      <c r="DXZ1" s="253"/>
      <c r="DYA1" s="253"/>
      <c r="DYB1" s="253"/>
      <c r="DYC1" s="252"/>
      <c r="DYD1" s="253"/>
      <c r="DYE1" s="253"/>
      <c r="DYF1" s="253"/>
      <c r="DYG1" s="252"/>
      <c r="DYH1" s="253"/>
      <c r="DYI1" s="253"/>
      <c r="DYJ1" s="253"/>
      <c r="DYK1" s="252"/>
      <c r="DYL1" s="253"/>
      <c r="DYM1" s="253"/>
      <c r="DYN1" s="253"/>
      <c r="DYO1" s="252"/>
      <c r="DYP1" s="253"/>
      <c r="DYQ1" s="253"/>
      <c r="DYR1" s="253"/>
      <c r="DYS1" s="252"/>
      <c r="DYT1" s="253"/>
      <c r="DYU1" s="253"/>
      <c r="DYV1" s="253"/>
      <c r="DYW1" s="252"/>
      <c r="DYX1" s="253"/>
      <c r="DYY1" s="253"/>
      <c r="DYZ1" s="253"/>
      <c r="DZA1" s="252"/>
      <c r="DZB1" s="253"/>
      <c r="DZC1" s="253"/>
      <c r="DZD1" s="253"/>
      <c r="DZE1" s="252"/>
      <c r="DZF1" s="253"/>
      <c r="DZG1" s="253"/>
      <c r="DZH1" s="253"/>
      <c r="DZI1" s="252"/>
      <c r="DZJ1" s="253"/>
      <c r="DZK1" s="253"/>
      <c r="DZL1" s="253"/>
      <c r="DZM1" s="252"/>
      <c r="DZN1" s="253"/>
      <c r="DZO1" s="253"/>
      <c r="DZP1" s="253"/>
      <c r="DZQ1" s="252"/>
      <c r="DZR1" s="253"/>
      <c r="DZS1" s="253"/>
      <c r="DZT1" s="253"/>
      <c r="DZU1" s="252"/>
      <c r="DZV1" s="253"/>
      <c r="DZW1" s="253"/>
      <c r="DZX1" s="253"/>
      <c r="DZY1" s="252"/>
      <c r="DZZ1" s="253"/>
      <c r="EAA1" s="253"/>
      <c r="EAB1" s="253"/>
      <c r="EAC1" s="252"/>
      <c r="EAD1" s="253"/>
      <c r="EAE1" s="253"/>
      <c r="EAF1" s="253"/>
      <c r="EAG1" s="252"/>
      <c r="EAH1" s="253"/>
      <c r="EAI1" s="253"/>
      <c r="EAJ1" s="253"/>
      <c r="EAK1" s="252"/>
      <c r="EAL1" s="253"/>
      <c r="EAM1" s="253"/>
      <c r="EAN1" s="253"/>
      <c r="EAO1" s="252"/>
      <c r="EAP1" s="253"/>
      <c r="EAQ1" s="253"/>
      <c r="EAR1" s="253"/>
      <c r="EAS1" s="252"/>
      <c r="EAT1" s="253"/>
      <c r="EAU1" s="253"/>
      <c r="EAV1" s="253"/>
      <c r="EAW1" s="252"/>
      <c r="EAX1" s="253"/>
      <c r="EAY1" s="253"/>
      <c r="EAZ1" s="253"/>
      <c r="EBA1" s="252"/>
      <c r="EBB1" s="253"/>
      <c r="EBC1" s="253"/>
      <c r="EBD1" s="253"/>
      <c r="EBE1" s="252"/>
      <c r="EBF1" s="253"/>
      <c r="EBG1" s="253"/>
      <c r="EBH1" s="253"/>
      <c r="EBI1" s="252"/>
      <c r="EBJ1" s="253"/>
      <c r="EBK1" s="253"/>
      <c r="EBL1" s="253"/>
      <c r="EBM1" s="252"/>
      <c r="EBN1" s="253"/>
      <c r="EBO1" s="253"/>
      <c r="EBP1" s="253"/>
      <c r="EBQ1" s="252"/>
      <c r="EBR1" s="253"/>
      <c r="EBS1" s="253"/>
      <c r="EBT1" s="253"/>
      <c r="EBU1" s="252"/>
      <c r="EBV1" s="253"/>
      <c r="EBW1" s="253"/>
      <c r="EBX1" s="253"/>
      <c r="EBY1" s="252"/>
      <c r="EBZ1" s="253"/>
      <c r="ECA1" s="253"/>
      <c r="ECB1" s="253"/>
      <c r="ECC1" s="252"/>
      <c r="ECD1" s="253"/>
      <c r="ECE1" s="253"/>
      <c r="ECF1" s="253"/>
      <c r="ECG1" s="252"/>
      <c r="ECH1" s="253"/>
      <c r="ECI1" s="253"/>
      <c r="ECJ1" s="253"/>
      <c r="ECK1" s="252"/>
      <c r="ECL1" s="253"/>
      <c r="ECM1" s="253"/>
      <c r="ECN1" s="253"/>
      <c r="ECO1" s="252"/>
      <c r="ECP1" s="253"/>
      <c r="ECQ1" s="253"/>
      <c r="ECR1" s="253"/>
      <c r="ECS1" s="252"/>
      <c r="ECT1" s="253"/>
      <c r="ECU1" s="253"/>
      <c r="ECV1" s="253"/>
      <c r="ECW1" s="252"/>
      <c r="ECX1" s="253"/>
      <c r="ECY1" s="253"/>
      <c r="ECZ1" s="253"/>
      <c r="EDA1" s="252"/>
      <c r="EDB1" s="253"/>
      <c r="EDC1" s="253"/>
      <c r="EDD1" s="253"/>
      <c r="EDE1" s="252"/>
      <c r="EDF1" s="253"/>
      <c r="EDG1" s="253"/>
      <c r="EDH1" s="253"/>
      <c r="EDI1" s="252"/>
      <c r="EDJ1" s="253"/>
      <c r="EDK1" s="253"/>
      <c r="EDL1" s="253"/>
      <c r="EDM1" s="252"/>
      <c r="EDN1" s="253"/>
      <c r="EDO1" s="253"/>
      <c r="EDP1" s="253"/>
      <c r="EDQ1" s="252"/>
      <c r="EDR1" s="253"/>
      <c r="EDS1" s="253"/>
      <c r="EDT1" s="253"/>
      <c r="EDU1" s="252"/>
      <c r="EDV1" s="253"/>
      <c r="EDW1" s="253"/>
      <c r="EDX1" s="253"/>
      <c r="EDY1" s="252"/>
      <c r="EDZ1" s="253"/>
      <c r="EEA1" s="253"/>
      <c r="EEB1" s="253"/>
      <c r="EEC1" s="252"/>
      <c r="EED1" s="253"/>
      <c r="EEE1" s="253"/>
      <c r="EEF1" s="253"/>
      <c r="EEG1" s="252"/>
      <c r="EEH1" s="253"/>
      <c r="EEI1" s="253"/>
      <c r="EEJ1" s="253"/>
      <c r="EEK1" s="252"/>
      <c r="EEL1" s="253"/>
      <c r="EEM1" s="253"/>
      <c r="EEN1" s="253"/>
      <c r="EEO1" s="252"/>
      <c r="EEP1" s="253"/>
      <c r="EEQ1" s="253"/>
      <c r="EER1" s="253"/>
      <c r="EES1" s="252"/>
      <c r="EET1" s="253"/>
      <c r="EEU1" s="253"/>
      <c r="EEV1" s="253"/>
      <c r="EEW1" s="252"/>
      <c r="EEX1" s="253"/>
      <c r="EEY1" s="253"/>
      <c r="EEZ1" s="253"/>
      <c r="EFA1" s="252"/>
      <c r="EFB1" s="253"/>
      <c r="EFC1" s="253"/>
      <c r="EFD1" s="253"/>
      <c r="EFE1" s="252"/>
      <c r="EFF1" s="253"/>
      <c r="EFG1" s="253"/>
      <c r="EFH1" s="253"/>
      <c r="EFI1" s="252"/>
      <c r="EFJ1" s="253"/>
      <c r="EFK1" s="253"/>
      <c r="EFL1" s="253"/>
      <c r="EFM1" s="252"/>
      <c r="EFN1" s="253"/>
      <c r="EFO1" s="253"/>
      <c r="EFP1" s="253"/>
      <c r="EFQ1" s="252"/>
      <c r="EFR1" s="253"/>
      <c r="EFS1" s="253"/>
      <c r="EFT1" s="253"/>
      <c r="EFU1" s="252"/>
      <c r="EFV1" s="253"/>
      <c r="EFW1" s="253"/>
      <c r="EFX1" s="253"/>
      <c r="EFY1" s="252"/>
      <c r="EFZ1" s="253"/>
      <c r="EGA1" s="253"/>
      <c r="EGB1" s="253"/>
      <c r="EGC1" s="252"/>
      <c r="EGD1" s="253"/>
      <c r="EGE1" s="253"/>
      <c r="EGF1" s="253"/>
      <c r="EGG1" s="252"/>
      <c r="EGH1" s="253"/>
      <c r="EGI1" s="253"/>
      <c r="EGJ1" s="253"/>
      <c r="EGK1" s="252"/>
      <c r="EGL1" s="253"/>
      <c r="EGM1" s="253"/>
      <c r="EGN1" s="253"/>
      <c r="EGO1" s="252"/>
      <c r="EGP1" s="253"/>
      <c r="EGQ1" s="253"/>
      <c r="EGR1" s="253"/>
      <c r="EGS1" s="252"/>
      <c r="EGT1" s="253"/>
      <c r="EGU1" s="253"/>
      <c r="EGV1" s="253"/>
      <c r="EGW1" s="252"/>
      <c r="EGX1" s="253"/>
      <c r="EGY1" s="253"/>
      <c r="EGZ1" s="253"/>
      <c r="EHA1" s="252"/>
      <c r="EHB1" s="253"/>
      <c r="EHC1" s="253"/>
      <c r="EHD1" s="253"/>
      <c r="EHE1" s="252"/>
      <c r="EHF1" s="253"/>
      <c r="EHG1" s="253"/>
      <c r="EHH1" s="253"/>
      <c r="EHI1" s="252"/>
      <c r="EHJ1" s="253"/>
      <c r="EHK1" s="253"/>
      <c r="EHL1" s="253"/>
      <c r="EHM1" s="252"/>
      <c r="EHN1" s="253"/>
      <c r="EHO1" s="253"/>
      <c r="EHP1" s="253"/>
      <c r="EHQ1" s="252"/>
      <c r="EHR1" s="253"/>
      <c r="EHS1" s="253"/>
      <c r="EHT1" s="253"/>
      <c r="EHU1" s="252"/>
      <c r="EHV1" s="253"/>
      <c r="EHW1" s="253"/>
      <c r="EHX1" s="253"/>
      <c r="EHY1" s="252"/>
      <c r="EHZ1" s="253"/>
      <c r="EIA1" s="253"/>
      <c r="EIB1" s="253"/>
      <c r="EIC1" s="252"/>
      <c r="EID1" s="253"/>
      <c r="EIE1" s="253"/>
      <c r="EIF1" s="253"/>
      <c r="EIG1" s="252"/>
      <c r="EIH1" s="253"/>
      <c r="EII1" s="253"/>
      <c r="EIJ1" s="253"/>
      <c r="EIK1" s="252"/>
      <c r="EIL1" s="253"/>
      <c r="EIM1" s="253"/>
      <c r="EIN1" s="253"/>
      <c r="EIO1" s="252"/>
      <c r="EIP1" s="253"/>
      <c r="EIQ1" s="253"/>
      <c r="EIR1" s="253"/>
      <c r="EIS1" s="252"/>
      <c r="EIT1" s="253"/>
      <c r="EIU1" s="253"/>
      <c r="EIV1" s="253"/>
      <c r="EIW1" s="252"/>
      <c r="EIX1" s="253"/>
      <c r="EIY1" s="253"/>
      <c r="EIZ1" s="253"/>
      <c r="EJA1" s="252"/>
      <c r="EJB1" s="253"/>
      <c r="EJC1" s="253"/>
      <c r="EJD1" s="253"/>
      <c r="EJE1" s="252"/>
      <c r="EJF1" s="253"/>
      <c r="EJG1" s="253"/>
      <c r="EJH1" s="253"/>
      <c r="EJI1" s="252"/>
      <c r="EJJ1" s="253"/>
      <c r="EJK1" s="253"/>
      <c r="EJL1" s="253"/>
      <c r="EJM1" s="252"/>
      <c r="EJN1" s="253"/>
      <c r="EJO1" s="253"/>
      <c r="EJP1" s="253"/>
      <c r="EJQ1" s="252"/>
      <c r="EJR1" s="253"/>
      <c r="EJS1" s="253"/>
      <c r="EJT1" s="253"/>
      <c r="EJU1" s="252"/>
      <c r="EJV1" s="253"/>
      <c r="EJW1" s="253"/>
      <c r="EJX1" s="253"/>
      <c r="EJY1" s="252"/>
      <c r="EJZ1" s="253"/>
      <c r="EKA1" s="253"/>
      <c r="EKB1" s="253"/>
      <c r="EKC1" s="252"/>
      <c r="EKD1" s="253"/>
      <c r="EKE1" s="253"/>
      <c r="EKF1" s="253"/>
      <c r="EKG1" s="252"/>
      <c r="EKH1" s="253"/>
      <c r="EKI1" s="253"/>
      <c r="EKJ1" s="253"/>
      <c r="EKK1" s="252"/>
      <c r="EKL1" s="253"/>
      <c r="EKM1" s="253"/>
      <c r="EKN1" s="253"/>
      <c r="EKO1" s="252"/>
      <c r="EKP1" s="253"/>
      <c r="EKQ1" s="253"/>
      <c r="EKR1" s="253"/>
      <c r="EKS1" s="252"/>
      <c r="EKT1" s="253"/>
      <c r="EKU1" s="253"/>
      <c r="EKV1" s="253"/>
      <c r="EKW1" s="252"/>
      <c r="EKX1" s="253"/>
      <c r="EKY1" s="253"/>
      <c r="EKZ1" s="253"/>
      <c r="ELA1" s="252"/>
      <c r="ELB1" s="253"/>
      <c r="ELC1" s="253"/>
      <c r="ELD1" s="253"/>
      <c r="ELE1" s="252"/>
      <c r="ELF1" s="253"/>
      <c r="ELG1" s="253"/>
      <c r="ELH1" s="253"/>
      <c r="ELI1" s="252"/>
      <c r="ELJ1" s="253"/>
      <c r="ELK1" s="253"/>
      <c r="ELL1" s="253"/>
      <c r="ELM1" s="252"/>
      <c r="ELN1" s="253"/>
      <c r="ELO1" s="253"/>
      <c r="ELP1" s="253"/>
      <c r="ELQ1" s="252"/>
      <c r="ELR1" s="253"/>
      <c r="ELS1" s="253"/>
      <c r="ELT1" s="253"/>
      <c r="ELU1" s="252"/>
      <c r="ELV1" s="253"/>
      <c r="ELW1" s="253"/>
      <c r="ELX1" s="253"/>
      <c r="ELY1" s="252"/>
      <c r="ELZ1" s="253"/>
      <c r="EMA1" s="253"/>
      <c r="EMB1" s="253"/>
      <c r="EMC1" s="252"/>
      <c r="EMD1" s="253"/>
      <c r="EME1" s="253"/>
      <c r="EMF1" s="253"/>
      <c r="EMG1" s="252"/>
      <c r="EMH1" s="253"/>
      <c r="EMI1" s="253"/>
      <c r="EMJ1" s="253"/>
      <c r="EMK1" s="252"/>
      <c r="EML1" s="253"/>
      <c r="EMM1" s="253"/>
      <c r="EMN1" s="253"/>
      <c r="EMO1" s="252"/>
      <c r="EMP1" s="253"/>
      <c r="EMQ1" s="253"/>
      <c r="EMR1" s="253"/>
      <c r="EMS1" s="252"/>
      <c r="EMT1" s="253"/>
      <c r="EMU1" s="253"/>
      <c r="EMV1" s="253"/>
      <c r="EMW1" s="252"/>
      <c r="EMX1" s="253"/>
      <c r="EMY1" s="253"/>
      <c r="EMZ1" s="253"/>
      <c r="ENA1" s="252"/>
      <c r="ENB1" s="253"/>
      <c r="ENC1" s="253"/>
      <c r="END1" s="253"/>
      <c r="ENE1" s="252"/>
      <c r="ENF1" s="253"/>
      <c r="ENG1" s="253"/>
      <c r="ENH1" s="253"/>
      <c r="ENI1" s="252"/>
      <c r="ENJ1" s="253"/>
      <c r="ENK1" s="253"/>
      <c r="ENL1" s="253"/>
      <c r="ENM1" s="252"/>
      <c r="ENN1" s="253"/>
      <c r="ENO1" s="253"/>
      <c r="ENP1" s="253"/>
      <c r="ENQ1" s="252"/>
      <c r="ENR1" s="253"/>
      <c r="ENS1" s="253"/>
      <c r="ENT1" s="253"/>
      <c r="ENU1" s="252"/>
      <c r="ENV1" s="253"/>
      <c r="ENW1" s="253"/>
      <c r="ENX1" s="253"/>
      <c r="ENY1" s="252"/>
      <c r="ENZ1" s="253"/>
      <c r="EOA1" s="253"/>
      <c r="EOB1" s="253"/>
      <c r="EOC1" s="252"/>
      <c r="EOD1" s="253"/>
      <c r="EOE1" s="253"/>
      <c r="EOF1" s="253"/>
      <c r="EOG1" s="252"/>
      <c r="EOH1" s="253"/>
      <c r="EOI1" s="253"/>
      <c r="EOJ1" s="253"/>
      <c r="EOK1" s="252"/>
      <c r="EOL1" s="253"/>
      <c r="EOM1" s="253"/>
      <c r="EON1" s="253"/>
      <c r="EOO1" s="252"/>
      <c r="EOP1" s="253"/>
      <c r="EOQ1" s="253"/>
      <c r="EOR1" s="253"/>
      <c r="EOS1" s="252"/>
      <c r="EOT1" s="253"/>
      <c r="EOU1" s="253"/>
      <c r="EOV1" s="253"/>
      <c r="EOW1" s="252"/>
      <c r="EOX1" s="253"/>
      <c r="EOY1" s="253"/>
      <c r="EOZ1" s="253"/>
      <c r="EPA1" s="252"/>
      <c r="EPB1" s="253"/>
      <c r="EPC1" s="253"/>
      <c r="EPD1" s="253"/>
      <c r="EPE1" s="252"/>
      <c r="EPF1" s="253"/>
      <c r="EPG1" s="253"/>
      <c r="EPH1" s="253"/>
      <c r="EPI1" s="252"/>
      <c r="EPJ1" s="253"/>
      <c r="EPK1" s="253"/>
      <c r="EPL1" s="253"/>
      <c r="EPM1" s="252"/>
      <c r="EPN1" s="253"/>
      <c r="EPO1" s="253"/>
      <c r="EPP1" s="253"/>
      <c r="EPQ1" s="252"/>
      <c r="EPR1" s="253"/>
      <c r="EPS1" s="253"/>
      <c r="EPT1" s="253"/>
      <c r="EPU1" s="252"/>
      <c r="EPV1" s="253"/>
      <c r="EPW1" s="253"/>
      <c r="EPX1" s="253"/>
      <c r="EPY1" s="252"/>
      <c r="EPZ1" s="253"/>
      <c r="EQA1" s="253"/>
      <c r="EQB1" s="253"/>
      <c r="EQC1" s="252"/>
      <c r="EQD1" s="253"/>
      <c r="EQE1" s="253"/>
      <c r="EQF1" s="253"/>
      <c r="EQG1" s="252"/>
      <c r="EQH1" s="253"/>
      <c r="EQI1" s="253"/>
      <c r="EQJ1" s="253"/>
      <c r="EQK1" s="252"/>
      <c r="EQL1" s="253"/>
      <c r="EQM1" s="253"/>
      <c r="EQN1" s="253"/>
      <c r="EQO1" s="252"/>
      <c r="EQP1" s="253"/>
      <c r="EQQ1" s="253"/>
      <c r="EQR1" s="253"/>
      <c r="EQS1" s="252"/>
      <c r="EQT1" s="253"/>
      <c r="EQU1" s="253"/>
      <c r="EQV1" s="253"/>
      <c r="EQW1" s="252"/>
      <c r="EQX1" s="253"/>
      <c r="EQY1" s="253"/>
      <c r="EQZ1" s="253"/>
      <c r="ERA1" s="252"/>
      <c r="ERB1" s="253"/>
      <c r="ERC1" s="253"/>
      <c r="ERD1" s="253"/>
      <c r="ERE1" s="252"/>
      <c r="ERF1" s="253"/>
      <c r="ERG1" s="253"/>
      <c r="ERH1" s="253"/>
      <c r="ERI1" s="252"/>
      <c r="ERJ1" s="253"/>
      <c r="ERK1" s="253"/>
      <c r="ERL1" s="253"/>
      <c r="ERM1" s="252"/>
      <c r="ERN1" s="253"/>
      <c r="ERO1" s="253"/>
      <c r="ERP1" s="253"/>
      <c r="ERQ1" s="252"/>
      <c r="ERR1" s="253"/>
      <c r="ERS1" s="253"/>
      <c r="ERT1" s="253"/>
      <c r="ERU1" s="252"/>
      <c r="ERV1" s="253"/>
      <c r="ERW1" s="253"/>
      <c r="ERX1" s="253"/>
      <c r="ERY1" s="252"/>
      <c r="ERZ1" s="253"/>
      <c r="ESA1" s="253"/>
      <c r="ESB1" s="253"/>
      <c r="ESC1" s="252"/>
      <c r="ESD1" s="253"/>
      <c r="ESE1" s="253"/>
      <c r="ESF1" s="253"/>
      <c r="ESG1" s="252"/>
      <c r="ESH1" s="253"/>
      <c r="ESI1" s="253"/>
      <c r="ESJ1" s="253"/>
      <c r="ESK1" s="252"/>
      <c r="ESL1" s="253"/>
      <c r="ESM1" s="253"/>
      <c r="ESN1" s="253"/>
      <c r="ESO1" s="252"/>
      <c r="ESP1" s="253"/>
      <c r="ESQ1" s="253"/>
      <c r="ESR1" s="253"/>
      <c r="ESS1" s="252"/>
      <c r="EST1" s="253"/>
      <c r="ESU1" s="253"/>
      <c r="ESV1" s="253"/>
      <c r="ESW1" s="252"/>
      <c r="ESX1" s="253"/>
      <c r="ESY1" s="253"/>
      <c r="ESZ1" s="253"/>
      <c r="ETA1" s="252"/>
      <c r="ETB1" s="253"/>
      <c r="ETC1" s="253"/>
      <c r="ETD1" s="253"/>
      <c r="ETE1" s="252"/>
      <c r="ETF1" s="253"/>
      <c r="ETG1" s="253"/>
      <c r="ETH1" s="253"/>
      <c r="ETI1" s="252"/>
      <c r="ETJ1" s="253"/>
      <c r="ETK1" s="253"/>
      <c r="ETL1" s="253"/>
      <c r="ETM1" s="252"/>
      <c r="ETN1" s="253"/>
      <c r="ETO1" s="253"/>
      <c r="ETP1" s="253"/>
      <c r="ETQ1" s="252"/>
      <c r="ETR1" s="253"/>
      <c r="ETS1" s="253"/>
      <c r="ETT1" s="253"/>
      <c r="ETU1" s="252"/>
      <c r="ETV1" s="253"/>
      <c r="ETW1" s="253"/>
      <c r="ETX1" s="253"/>
      <c r="ETY1" s="252"/>
      <c r="ETZ1" s="253"/>
      <c r="EUA1" s="253"/>
      <c r="EUB1" s="253"/>
      <c r="EUC1" s="252"/>
      <c r="EUD1" s="253"/>
      <c r="EUE1" s="253"/>
      <c r="EUF1" s="253"/>
      <c r="EUG1" s="252"/>
      <c r="EUH1" s="253"/>
      <c r="EUI1" s="253"/>
      <c r="EUJ1" s="253"/>
      <c r="EUK1" s="252"/>
      <c r="EUL1" s="253"/>
      <c r="EUM1" s="253"/>
      <c r="EUN1" s="253"/>
      <c r="EUO1" s="252"/>
      <c r="EUP1" s="253"/>
      <c r="EUQ1" s="253"/>
      <c r="EUR1" s="253"/>
      <c r="EUS1" s="252"/>
      <c r="EUT1" s="253"/>
      <c r="EUU1" s="253"/>
      <c r="EUV1" s="253"/>
      <c r="EUW1" s="252"/>
      <c r="EUX1" s="253"/>
      <c r="EUY1" s="253"/>
      <c r="EUZ1" s="253"/>
      <c r="EVA1" s="252"/>
      <c r="EVB1" s="253"/>
      <c r="EVC1" s="253"/>
      <c r="EVD1" s="253"/>
      <c r="EVE1" s="252"/>
      <c r="EVF1" s="253"/>
      <c r="EVG1" s="253"/>
      <c r="EVH1" s="253"/>
      <c r="EVI1" s="252"/>
      <c r="EVJ1" s="253"/>
      <c r="EVK1" s="253"/>
      <c r="EVL1" s="253"/>
      <c r="EVM1" s="252"/>
      <c r="EVN1" s="253"/>
      <c r="EVO1" s="253"/>
      <c r="EVP1" s="253"/>
      <c r="EVQ1" s="252"/>
      <c r="EVR1" s="253"/>
      <c r="EVS1" s="253"/>
      <c r="EVT1" s="253"/>
      <c r="EVU1" s="252"/>
      <c r="EVV1" s="253"/>
      <c r="EVW1" s="253"/>
      <c r="EVX1" s="253"/>
      <c r="EVY1" s="252"/>
      <c r="EVZ1" s="253"/>
      <c r="EWA1" s="253"/>
      <c r="EWB1" s="253"/>
      <c r="EWC1" s="252"/>
      <c r="EWD1" s="253"/>
      <c r="EWE1" s="253"/>
      <c r="EWF1" s="253"/>
      <c r="EWG1" s="252"/>
      <c r="EWH1" s="253"/>
      <c r="EWI1" s="253"/>
      <c r="EWJ1" s="253"/>
      <c r="EWK1" s="252"/>
      <c r="EWL1" s="253"/>
      <c r="EWM1" s="253"/>
      <c r="EWN1" s="253"/>
      <c r="EWO1" s="252"/>
      <c r="EWP1" s="253"/>
      <c r="EWQ1" s="253"/>
      <c r="EWR1" s="253"/>
      <c r="EWS1" s="252"/>
      <c r="EWT1" s="253"/>
      <c r="EWU1" s="253"/>
      <c r="EWV1" s="253"/>
      <c r="EWW1" s="252"/>
      <c r="EWX1" s="253"/>
      <c r="EWY1" s="253"/>
      <c r="EWZ1" s="253"/>
      <c r="EXA1" s="252"/>
      <c r="EXB1" s="253"/>
      <c r="EXC1" s="253"/>
      <c r="EXD1" s="253"/>
      <c r="EXE1" s="252"/>
      <c r="EXF1" s="253"/>
      <c r="EXG1" s="253"/>
      <c r="EXH1" s="253"/>
      <c r="EXI1" s="252"/>
      <c r="EXJ1" s="253"/>
      <c r="EXK1" s="253"/>
      <c r="EXL1" s="253"/>
      <c r="EXM1" s="252"/>
      <c r="EXN1" s="253"/>
      <c r="EXO1" s="253"/>
      <c r="EXP1" s="253"/>
      <c r="EXQ1" s="252"/>
      <c r="EXR1" s="253"/>
      <c r="EXS1" s="253"/>
      <c r="EXT1" s="253"/>
      <c r="EXU1" s="252"/>
      <c r="EXV1" s="253"/>
      <c r="EXW1" s="253"/>
      <c r="EXX1" s="253"/>
      <c r="EXY1" s="252"/>
      <c r="EXZ1" s="253"/>
      <c r="EYA1" s="253"/>
      <c r="EYB1" s="253"/>
      <c r="EYC1" s="252"/>
      <c r="EYD1" s="253"/>
      <c r="EYE1" s="253"/>
      <c r="EYF1" s="253"/>
      <c r="EYG1" s="252"/>
      <c r="EYH1" s="253"/>
      <c r="EYI1" s="253"/>
      <c r="EYJ1" s="253"/>
      <c r="EYK1" s="252"/>
      <c r="EYL1" s="253"/>
      <c r="EYM1" s="253"/>
      <c r="EYN1" s="253"/>
      <c r="EYO1" s="252"/>
      <c r="EYP1" s="253"/>
      <c r="EYQ1" s="253"/>
      <c r="EYR1" s="253"/>
      <c r="EYS1" s="252"/>
      <c r="EYT1" s="253"/>
      <c r="EYU1" s="253"/>
      <c r="EYV1" s="253"/>
      <c r="EYW1" s="252"/>
      <c r="EYX1" s="253"/>
      <c r="EYY1" s="253"/>
      <c r="EYZ1" s="253"/>
      <c r="EZA1" s="252"/>
      <c r="EZB1" s="253"/>
      <c r="EZC1" s="253"/>
      <c r="EZD1" s="253"/>
      <c r="EZE1" s="252"/>
      <c r="EZF1" s="253"/>
      <c r="EZG1" s="253"/>
      <c r="EZH1" s="253"/>
      <c r="EZI1" s="252"/>
      <c r="EZJ1" s="253"/>
      <c r="EZK1" s="253"/>
      <c r="EZL1" s="253"/>
      <c r="EZM1" s="252"/>
      <c r="EZN1" s="253"/>
      <c r="EZO1" s="253"/>
      <c r="EZP1" s="253"/>
      <c r="EZQ1" s="252"/>
      <c r="EZR1" s="253"/>
      <c r="EZS1" s="253"/>
      <c r="EZT1" s="253"/>
      <c r="EZU1" s="252"/>
      <c r="EZV1" s="253"/>
      <c r="EZW1" s="253"/>
      <c r="EZX1" s="253"/>
      <c r="EZY1" s="252"/>
      <c r="EZZ1" s="253"/>
      <c r="FAA1" s="253"/>
      <c r="FAB1" s="253"/>
      <c r="FAC1" s="252"/>
      <c r="FAD1" s="253"/>
      <c r="FAE1" s="253"/>
      <c r="FAF1" s="253"/>
      <c r="FAG1" s="252"/>
      <c r="FAH1" s="253"/>
      <c r="FAI1" s="253"/>
      <c r="FAJ1" s="253"/>
      <c r="FAK1" s="252"/>
      <c r="FAL1" s="253"/>
      <c r="FAM1" s="253"/>
      <c r="FAN1" s="253"/>
      <c r="FAO1" s="252"/>
      <c r="FAP1" s="253"/>
      <c r="FAQ1" s="253"/>
      <c r="FAR1" s="253"/>
      <c r="FAS1" s="252"/>
      <c r="FAT1" s="253"/>
      <c r="FAU1" s="253"/>
      <c r="FAV1" s="253"/>
      <c r="FAW1" s="252"/>
      <c r="FAX1" s="253"/>
      <c r="FAY1" s="253"/>
      <c r="FAZ1" s="253"/>
      <c r="FBA1" s="252"/>
      <c r="FBB1" s="253"/>
      <c r="FBC1" s="253"/>
      <c r="FBD1" s="253"/>
      <c r="FBE1" s="252"/>
      <c r="FBF1" s="253"/>
      <c r="FBG1" s="253"/>
      <c r="FBH1" s="253"/>
      <c r="FBI1" s="252"/>
      <c r="FBJ1" s="253"/>
      <c r="FBK1" s="253"/>
      <c r="FBL1" s="253"/>
      <c r="FBM1" s="252"/>
      <c r="FBN1" s="253"/>
      <c r="FBO1" s="253"/>
      <c r="FBP1" s="253"/>
      <c r="FBQ1" s="252"/>
      <c r="FBR1" s="253"/>
      <c r="FBS1" s="253"/>
      <c r="FBT1" s="253"/>
      <c r="FBU1" s="252"/>
      <c r="FBV1" s="253"/>
      <c r="FBW1" s="253"/>
      <c r="FBX1" s="253"/>
      <c r="FBY1" s="252"/>
      <c r="FBZ1" s="253"/>
      <c r="FCA1" s="253"/>
      <c r="FCB1" s="253"/>
      <c r="FCC1" s="252"/>
      <c r="FCD1" s="253"/>
      <c r="FCE1" s="253"/>
      <c r="FCF1" s="253"/>
      <c r="FCG1" s="252"/>
      <c r="FCH1" s="253"/>
      <c r="FCI1" s="253"/>
      <c r="FCJ1" s="253"/>
      <c r="FCK1" s="252"/>
      <c r="FCL1" s="253"/>
      <c r="FCM1" s="253"/>
      <c r="FCN1" s="253"/>
      <c r="FCO1" s="252"/>
      <c r="FCP1" s="253"/>
      <c r="FCQ1" s="253"/>
      <c r="FCR1" s="253"/>
      <c r="FCS1" s="252"/>
      <c r="FCT1" s="253"/>
      <c r="FCU1" s="253"/>
      <c r="FCV1" s="253"/>
      <c r="FCW1" s="252"/>
      <c r="FCX1" s="253"/>
      <c r="FCY1" s="253"/>
      <c r="FCZ1" s="253"/>
      <c r="FDA1" s="252"/>
      <c r="FDB1" s="253"/>
      <c r="FDC1" s="253"/>
      <c r="FDD1" s="253"/>
      <c r="FDE1" s="252"/>
      <c r="FDF1" s="253"/>
      <c r="FDG1" s="253"/>
      <c r="FDH1" s="253"/>
      <c r="FDI1" s="252"/>
      <c r="FDJ1" s="253"/>
      <c r="FDK1" s="253"/>
      <c r="FDL1" s="253"/>
      <c r="FDM1" s="252"/>
      <c r="FDN1" s="253"/>
      <c r="FDO1" s="253"/>
      <c r="FDP1" s="253"/>
      <c r="FDQ1" s="252"/>
      <c r="FDR1" s="253"/>
      <c r="FDS1" s="253"/>
      <c r="FDT1" s="253"/>
      <c r="FDU1" s="252"/>
      <c r="FDV1" s="253"/>
      <c r="FDW1" s="253"/>
      <c r="FDX1" s="253"/>
      <c r="FDY1" s="252"/>
      <c r="FDZ1" s="253"/>
      <c r="FEA1" s="253"/>
      <c r="FEB1" s="253"/>
      <c r="FEC1" s="252"/>
      <c r="FED1" s="253"/>
      <c r="FEE1" s="253"/>
      <c r="FEF1" s="253"/>
      <c r="FEG1" s="252"/>
      <c r="FEH1" s="253"/>
      <c r="FEI1" s="253"/>
      <c r="FEJ1" s="253"/>
      <c r="FEK1" s="252"/>
      <c r="FEL1" s="253"/>
      <c r="FEM1" s="253"/>
      <c r="FEN1" s="253"/>
      <c r="FEO1" s="252"/>
      <c r="FEP1" s="253"/>
      <c r="FEQ1" s="253"/>
      <c r="FER1" s="253"/>
      <c r="FES1" s="252"/>
      <c r="FET1" s="253"/>
      <c r="FEU1" s="253"/>
      <c r="FEV1" s="253"/>
      <c r="FEW1" s="252"/>
      <c r="FEX1" s="253"/>
      <c r="FEY1" s="253"/>
      <c r="FEZ1" s="253"/>
      <c r="FFA1" s="252"/>
      <c r="FFB1" s="253"/>
      <c r="FFC1" s="253"/>
      <c r="FFD1" s="253"/>
      <c r="FFE1" s="252"/>
      <c r="FFF1" s="253"/>
      <c r="FFG1" s="253"/>
      <c r="FFH1" s="253"/>
      <c r="FFI1" s="252"/>
      <c r="FFJ1" s="253"/>
      <c r="FFK1" s="253"/>
      <c r="FFL1" s="253"/>
      <c r="FFM1" s="252"/>
      <c r="FFN1" s="253"/>
      <c r="FFO1" s="253"/>
      <c r="FFP1" s="253"/>
      <c r="FFQ1" s="252"/>
      <c r="FFR1" s="253"/>
      <c r="FFS1" s="253"/>
      <c r="FFT1" s="253"/>
      <c r="FFU1" s="252"/>
      <c r="FFV1" s="253"/>
      <c r="FFW1" s="253"/>
      <c r="FFX1" s="253"/>
      <c r="FFY1" s="252"/>
      <c r="FFZ1" s="253"/>
      <c r="FGA1" s="253"/>
      <c r="FGB1" s="253"/>
      <c r="FGC1" s="252"/>
      <c r="FGD1" s="253"/>
      <c r="FGE1" s="253"/>
      <c r="FGF1" s="253"/>
      <c r="FGG1" s="252"/>
      <c r="FGH1" s="253"/>
      <c r="FGI1" s="253"/>
      <c r="FGJ1" s="253"/>
      <c r="FGK1" s="252"/>
      <c r="FGL1" s="253"/>
      <c r="FGM1" s="253"/>
      <c r="FGN1" s="253"/>
      <c r="FGO1" s="252"/>
      <c r="FGP1" s="253"/>
      <c r="FGQ1" s="253"/>
      <c r="FGR1" s="253"/>
      <c r="FGS1" s="252"/>
      <c r="FGT1" s="253"/>
      <c r="FGU1" s="253"/>
      <c r="FGV1" s="253"/>
      <c r="FGW1" s="252"/>
      <c r="FGX1" s="253"/>
      <c r="FGY1" s="253"/>
      <c r="FGZ1" s="253"/>
      <c r="FHA1" s="252"/>
      <c r="FHB1" s="253"/>
      <c r="FHC1" s="253"/>
      <c r="FHD1" s="253"/>
      <c r="FHE1" s="252"/>
      <c r="FHF1" s="253"/>
      <c r="FHG1" s="253"/>
      <c r="FHH1" s="253"/>
      <c r="FHI1" s="252"/>
      <c r="FHJ1" s="253"/>
      <c r="FHK1" s="253"/>
      <c r="FHL1" s="253"/>
      <c r="FHM1" s="252"/>
      <c r="FHN1" s="253"/>
      <c r="FHO1" s="253"/>
      <c r="FHP1" s="253"/>
      <c r="FHQ1" s="252"/>
      <c r="FHR1" s="253"/>
      <c r="FHS1" s="253"/>
      <c r="FHT1" s="253"/>
      <c r="FHU1" s="252"/>
      <c r="FHV1" s="253"/>
      <c r="FHW1" s="253"/>
      <c r="FHX1" s="253"/>
      <c r="FHY1" s="252"/>
      <c r="FHZ1" s="253"/>
      <c r="FIA1" s="253"/>
      <c r="FIB1" s="253"/>
      <c r="FIC1" s="252"/>
      <c r="FID1" s="253"/>
      <c r="FIE1" s="253"/>
      <c r="FIF1" s="253"/>
      <c r="FIG1" s="252"/>
      <c r="FIH1" s="253"/>
      <c r="FII1" s="253"/>
      <c r="FIJ1" s="253"/>
      <c r="FIK1" s="252"/>
      <c r="FIL1" s="253"/>
      <c r="FIM1" s="253"/>
      <c r="FIN1" s="253"/>
      <c r="FIO1" s="252"/>
      <c r="FIP1" s="253"/>
      <c r="FIQ1" s="253"/>
      <c r="FIR1" s="253"/>
      <c r="FIS1" s="252"/>
      <c r="FIT1" s="253"/>
      <c r="FIU1" s="253"/>
      <c r="FIV1" s="253"/>
      <c r="FIW1" s="252"/>
      <c r="FIX1" s="253"/>
      <c r="FIY1" s="253"/>
      <c r="FIZ1" s="253"/>
      <c r="FJA1" s="252"/>
      <c r="FJB1" s="253"/>
      <c r="FJC1" s="253"/>
      <c r="FJD1" s="253"/>
      <c r="FJE1" s="252"/>
      <c r="FJF1" s="253"/>
      <c r="FJG1" s="253"/>
      <c r="FJH1" s="253"/>
      <c r="FJI1" s="252"/>
      <c r="FJJ1" s="253"/>
      <c r="FJK1" s="253"/>
      <c r="FJL1" s="253"/>
      <c r="FJM1" s="252"/>
      <c r="FJN1" s="253"/>
      <c r="FJO1" s="253"/>
      <c r="FJP1" s="253"/>
      <c r="FJQ1" s="252"/>
      <c r="FJR1" s="253"/>
      <c r="FJS1" s="253"/>
      <c r="FJT1" s="253"/>
      <c r="FJU1" s="252"/>
      <c r="FJV1" s="253"/>
      <c r="FJW1" s="253"/>
      <c r="FJX1" s="253"/>
      <c r="FJY1" s="252"/>
      <c r="FJZ1" s="253"/>
      <c r="FKA1" s="253"/>
      <c r="FKB1" s="253"/>
      <c r="FKC1" s="252"/>
      <c r="FKD1" s="253"/>
      <c r="FKE1" s="253"/>
      <c r="FKF1" s="253"/>
      <c r="FKG1" s="252"/>
      <c r="FKH1" s="253"/>
      <c r="FKI1" s="253"/>
      <c r="FKJ1" s="253"/>
      <c r="FKK1" s="252"/>
      <c r="FKL1" s="253"/>
      <c r="FKM1" s="253"/>
      <c r="FKN1" s="253"/>
      <c r="FKO1" s="252"/>
      <c r="FKP1" s="253"/>
      <c r="FKQ1" s="253"/>
      <c r="FKR1" s="253"/>
      <c r="FKS1" s="252"/>
      <c r="FKT1" s="253"/>
      <c r="FKU1" s="253"/>
      <c r="FKV1" s="253"/>
      <c r="FKW1" s="252"/>
      <c r="FKX1" s="253"/>
      <c r="FKY1" s="253"/>
      <c r="FKZ1" s="253"/>
      <c r="FLA1" s="252"/>
      <c r="FLB1" s="253"/>
      <c r="FLC1" s="253"/>
      <c r="FLD1" s="253"/>
      <c r="FLE1" s="252"/>
      <c r="FLF1" s="253"/>
      <c r="FLG1" s="253"/>
      <c r="FLH1" s="253"/>
      <c r="FLI1" s="252"/>
      <c r="FLJ1" s="253"/>
      <c r="FLK1" s="253"/>
      <c r="FLL1" s="253"/>
      <c r="FLM1" s="252"/>
      <c r="FLN1" s="253"/>
      <c r="FLO1" s="253"/>
      <c r="FLP1" s="253"/>
      <c r="FLQ1" s="252"/>
      <c r="FLR1" s="253"/>
      <c r="FLS1" s="253"/>
      <c r="FLT1" s="253"/>
      <c r="FLU1" s="252"/>
      <c r="FLV1" s="253"/>
      <c r="FLW1" s="253"/>
      <c r="FLX1" s="253"/>
      <c r="FLY1" s="252"/>
      <c r="FLZ1" s="253"/>
      <c r="FMA1" s="253"/>
      <c r="FMB1" s="253"/>
      <c r="FMC1" s="252"/>
      <c r="FMD1" s="253"/>
      <c r="FME1" s="253"/>
      <c r="FMF1" s="253"/>
      <c r="FMG1" s="252"/>
      <c r="FMH1" s="253"/>
      <c r="FMI1" s="253"/>
      <c r="FMJ1" s="253"/>
      <c r="FMK1" s="252"/>
      <c r="FML1" s="253"/>
      <c r="FMM1" s="253"/>
      <c r="FMN1" s="253"/>
      <c r="FMO1" s="252"/>
      <c r="FMP1" s="253"/>
      <c r="FMQ1" s="253"/>
      <c r="FMR1" s="253"/>
      <c r="FMS1" s="252"/>
      <c r="FMT1" s="253"/>
      <c r="FMU1" s="253"/>
      <c r="FMV1" s="253"/>
      <c r="FMW1" s="252"/>
      <c r="FMX1" s="253"/>
      <c r="FMY1" s="253"/>
      <c r="FMZ1" s="253"/>
      <c r="FNA1" s="252"/>
      <c r="FNB1" s="253"/>
      <c r="FNC1" s="253"/>
      <c r="FND1" s="253"/>
      <c r="FNE1" s="252"/>
      <c r="FNF1" s="253"/>
      <c r="FNG1" s="253"/>
      <c r="FNH1" s="253"/>
      <c r="FNI1" s="252"/>
      <c r="FNJ1" s="253"/>
      <c r="FNK1" s="253"/>
      <c r="FNL1" s="253"/>
      <c r="FNM1" s="252"/>
      <c r="FNN1" s="253"/>
      <c r="FNO1" s="253"/>
      <c r="FNP1" s="253"/>
      <c r="FNQ1" s="252"/>
      <c r="FNR1" s="253"/>
      <c r="FNS1" s="253"/>
      <c r="FNT1" s="253"/>
      <c r="FNU1" s="252"/>
      <c r="FNV1" s="253"/>
      <c r="FNW1" s="253"/>
      <c r="FNX1" s="253"/>
      <c r="FNY1" s="252"/>
      <c r="FNZ1" s="253"/>
      <c r="FOA1" s="253"/>
      <c r="FOB1" s="253"/>
      <c r="FOC1" s="252"/>
      <c r="FOD1" s="253"/>
      <c r="FOE1" s="253"/>
      <c r="FOF1" s="253"/>
      <c r="FOG1" s="252"/>
      <c r="FOH1" s="253"/>
      <c r="FOI1" s="253"/>
      <c r="FOJ1" s="253"/>
      <c r="FOK1" s="252"/>
      <c r="FOL1" s="253"/>
      <c r="FOM1" s="253"/>
      <c r="FON1" s="253"/>
      <c r="FOO1" s="252"/>
      <c r="FOP1" s="253"/>
      <c r="FOQ1" s="253"/>
      <c r="FOR1" s="253"/>
      <c r="FOS1" s="252"/>
      <c r="FOT1" s="253"/>
      <c r="FOU1" s="253"/>
      <c r="FOV1" s="253"/>
      <c r="FOW1" s="252"/>
      <c r="FOX1" s="253"/>
      <c r="FOY1" s="253"/>
      <c r="FOZ1" s="253"/>
      <c r="FPA1" s="252"/>
      <c r="FPB1" s="253"/>
      <c r="FPC1" s="253"/>
      <c r="FPD1" s="253"/>
      <c r="FPE1" s="252"/>
      <c r="FPF1" s="253"/>
      <c r="FPG1" s="253"/>
      <c r="FPH1" s="253"/>
      <c r="FPI1" s="252"/>
      <c r="FPJ1" s="253"/>
      <c r="FPK1" s="253"/>
      <c r="FPL1" s="253"/>
      <c r="FPM1" s="252"/>
      <c r="FPN1" s="253"/>
      <c r="FPO1" s="253"/>
      <c r="FPP1" s="253"/>
      <c r="FPQ1" s="252"/>
      <c r="FPR1" s="253"/>
      <c r="FPS1" s="253"/>
      <c r="FPT1" s="253"/>
      <c r="FPU1" s="252"/>
      <c r="FPV1" s="253"/>
      <c r="FPW1" s="253"/>
      <c r="FPX1" s="253"/>
      <c r="FPY1" s="252"/>
      <c r="FPZ1" s="253"/>
      <c r="FQA1" s="253"/>
      <c r="FQB1" s="253"/>
      <c r="FQC1" s="252"/>
      <c r="FQD1" s="253"/>
      <c r="FQE1" s="253"/>
      <c r="FQF1" s="253"/>
      <c r="FQG1" s="252"/>
      <c r="FQH1" s="253"/>
      <c r="FQI1" s="253"/>
      <c r="FQJ1" s="253"/>
      <c r="FQK1" s="252"/>
      <c r="FQL1" s="253"/>
      <c r="FQM1" s="253"/>
      <c r="FQN1" s="253"/>
      <c r="FQO1" s="252"/>
      <c r="FQP1" s="253"/>
      <c r="FQQ1" s="253"/>
      <c r="FQR1" s="253"/>
      <c r="FQS1" s="252"/>
      <c r="FQT1" s="253"/>
      <c r="FQU1" s="253"/>
      <c r="FQV1" s="253"/>
      <c r="FQW1" s="252"/>
      <c r="FQX1" s="253"/>
      <c r="FQY1" s="253"/>
      <c r="FQZ1" s="253"/>
      <c r="FRA1" s="252"/>
      <c r="FRB1" s="253"/>
      <c r="FRC1" s="253"/>
      <c r="FRD1" s="253"/>
      <c r="FRE1" s="252"/>
      <c r="FRF1" s="253"/>
      <c r="FRG1" s="253"/>
      <c r="FRH1" s="253"/>
      <c r="FRI1" s="252"/>
      <c r="FRJ1" s="253"/>
      <c r="FRK1" s="253"/>
      <c r="FRL1" s="253"/>
      <c r="FRM1" s="252"/>
      <c r="FRN1" s="253"/>
      <c r="FRO1" s="253"/>
      <c r="FRP1" s="253"/>
      <c r="FRQ1" s="252"/>
      <c r="FRR1" s="253"/>
      <c r="FRS1" s="253"/>
      <c r="FRT1" s="253"/>
      <c r="FRU1" s="252"/>
      <c r="FRV1" s="253"/>
      <c r="FRW1" s="253"/>
      <c r="FRX1" s="253"/>
      <c r="FRY1" s="252"/>
      <c r="FRZ1" s="253"/>
      <c r="FSA1" s="253"/>
      <c r="FSB1" s="253"/>
      <c r="FSC1" s="252"/>
      <c r="FSD1" s="253"/>
      <c r="FSE1" s="253"/>
      <c r="FSF1" s="253"/>
      <c r="FSG1" s="252"/>
      <c r="FSH1" s="253"/>
      <c r="FSI1" s="253"/>
      <c r="FSJ1" s="253"/>
      <c r="FSK1" s="252"/>
      <c r="FSL1" s="253"/>
      <c r="FSM1" s="253"/>
      <c r="FSN1" s="253"/>
      <c r="FSO1" s="252"/>
      <c r="FSP1" s="253"/>
      <c r="FSQ1" s="253"/>
      <c r="FSR1" s="253"/>
      <c r="FSS1" s="252"/>
      <c r="FST1" s="253"/>
      <c r="FSU1" s="253"/>
      <c r="FSV1" s="253"/>
      <c r="FSW1" s="252"/>
      <c r="FSX1" s="253"/>
      <c r="FSY1" s="253"/>
      <c r="FSZ1" s="253"/>
      <c r="FTA1" s="252"/>
      <c r="FTB1" s="253"/>
      <c r="FTC1" s="253"/>
      <c r="FTD1" s="253"/>
      <c r="FTE1" s="252"/>
      <c r="FTF1" s="253"/>
      <c r="FTG1" s="253"/>
      <c r="FTH1" s="253"/>
      <c r="FTI1" s="252"/>
      <c r="FTJ1" s="253"/>
      <c r="FTK1" s="253"/>
      <c r="FTL1" s="253"/>
      <c r="FTM1" s="252"/>
      <c r="FTN1" s="253"/>
      <c r="FTO1" s="253"/>
      <c r="FTP1" s="253"/>
      <c r="FTQ1" s="252"/>
      <c r="FTR1" s="253"/>
      <c r="FTS1" s="253"/>
      <c r="FTT1" s="253"/>
      <c r="FTU1" s="252"/>
      <c r="FTV1" s="253"/>
      <c r="FTW1" s="253"/>
      <c r="FTX1" s="253"/>
      <c r="FTY1" s="252"/>
      <c r="FTZ1" s="253"/>
      <c r="FUA1" s="253"/>
      <c r="FUB1" s="253"/>
      <c r="FUC1" s="252"/>
      <c r="FUD1" s="253"/>
      <c r="FUE1" s="253"/>
      <c r="FUF1" s="253"/>
      <c r="FUG1" s="252"/>
      <c r="FUH1" s="253"/>
      <c r="FUI1" s="253"/>
      <c r="FUJ1" s="253"/>
      <c r="FUK1" s="252"/>
      <c r="FUL1" s="253"/>
      <c r="FUM1" s="253"/>
      <c r="FUN1" s="253"/>
      <c r="FUO1" s="252"/>
      <c r="FUP1" s="253"/>
      <c r="FUQ1" s="253"/>
      <c r="FUR1" s="253"/>
      <c r="FUS1" s="252"/>
      <c r="FUT1" s="253"/>
      <c r="FUU1" s="253"/>
      <c r="FUV1" s="253"/>
      <c r="FUW1" s="252"/>
      <c r="FUX1" s="253"/>
      <c r="FUY1" s="253"/>
      <c r="FUZ1" s="253"/>
      <c r="FVA1" s="252"/>
      <c r="FVB1" s="253"/>
      <c r="FVC1" s="253"/>
      <c r="FVD1" s="253"/>
      <c r="FVE1" s="252"/>
      <c r="FVF1" s="253"/>
      <c r="FVG1" s="253"/>
      <c r="FVH1" s="253"/>
      <c r="FVI1" s="252"/>
      <c r="FVJ1" s="253"/>
      <c r="FVK1" s="253"/>
      <c r="FVL1" s="253"/>
      <c r="FVM1" s="252"/>
      <c r="FVN1" s="253"/>
      <c r="FVO1" s="253"/>
      <c r="FVP1" s="253"/>
      <c r="FVQ1" s="252"/>
      <c r="FVR1" s="253"/>
      <c r="FVS1" s="253"/>
      <c r="FVT1" s="253"/>
      <c r="FVU1" s="252"/>
      <c r="FVV1" s="253"/>
      <c r="FVW1" s="253"/>
      <c r="FVX1" s="253"/>
      <c r="FVY1" s="252"/>
      <c r="FVZ1" s="253"/>
      <c r="FWA1" s="253"/>
      <c r="FWB1" s="253"/>
      <c r="FWC1" s="252"/>
      <c r="FWD1" s="253"/>
      <c r="FWE1" s="253"/>
      <c r="FWF1" s="253"/>
      <c r="FWG1" s="252"/>
      <c r="FWH1" s="253"/>
      <c r="FWI1" s="253"/>
      <c r="FWJ1" s="253"/>
      <c r="FWK1" s="252"/>
      <c r="FWL1" s="253"/>
      <c r="FWM1" s="253"/>
      <c r="FWN1" s="253"/>
      <c r="FWO1" s="252"/>
      <c r="FWP1" s="253"/>
      <c r="FWQ1" s="253"/>
      <c r="FWR1" s="253"/>
      <c r="FWS1" s="252"/>
      <c r="FWT1" s="253"/>
      <c r="FWU1" s="253"/>
      <c r="FWV1" s="253"/>
      <c r="FWW1" s="252"/>
      <c r="FWX1" s="253"/>
      <c r="FWY1" s="253"/>
      <c r="FWZ1" s="253"/>
      <c r="FXA1" s="252"/>
      <c r="FXB1" s="253"/>
      <c r="FXC1" s="253"/>
      <c r="FXD1" s="253"/>
      <c r="FXE1" s="252"/>
      <c r="FXF1" s="253"/>
      <c r="FXG1" s="253"/>
      <c r="FXH1" s="253"/>
      <c r="FXI1" s="252"/>
      <c r="FXJ1" s="253"/>
      <c r="FXK1" s="253"/>
      <c r="FXL1" s="253"/>
      <c r="FXM1" s="252"/>
      <c r="FXN1" s="253"/>
      <c r="FXO1" s="253"/>
      <c r="FXP1" s="253"/>
      <c r="FXQ1" s="252"/>
      <c r="FXR1" s="253"/>
      <c r="FXS1" s="253"/>
      <c r="FXT1" s="253"/>
      <c r="FXU1" s="252"/>
      <c r="FXV1" s="253"/>
      <c r="FXW1" s="253"/>
      <c r="FXX1" s="253"/>
      <c r="FXY1" s="252"/>
      <c r="FXZ1" s="253"/>
      <c r="FYA1" s="253"/>
      <c r="FYB1" s="253"/>
      <c r="FYC1" s="252"/>
      <c r="FYD1" s="253"/>
      <c r="FYE1" s="253"/>
      <c r="FYF1" s="253"/>
      <c r="FYG1" s="252"/>
      <c r="FYH1" s="253"/>
      <c r="FYI1" s="253"/>
      <c r="FYJ1" s="253"/>
      <c r="FYK1" s="252"/>
      <c r="FYL1" s="253"/>
      <c r="FYM1" s="253"/>
      <c r="FYN1" s="253"/>
      <c r="FYO1" s="252"/>
      <c r="FYP1" s="253"/>
      <c r="FYQ1" s="253"/>
      <c r="FYR1" s="253"/>
      <c r="FYS1" s="252"/>
      <c r="FYT1" s="253"/>
      <c r="FYU1" s="253"/>
      <c r="FYV1" s="253"/>
      <c r="FYW1" s="252"/>
      <c r="FYX1" s="253"/>
      <c r="FYY1" s="253"/>
      <c r="FYZ1" s="253"/>
      <c r="FZA1" s="252"/>
      <c r="FZB1" s="253"/>
      <c r="FZC1" s="253"/>
      <c r="FZD1" s="253"/>
      <c r="FZE1" s="252"/>
      <c r="FZF1" s="253"/>
      <c r="FZG1" s="253"/>
      <c r="FZH1" s="253"/>
      <c r="FZI1" s="252"/>
      <c r="FZJ1" s="253"/>
      <c r="FZK1" s="253"/>
      <c r="FZL1" s="253"/>
      <c r="FZM1" s="252"/>
      <c r="FZN1" s="253"/>
      <c r="FZO1" s="253"/>
      <c r="FZP1" s="253"/>
      <c r="FZQ1" s="252"/>
      <c r="FZR1" s="253"/>
      <c r="FZS1" s="253"/>
      <c r="FZT1" s="253"/>
      <c r="FZU1" s="252"/>
      <c r="FZV1" s="253"/>
      <c r="FZW1" s="253"/>
      <c r="FZX1" s="253"/>
      <c r="FZY1" s="252"/>
      <c r="FZZ1" s="253"/>
      <c r="GAA1" s="253"/>
      <c r="GAB1" s="253"/>
      <c r="GAC1" s="252"/>
      <c r="GAD1" s="253"/>
      <c r="GAE1" s="253"/>
      <c r="GAF1" s="253"/>
      <c r="GAG1" s="252"/>
      <c r="GAH1" s="253"/>
      <c r="GAI1" s="253"/>
      <c r="GAJ1" s="253"/>
      <c r="GAK1" s="252"/>
      <c r="GAL1" s="253"/>
      <c r="GAM1" s="253"/>
      <c r="GAN1" s="253"/>
      <c r="GAO1" s="252"/>
      <c r="GAP1" s="253"/>
      <c r="GAQ1" s="253"/>
      <c r="GAR1" s="253"/>
      <c r="GAS1" s="252"/>
      <c r="GAT1" s="253"/>
      <c r="GAU1" s="253"/>
      <c r="GAV1" s="253"/>
      <c r="GAW1" s="252"/>
      <c r="GAX1" s="253"/>
      <c r="GAY1" s="253"/>
      <c r="GAZ1" s="253"/>
      <c r="GBA1" s="252"/>
      <c r="GBB1" s="253"/>
      <c r="GBC1" s="253"/>
      <c r="GBD1" s="253"/>
      <c r="GBE1" s="252"/>
      <c r="GBF1" s="253"/>
      <c r="GBG1" s="253"/>
      <c r="GBH1" s="253"/>
      <c r="GBI1" s="252"/>
      <c r="GBJ1" s="253"/>
      <c r="GBK1" s="253"/>
      <c r="GBL1" s="253"/>
      <c r="GBM1" s="252"/>
      <c r="GBN1" s="253"/>
      <c r="GBO1" s="253"/>
      <c r="GBP1" s="253"/>
      <c r="GBQ1" s="252"/>
      <c r="GBR1" s="253"/>
      <c r="GBS1" s="253"/>
      <c r="GBT1" s="253"/>
      <c r="GBU1" s="252"/>
      <c r="GBV1" s="253"/>
      <c r="GBW1" s="253"/>
      <c r="GBX1" s="253"/>
      <c r="GBY1" s="252"/>
      <c r="GBZ1" s="253"/>
      <c r="GCA1" s="253"/>
      <c r="GCB1" s="253"/>
      <c r="GCC1" s="252"/>
      <c r="GCD1" s="253"/>
      <c r="GCE1" s="253"/>
      <c r="GCF1" s="253"/>
      <c r="GCG1" s="252"/>
      <c r="GCH1" s="253"/>
      <c r="GCI1" s="253"/>
      <c r="GCJ1" s="253"/>
      <c r="GCK1" s="252"/>
      <c r="GCL1" s="253"/>
      <c r="GCM1" s="253"/>
      <c r="GCN1" s="253"/>
      <c r="GCO1" s="252"/>
      <c r="GCP1" s="253"/>
      <c r="GCQ1" s="253"/>
      <c r="GCR1" s="253"/>
      <c r="GCS1" s="252"/>
      <c r="GCT1" s="253"/>
      <c r="GCU1" s="253"/>
      <c r="GCV1" s="253"/>
      <c r="GCW1" s="252"/>
      <c r="GCX1" s="253"/>
      <c r="GCY1" s="253"/>
      <c r="GCZ1" s="253"/>
      <c r="GDA1" s="252"/>
      <c r="GDB1" s="253"/>
      <c r="GDC1" s="253"/>
      <c r="GDD1" s="253"/>
      <c r="GDE1" s="252"/>
      <c r="GDF1" s="253"/>
      <c r="GDG1" s="253"/>
      <c r="GDH1" s="253"/>
      <c r="GDI1" s="252"/>
      <c r="GDJ1" s="253"/>
      <c r="GDK1" s="253"/>
      <c r="GDL1" s="253"/>
      <c r="GDM1" s="252"/>
      <c r="GDN1" s="253"/>
      <c r="GDO1" s="253"/>
      <c r="GDP1" s="253"/>
      <c r="GDQ1" s="252"/>
      <c r="GDR1" s="253"/>
      <c r="GDS1" s="253"/>
      <c r="GDT1" s="253"/>
      <c r="GDU1" s="252"/>
      <c r="GDV1" s="253"/>
      <c r="GDW1" s="253"/>
      <c r="GDX1" s="253"/>
      <c r="GDY1" s="252"/>
      <c r="GDZ1" s="253"/>
      <c r="GEA1" s="253"/>
      <c r="GEB1" s="253"/>
      <c r="GEC1" s="252"/>
      <c r="GED1" s="253"/>
      <c r="GEE1" s="253"/>
      <c r="GEF1" s="253"/>
      <c r="GEG1" s="252"/>
      <c r="GEH1" s="253"/>
      <c r="GEI1" s="253"/>
      <c r="GEJ1" s="253"/>
      <c r="GEK1" s="252"/>
      <c r="GEL1" s="253"/>
      <c r="GEM1" s="253"/>
      <c r="GEN1" s="253"/>
      <c r="GEO1" s="252"/>
      <c r="GEP1" s="253"/>
      <c r="GEQ1" s="253"/>
      <c r="GER1" s="253"/>
      <c r="GES1" s="252"/>
      <c r="GET1" s="253"/>
      <c r="GEU1" s="253"/>
      <c r="GEV1" s="253"/>
      <c r="GEW1" s="252"/>
      <c r="GEX1" s="253"/>
      <c r="GEY1" s="253"/>
      <c r="GEZ1" s="253"/>
      <c r="GFA1" s="252"/>
      <c r="GFB1" s="253"/>
      <c r="GFC1" s="253"/>
      <c r="GFD1" s="253"/>
      <c r="GFE1" s="252"/>
      <c r="GFF1" s="253"/>
      <c r="GFG1" s="253"/>
      <c r="GFH1" s="253"/>
      <c r="GFI1" s="252"/>
      <c r="GFJ1" s="253"/>
      <c r="GFK1" s="253"/>
      <c r="GFL1" s="253"/>
      <c r="GFM1" s="252"/>
      <c r="GFN1" s="253"/>
      <c r="GFO1" s="253"/>
      <c r="GFP1" s="253"/>
      <c r="GFQ1" s="252"/>
      <c r="GFR1" s="253"/>
      <c r="GFS1" s="253"/>
      <c r="GFT1" s="253"/>
      <c r="GFU1" s="252"/>
      <c r="GFV1" s="253"/>
      <c r="GFW1" s="253"/>
      <c r="GFX1" s="253"/>
      <c r="GFY1" s="252"/>
      <c r="GFZ1" s="253"/>
      <c r="GGA1" s="253"/>
      <c r="GGB1" s="253"/>
      <c r="GGC1" s="252"/>
      <c r="GGD1" s="253"/>
      <c r="GGE1" s="253"/>
      <c r="GGF1" s="253"/>
      <c r="GGG1" s="252"/>
      <c r="GGH1" s="253"/>
      <c r="GGI1" s="253"/>
      <c r="GGJ1" s="253"/>
      <c r="GGK1" s="252"/>
      <c r="GGL1" s="253"/>
      <c r="GGM1" s="253"/>
      <c r="GGN1" s="253"/>
      <c r="GGO1" s="252"/>
      <c r="GGP1" s="253"/>
      <c r="GGQ1" s="253"/>
      <c r="GGR1" s="253"/>
      <c r="GGS1" s="252"/>
      <c r="GGT1" s="253"/>
      <c r="GGU1" s="253"/>
      <c r="GGV1" s="253"/>
      <c r="GGW1" s="252"/>
      <c r="GGX1" s="253"/>
      <c r="GGY1" s="253"/>
      <c r="GGZ1" s="253"/>
      <c r="GHA1" s="252"/>
      <c r="GHB1" s="253"/>
      <c r="GHC1" s="253"/>
      <c r="GHD1" s="253"/>
      <c r="GHE1" s="252"/>
      <c r="GHF1" s="253"/>
      <c r="GHG1" s="253"/>
      <c r="GHH1" s="253"/>
      <c r="GHI1" s="252"/>
      <c r="GHJ1" s="253"/>
      <c r="GHK1" s="253"/>
      <c r="GHL1" s="253"/>
      <c r="GHM1" s="252"/>
      <c r="GHN1" s="253"/>
      <c r="GHO1" s="253"/>
      <c r="GHP1" s="253"/>
      <c r="GHQ1" s="252"/>
      <c r="GHR1" s="253"/>
      <c r="GHS1" s="253"/>
      <c r="GHT1" s="253"/>
      <c r="GHU1" s="252"/>
      <c r="GHV1" s="253"/>
      <c r="GHW1" s="253"/>
      <c r="GHX1" s="253"/>
      <c r="GHY1" s="252"/>
      <c r="GHZ1" s="253"/>
      <c r="GIA1" s="253"/>
      <c r="GIB1" s="253"/>
      <c r="GIC1" s="252"/>
      <c r="GID1" s="253"/>
      <c r="GIE1" s="253"/>
      <c r="GIF1" s="253"/>
      <c r="GIG1" s="252"/>
      <c r="GIH1" s="253"/>
      <c r="GII1" s="253"/>
      <c r="GIJ1" s="253"/>
      <c r="GIK1" s="252"/>
      <c r="GIL1" s="253"/>
      <c r="GIM1" s="253"/>
      <c r="GIN1" s="253"/>
      <c r="GIO1" s="252"/>
      <c r="GIP1" s="253"/>
      <c r="GIQ1" s="253"/>
      <c r="GIR1" s="253"/>
      <c r="GIS1" s="252"/>
      <c r="GIT1" s="253"/>
      <c r="GIU1" s="253"/>
      <c r="GIV1" s="253"/>
      <c r="GIW1" s="252"/>
      <c r="GIX1" s="253"/>
      <c r="GIY1" s="253"/>
      <c r="GIZ1" s="253"/>
      <c r="GJA1" s="252"/>
      <c r="GJB1" s="253"/>
      <c r="GJC1" s="253"/>
      <c r="GJD1" s="253"/>
      <c r="GJE1" s="252"/>
      <c r="GJF1" s="253"/>
      <c r="GJG1" s="253"/>
      <c r="GJH1" s="253"/>
      <c r="GJI1" s="252"/>
      <c r="GJJ1" s="253"/>
      <c r="GJK1" s="253"/>
      <c r="GJL1" s="253"/>
      <c r="GJM1" s="252"/>
      <c r="GJN1" s="253"/>
      <c r="GJO1" s="253"/>
      <c r="GJP1" s="253"/>
      <c r="GJQ1" s="252"/>
      <c r="GJR1" s="253"/>
      <c r="GJS1" s="253"/>
      <c r="GJT1" s="253"/>
      <c r="GJU1" s="252"/>
      <c r="GJV1" s="253"/>
      <c r="GJW1" s="253"/>
      <c r="GJX1" s="253"/>
      <c r="GJY1" s="252"/>
      <c r="GJZ1" s="253"/>
      <c r="GKA1" s="253"/>
      <c r="GKB1" s="253"/>
      <c r="GKC1" s="252"/>
      <c r="GKD1" s="253"/>
      <c r="GKE1" s="253"/>
      <c r="GKF1" s="253"/>
      <c r="GKG1" s="252"/>
      <c r="GKH1" s="253"/>
      <c r="GKI1" s="253"/>
      <c r="GKJ1" s="253"/>
      <c r="GKK1" s="252"/>
      <c r="GKL1" s="253"/>
      <c r="GKM1" s="253"/>
      <c r="GKN1" s="253"/>
      <c r="GKO1" s="252"/>
      <c r="GKP1" s="253"/>
      <c r="GKQ1" s="253"/>
      <c r="GKR1" s="253"/>
      <c r="GKS1" s="252"/>
      <c r="GKT1" s="253"/>
      <c r="GKU1" s="253"/>
      <c r="GKV1" s="253"/>
      <c r="GKW1" s="252"/>
      <c r="GKX1" s="253"/>
      <c r="GKY1" s="253"/>
      <c r="GKZ1" s="253"/>
      <c r="GLA1" s="252"/>
      <c r="GLB1" s="253"/>
      <c r="GLC1" s="253"/>
      <c r="GLD1" s="253"/>
      <c r="GLE1" s="252"/>
      <c r="GLF1" s="253"/>
      <c r="GLG1" s="253"/>
      <c r="GLH1" s="253"/>
      <c r="GLI1" s="252"/>
      <c r="GLJ1" s="253"/>
      <c r="GLK1" s="253"/>
      <c r="GLL1" s="253"/>
      <c r="GLM1" s="252"/>
      <c r="GLN1" s="253"/>
      <c r="GLO1" s="253"/>
      <c r="GLP1" s="253"/>
      <c r="GLQ1" s="252"/>
      <c r="GLR1" s="253"/>
      <c r="GLS1" s="253"/>
      <c r="GLT1" s="253"/>
      <c r="GLU1" s="252"/>
      <c r="GLV1" s="253"/>
      <c r="GLW1" s="253"/>
      <c r="GLX1" s="253"/>
      <c r="GLY1" s="252"/>
      <c r="GLZ1" s="253"/>
      <c r="GMA1" s="253"/>
      <c r="GMB1" s="253"/>
      <c r="GMC1" s="252"/>
      <c r="GMD1" s="253"/>
      <c r="GME1" s="253"/>
      <c r="GMF1" s="253"/>
      <c r="GMG1" s="252"/>
      <c r="GMH1" s="253"/>
      <c r="GMI1" s="253"/>
      <c r="GMJ1" s="253"/>
      <c r="GMK1" s="252"/>
      <c r="GML1" s="253"/>
      <c r="GMM1" s="253"/>
      <c r="GMN1" s="253"/>
      <c r="GMO1" s="252"/>
      <c r="GMP1" s="253"/>
      <c r="GMQ1" s="253"/>
      <c r="GMR1" s="253"/>
      <c r="GMS1" s="252"/>
      <c r="GMT1" s="253"/>
      <c r="GMU1" s="253"/>
      <c r="GMV1" s="253"/>
      <c r="GMW1" s="252"/>
      <c r="GMX1" s="253"/>
      <c r="GMY1" s="253"/>
      <c r="GMZ1" s="253"/>
      <c r="GNA1" s="252"/>
      <c r="GNB1" s="253"/>
      <c r="GNC1" s="253"/>
      <c r="GND1" s="253"/>
      <c r="GNE1" s="252"/>
      <c r="GNF1" s="253"/>
      <c r="GNG1" s="253"/>
      <c r="GNH1" s="253"/>
      <c r="GNI1" s="252"/>
      <c r="GNJ1" s="253"/>
      <c r="GNK1" s="253"/>
      <c r="GNL1" s="253"/>
      <c r="GNM1" s="252"/>
      <c r="GNN1" s="253"/>
      <c r="GNO1" s="253"/>
      <c r="GNP1" s="253"/>
      <c r="GNQ1" s="252"/>
      <c r="GNR1" s="253"/>
      <c r="GNS1" s="253"/>
      <c r="GNT1" s="253"/>
      <c r="GNU1" s="252"/>
      <c r="GNV1" s="253"/>
      <c r="GNW1" s="253"/>
      <c r="GNX1" s="253"/>
      <c r="GNY1" s="252"/>
      <c r="GNZ1" s="253"/>
      <c r="GOA1" s="253"/>
      <c r="GOB1" s="253"/>
      <c r="GOC1" s="252"/>
      <c r="GOD1" s="253"/>
      <c r="GOE1" s="253"/>
      <c r="GOF1" s="253"/>
      <c r="GOG1" s="252"/>
      <c r="GOH1" s="253"/>
      <c r="GOI1" s="253"/>
      <c r="GOJ1" s="253"/>
      <c r="GOK1" s="252"/>
      <c r="GOL1" s="253"/>
      <c r="GOM1" s="253"/>
      <c r="GON1" s="253"/>
      <c r="GOO1" s="252"/>
      <c r="GOP1" s="253"/>
      <c r="GOQ1" s="253"/>
      <c r="GOR1" s="253"/>
      <c r="GOS1" s="252"/>
      <c r="GOT1" s="253"/>
      <c r="GOU1" s="253"/>
      <c r="GOV1" s="253"/>
      <c r="GOW1" s="252"/>
      <c r="GOX1" s="253"/>
      <c r="GOY1" s="253"/>
      <c r="GOZ1" s="253"/>
      <c r="GPA1" s="252"/>
      <c r="GPB1" s="253"/>
      <c r="GPC1" s="253"/>
      <c r="GPD1" s="253"/>
      <c r="GPE1" s="252"/>
      <c r="GPF1" s="253"/>
      <c r="GPG1" s="253"/>
      <c r="GPH1" s="253"/>
      <c r="GPI1" s="252"/>
      <c r="GPJ1" s="253"/>
      <c r="GPK1" s="253"/>
      <c r="GPL1" s="253"/>
      <c r="GPM1" s="252"/>
      <c r="GPN1" s="253"/>
      <c r="GPO1" s="253"/>
      <c r="GPP1" s="253"/>
      <c r="GPQ1" s="252"/>
      <c r="GPR1" s="253"/>
      <c r="GPS1" s="253"/>
      <c r="GPT1" s="253"/>
      <c r="GPU1" s="252"/>
      <c r="GPV1" s="253"/>
      <c r="GPW1" s="253"/>
      <c r="GPX1" s="253"/>
      <c r="GPY1" s="252"/>
      <c r="GPZ1" s="253"/>
      <c r="GQA1" s="253"/>
      <c r="GQB1" s="253"/>
      <c r="GQC1" s="252"/>
      <c r="GQD1" s="253"/>
      <c r="GQE1" s="253"/>
      <c r="GQF1" s="253"/>
      <c r="GQG1" s="252"/>
      <c r="GQH1" s="253"/>
      <c r="GQI1" s="253"/>
      <c r="GQJ1" s="253"/>
      <c r="GQK1" s="252"/>
      <c r="GQL1" s="253"/>
      <c r="GQM1" s="253"/>
      <c r="GQN1" s="253"/>
      <c r="GQO1" s="252"/>
      <c r="GQP1" s="253"/>
      <c r="GQQ1" s="253"/>
      <c r="GQR1" s="253"/>
      <c r="GQS1" s="252"/>
      <c r="GQT1" s="253"/>
      <c r="GQU1" s="253"/>
      <c r="GQV1" s="253"/>
      <c r="GQW1" s="252"/>
      <c r="GQX1" s="253"/>
      <c r="GQY1" s="253"/>
      <c r="GQZ1" s="253"/>
      <c r="GRA1" s="252"/>
      <c r="GRB1" s="253"/>
      <c r="GRC1" s="253"/>
      <c r="GRD1" s="253"/>
      <c r="GRE1" s="252"/>
      <c r="GRF1" s="253"/>
      <c r="GRG1" s="253"/>
      <c r="GRH1" s="253"/>
      <c r="GRI1" s="252"/>
      <c r="GRJ1" s="253"/>
      <c r="GRK1" s="253"/>
      <c r="GRL1" s="253"/>
      <c r="GRM1" s="252"/>
      <c r="GRN1" s="253"/>
      <c r="GRO1" s="253"/>
      <c r="GRP1" s="253"/>
      <c r="GRQ1" s="252"/>
      <c r="GRR1" s="253"/>
      <c r="GRS1" s="253"/>
      <c r="GRT1" s="253"/>
      <c r="GRU1" s="252"/>
      <c r="GRV1" s="253"/>
      <c r="GRW1" s="253"/>
      <c r="GRX1" s="253"/>
      <c r="GRY1" s="252"/>
      <c r="GRZ1" s="253"/>
      <c r="GSA1" s="253"/>
      <c r="GSB1" s="253"/>
      <c r="GSC1" s="252"/>
      <c r="GSD1" s="253"/>
      <c r="GSE1" s="253"/>
      <c r="GSF1" s="253"/>
      <c r="GSG1" s="252"/>
      <c r="GSH1" s="253"/>
      <c r="GSI1" s="253"/>
      <c r="GSJ1" s="253"/>
      <c r="GSK1" s="252"/>
      <c r="GSL1" s="253"/>
      <c r="GSM1" s="253"/>
      <c r="GSN1" s="253"/>
      <c r="GSO1" s="252"/>
      <c r="GSP1" s="253"/>
      <c r="GSQ1" s="253"/>
      <c r="GSR1" s="253"/>
      <c r="GSS1" s="252"/>
      <c r="GST1" s="253"/>
      <c r="GSU1" s="253"/>
      <c r="GSV1" s="253"/>
      <c r="GSW1" s="252"/>
      <c r="GSX1" s="253"/>
      <c r="GSY1" s="253"/>
      <c r="GSZ1" s="253"/>
      <c r="GTA1" s="252"/>
      <c r="GTB1" s="253"/>
      <c r="GTC1" s="253"/>
      <c r="GTD1" s="253"/>
      <c r="GTE1" s="252"/>
      <c r="GTF1" s="253"/>
      <c r="GTG1" s="253"/>
      <c r="GTH1" s="253"/>
      <c r="GTI1" s="252"/>
      <c r="GTJ1" s="253"/>
      <c r="GTK1" s="253"/>
      <c r="GTL1" s="253"/>
      <c r="GTM1" s="252"/>
      <c r="GTN1" s="253"/>
      <c r="GTO1" s="253"/>
      <c r="GTP1" s="253"/>
      <c r="GTQ1" s="252"/>
      <c r="GTR1" s="253"/>
      <c r="GTS1" s="253"/>
      <c r="GTT1" s="253"/>
      <c r="GTU1" s="252"/>
      <c r="GTV1" s="253"/>
      <c r="GTW1" s="253"/>
      <c r="GTX1" s="253"/>
      <c r="GTY1" s="252"/>
      <c r="GTZ1" s="253"/>
      <c r="GUA1" s="253"/>
      <c r="GUB1" s="253"/>
      <c r="GUC1" s="252"/>
      <c r="GUD1" s="253"/>
      <c r="GUE1" s="253"/>
      <c r="GUF1" s="253"/>
      <c r="GUG1" s="252"/>
      <c r="GUH1" s="253"/>
      <c r="GUI1" s="253"/>
      <c r="GUJ1" s="253"/>
      <c r="GUK1" s="252"/>
      <c r="GUL1" s="253"/>
      <c r="GUM1" s="253"/>
      <c r="GUN1" s="253"/>
      <c r="GUO1" s="252"/>
      <c r="GUP1" s="253"/>
      <c r="GUQ1" s="253"/>
      <c r="GUR1" s="253"/>
      <c r="GUS1" s="252"/>
      <c r="GUT1" s="253"/>
      <c r="GUU1" s="253"/>
      <c r="GUV1" s="253"/>
      <c r="GUW1" s="252"/>
      <c r="GUX1" s="253"/>
      <c r="GUY1" s="253"/>
      <c r="GUZ1" s="253"/>
      <c r="GVA1" s="252"/>
      <c r="GVB1" s="253"/>
      <c r="GVC1" s="253"/>
      <c r="GVD1" s="253"/>
      <c r="GVE1" s="252"/>
      <c r="GVF1" s="253"/>
      <c r="GVG1" s="253"/>
      <c r="GVH1" s="253"/>
      <c r="GVI1" s="252"/>
      <c r="GVJ1" s="253"/>
      <c r="GVK1" s="253"/>
      <c r="GVL1" s="253"/>
      <c r="GVM1" s="252"/>
      <c r="GVN1" s="253"/>
      <c r="GVO1" s="253"/>
      <c r="GVP1" s="253"/>
      <c r="GVQ1" s="252"/>
      <c r="GVR1" s="253"/>
      <c r="GVS1" s="253"/>
      <c r="GVT1" s="253"/>
      <c r="GVU1" s="252"/>
      <c r="GVV1" s="253"/>
      <c r="GVW1" s="253"/>
      <c r="GVX1" s="253"/>
      <c r="GVY1" s="252"/>
      <c r="GVZ1" s="253"/>
      <c r="GWA1" s="253"/>
      <c r="GWB1" s="253"/>
      <c r="GWC1" s="252"/>
      <c r="GWD1" s="253"/>
      <c r="GWE1" s="253"/>
      <c r="GWF1" s="253"/>
      <c r="GWG1" s="252"/>
      <c r="GWH1" s="253"/>
      <c r="GWI1" s="253"/>
      <c r="GWJ1" s="253"/>
      <c r="GWK1" s="252"/>
      <c r="GWL1" s="253"/>
      <c r="GWM1" s="253"/>
      <c r="GWN1" s="253"/>
      <c r="GWO1" s="252"/>
      <c r="GWP1" s="253"/>
      <c r="GWQ1" s="253"/>
      <c r="GWR1" s="253"/>
      <c r="GWS1" s="252"/>
      <c r="GWT1" s="253"/>
      <c r="GWU1" s="253"/>
      <c r="GWV1" s="253"/>
      <c r="GWW1" s="252"/>
      <c r="GWX1" s="253"/>
      <c r="GWY1" s="253"/>
      <c r="GWZ1" s="253"/>
      <c r="GXA1" s="252"/>
      <c r="GXB1" s="253"/>
      <c r="GXC1" s="253"/>
      <c r="GXD1" s="253"/>
      <c r="GXE1" s="252"/>
      <c r="GXF1" s="253"/>
      <c r="GXG1" s="253"/>
      <c r="GXH1" s="253"/>
      <c r="GXI1" s="252"/>
      <c r="GXJ1" s="253"/>
      <c r="GXK1" s="253"/>
      <c r="GXL1" s="253"/>
      <c r="GXM1" s="252"/>
      <c r="GXN1" s="253"/>
      <c r="GXO1" s="253"/>
      <c r="GXP1" s="253"/>
      <c r="GXQ1" s="252"/>
      <c r="GXR1" s="253"/>
      <c r="GXS1" s="253"/>
      <c r="GXT1" s="253"/>
      <c r="GXU1" s="252"/>
      <c r="GXV1" s="253"/>
      <c r="GXW1" s="253"/>
      <c r="GXX1" s="253"/>
      <c r="GXY1" s="252"/>
      <c r="GXZ1" s="253"/>
      <c r="GYA1" s="253"/>
      <c r="GYB1" s="253"/>
      <c r="GYC1" s="252"/>
      <c r="GYD1" s="253"/>
      <c r="GYE1" s="253"/>
      <c r="GYF1" s="253"/>
      <c r="GYG1" s="252"/>
      <c r="GYH1" s="253"/>
      <c r="GYI1" s="253"/>
      <c r="GYJ1" s="253"/>
      <c r="GYK1" s="252"/>
      <c r="GYL1" s="253"/>
      <c r="GYM1" s="253"/>
      <c r="GYN1" s="253"/>
      <c r="GYO1" s="252"/>
      <c r="GYP1" s="253"/>
      <c r="GYQ1" s="253"/>
      <c r="GYR1" s="253"/>
      <c r="GYS1" s="252"/>
      <c r="GYT1" s="253"/>
      <c r="GYU1" s="253"/>
      <c r="GYV1" s="253"/>
      <c r="GYW1" s="252"/>
      <c r="GYX1" s="253"/>
      <c r="GYY1" s="253"/>
      <c r="GYZ1" s="253"/>
      <c r="GZA1" s="252"/>
      <c r="GZB1" s="253"/>
      <c r="GZC1" s="253"/>
      <c r="GZD1" s="253"/>
      <c r="GZE1" s="252"/>
      <c r="GZF1" s="253"/>
      <c r="GZG1" s="253"/>
      <c r="GZH1" s="253"/>
      <c r="GZI1" s="252"/>
      <c r="GZJ1" s="253"/>
      <c r="GZK1" s="253"/>
      <c r="GZL1" s="253"/>
      <c r="GZM1" s="252"/>
      <c r="GZN1" s="253"/>
      <c r="GZO1" s="253"/>
      <c r="GZP1" s="253"/>
      <c r="GZQ1" s="252"/>
      <c r="GZR1" s="253"/>
      <c r="GZS1" s="253"/>
      <c r="GZT1" s="253"/>
      <c r="GZU1" s="252"/>
      <c r="GZV1" s="253"/>
      <c r="GZW1" s="253"/>
      <c r="GZX1" s="253"/>
      <c r="GZY1" s="252"/>
      <c r="GZZ1" s="253"/>
      <c r="HAA1" s="253"/>
      <c r="HAB1" s="253"/>
      <c r="HAC1" s="252"/>
      <c r="HAD1" s="253"/>
      <c r="HAE1" s="253"/>
      <c r="HAF1" s="253"/>
      <c r="HAG1" s="252"/>
      <c r="HAH1" s="253"/>
      <c r="HAI1" s="253"/>
      <c r="HAJ1" s="253"/>
      <c r="HAK1" s="252"/>
      <c r="HAL1" s="253"/>
      <c r="HAM1" s="253"/>
      <c r="HAN1" s="253"/>
      <c r="HAO1" s="252"/>
      <c r="HAP1" s="253"/>
      <c r="HAQ1" s="253"/>
      <c r="HAR1" s="253"/>
      <c r="HAS1" s="252"/>
      <c r="HAT1" s="253"/>
      <c r="HAU1" s="253"/>
      <c r="HAV1" s="253"/>
      <c r="HAW1" s="252"/>
      <c r="HAX1" s="253"/>
      <c r="HAY1" s="253"/>
      <c r="HAZ1" s="253"/>
      <c r="HBA1" s="252"/>
      <c r="HBB1" s="253"/>
      <c r="HBC1" s="253"/>
      <c r="HBD1" s="253"/>
      <c r="HBE1" s="252"/>
      <c r="HBF1" s="253"/>
      <c r="HBG1" s="253"/>
      <c r="HBH1" s="253"/>
      <c r="HBI1" s="252"/>
      <c r="HBJ1" s="253"/>
      <c r="HBK1" s="253"/>
      <c r="HBL1" s="253"/>
      <c r="HBM1" s="252"/>
      <c r="HBN1" s="253"/>
      <c r="HBO1" s="253"/>
      <c r="HBP1" s="253"/>
      <c r="HBQ1" s="252"/>
      <c r="HBR1" s="253"/>
      <c r="HBS1" s="253"/>
      <c r="HBT1" s="253"/>
      <c r="HBU1" s="252"/>
      <c r="HBV1" s="253"/>
      <c r="HBW1" s="253"/>
      <c r="HBX1" s="253"/>
      <c r="HBY1" s="252"/>
      <c r="HBZ1" s="253"/>
      <c r="HCA1" s="253"/>
      <c r="HCB1" s="253"/>
      <c r="HCC1" s="252"/>
      <c r="HCD1" s="253"/>
      <c r="HCE1" s="253"/>
      <c r="HCF1" s="253"/>
      <c r="HCG1" s="252"/>
      <c r="HCH1" s="253"/>
      <c r="HCI1" s="253"/>
      <c r="HCJ1" s="253"/>
      <c r="HCK1" s="252"/>
      <c r="HCL1" s="253"/>
      <c r="HCM1" s="253"/>
      <c r="HCN1" s="253"/>
      <c r="HCO1" s="252"/>
      <c r="HCP1" s="253"/>
      <c r="HCQ1" s="253"/>
      <c r="HCR1" s="253"/>
      <c r="HCS1" s="252"/>
      <c r="HCT1" s="253"/>
      <c r="HCU1" s="253"/>
      <c r="HCV1" s="253"/>
      <c r="HCW1" s="252"/>
      <c r="HCX1" s="253"/>
      <c r="HCY1" s="253"/>
      <c r="HCZ1" s="253"/>
      <c r="HDA1" s="252"/>
      <c r="HDB1" s="253"/>
      <c r="HDC1" s="253"/>
      <c r="HDD1" s="253"/>
      <c r="HDE1" s="252"/>
      <c r="HDF1" s="253"/>
      <c r="HDG1" s="253"/>
      <c r="HDH1" s="253"/>
      <c r="HDI1" s="252"/>
      <c r="HDJ1" s="253"/>
      <c r="HDK1" s="253"/>
      <c r="HDL1" s="253"/>
      <c r="HDM1" s="252"/>
      <c r="HDN1" s="253"/>
      <c r="HDO1" s="253"/>
      <c r="HDP1" s="253"/>
      <c r="HDQ1" s="252"/>
      <c r="HDR1" s="253"/>
      <c r="HDS1" s="253"/>
      <c r="HDT1" s="253"/>
      <c r="HDU1" s="252"/>
      <c r="HDV1" s="253"/>
      <c r="HDW1" s="253"/>
      <c r="HDX1" s="253"/>
      <c r="HDY1" s="252"/>
      <c r="HDZ1" s="253"/>
      <c r="HEA1" s="253"/>
      <c r="HEB1" s="253"/>
      <c r="HEC1" s="252"/>
      <c r="HED1" s="253"/>
      <c r="HEE1" s="253"/>
      <c r="HEF1" s="253"/>
      <c r="HEG1" s="252"/>
      <c r="HEH1" s="253"/>
      <c r="HEI1" s="253"/>
      <c r="HEJ1" s="253"/>
      <c r="HEK1" s="252"/>
      <c r="HEL1" s="253"/>
      <c r="HEM1" s="253"/>
      <c r="HEN1" s="253"/>
      <c r="HEO1" s="252"/>
      <c r="HEP1" s="253"/>
      <c r="HEQ1" s="253"/>
      <c r="HER1" s="253"/>
      <c r="HES1" s="252"/>
      <c r="HET1" s="253"/>
      <c r="HEU1" s="253"/>
      <c r="HEV1" s="253"/>
      <c r="HEW1" s="252"/>
      <c r="HEX1" s="253"/>
      <c r="HEY1" s="253"/>
      <c r="HEZ1" s="253"/>
      <c r="HFA1" s="252"/>
      <c r="HFB1" s="253"/>
      <c r="HFC1" s="253"/>
      <c r="HFD1" s="253"/>
      <c r="HFE1" s="252"/>
      <c r="HFF1" s="253"/>
      <c r="HFG1" s="253"/>
      <c r="HFH1" s="253"/>
      <c r="HFI1" s="252"/>
      <c r="HFJ1" s="253"/>
      <c r="HFK1" s="253"/>
      <c r="HFL1" s="253"/>
      <c r="HFM1" s="252"/>
      <c r="HFN1" s="253"/>
      <c r="HFO1" s="253"/>
      <c r="HFP1" s="253"/>
      <c r="HFQ1" s="252"/>
      <c r="HFR1" s="253"/>
      <c r="HFS1" s="253"/>
      <c r="HFT1" s="253"/>
      <c r="HFU1" s="252"/>
      <c r="HFV1" s="253"/>
      <c r="HFW1" s="253"/>
      <c r="HFX1" s="253"/>
      <c r="HFY1" s="252"/>
      <c r="HFZ1" s="253"/>
      <c r="HGA1" s="253"/>
      <c r="HGB1" s="253"/>
      <c r="HGC1" s="252"/>
      <c r="HGD1" s="253"/>
      <c r="HGE1" s="253"/>
      <c r="HGF1" s="253"/>
      <c r="HGG1" s="252"/>
      <c r="HGH1" s="253"/>
      <c r="HGI1" s="253"/>
      <c r="HGJ1" s="253"/>
      <c r="HGK1" s="252"/>
      <c r="HGL1" s="253"/>
      <c r="HGM1" s="253"/>
      <c r="HGN1" s="253"/>
      <c r="HGO1" s="252"/>
      <c r="HGP1" s="253"/>
      <c r="HGQ1" s="253"/>
      <c r="HGR1" s="253"/>
      <c r="HGS1" s="252"/>
      <c r="HGT1" s="253"/>
      <c r="HGU1" s="253"/>
      <c r="HGV1" s="253"/>
      <c r="HGW1" s="252"/>
      <c r="HGX1" s="253"/>
      <c r="HGY1" s="253"/>
      <c r="HGZ1" s="253"/>
      <c r="HHA1" s="252"/>
      <c r="HHB1" s="253"/>
      <c r="HHC1" s="253"/>
      <c r="HHD1" s="253"/>
      <c r="HHE1" s="252"/>
      <c r="HHF1" s="253"/>
      <c r="HHG1" s="253"/>
      <c r="HHH1" s="253"/>
      <c r="HHI1" s="252"/>
      <c r="HHJ1" s="253"/>
      <c r="HHK1" s="253"/>
      <c r="HHL1" s="253"/>
      <c r="HHM1" s="252"/>
      <c r="HHN1" s="253"/>
      <c r="HHO1" s="253"/>
      <c r="HHP1" s="253"/>
      <c r="HHQ1" s="252"/>
      <c r="HHR1" s="253"/>
      <c r="HHS1" s="253"/>
      <c r="HHT1" s="253"/>
      <c r="HHU1" s="252"/>
      <c r="HHV1" s="253"/>
      <c r="HHW1" s="253"/>
      <c r="HHX1" s="253"/>
      <c r="HHY1" s="252"/>
      <c r="HHZ1" s="253"/>
      <c r="HIA1" s="253"/>
      <c r="HIB1" s="253"/>
      <c r="HIC1" s="252"/>
      <c r="HID1" s="253"/>
      <c r="HIE1" s="253"/>
      <c r="HIF1" s="253"/>
      <c r="HIG1" s="252"/>
      <c r="HIH1" s="253"/>
      <c r="HII1" s="253"/>
      <c r="HIJ1" s="253"/>
      <c r="HIK1" s="252"/>
      <c r="HIL1" s="253"/>
      <c r="HIM1" s="253"/>
      <c r="HIN1" s="253"/>
      <c r="HIO1" s="252"/>
      <c r="HIP1" s="253"/>
      <c r="HIQ1" s="253"/>
      <c r="HIR1" s="253"/>
      <c r="HIS1" s="252"/>
      <c r="HIT1" s="253"/>
      <c r="HIU1" s="253"/>
      <c r="HIV1" s="253"/>
      <c r="HIW1" s="252"/>
      <c r="HIX1" s="253"/>
      <c r="HIY1" s="253"/>
      <c r="HIZ1" s="253"/>
      <c r="HJA1" s="252"/>
      <c r="HJB1" s="253"/>
      <c r="HJC1" s="253"/>
      <c r="HJD1" s="253"/>
      <c r="HJE1" s="252"/>
      <c r="HJF1" s="253"/>
      <c r="HJG1" s="253"/>
      <c r="HJH1" s="253"/>
      <c r="HJI1" s="252"/>
      <c r="HJJ1" s="253"/>
      <c r="HJK1" s="253"/>
      <c r="HJL1" s="253"/>
      <c r="HJM1" s="252"/>
      <c r="HJN1" s="253"/>
      <c r="HJO1" s="253"/>
      <c r="HJP1" s="253"/>
      <c r="HJQ1" s="252"/>
      <c r="HJR1" s="253"/>
      <c r="HJS1" s="253"/>
      <c r="HJT1" s="253"/>
      <c r="HJU1" s="252"/>
      <c r="HJV1" s="253"/>
      <c r="HJW1" s="253"/>
      <c r="HJX1" s="253"/>
      <c r="HJY1" s="252"/>
      <c r="HJZ1" s="253"/>
      <c r="HKA1" s="253"/>
      <c r="HKB1" s="253"/>
      <c r="HKC1" s="252"/>
      <c r="HKD1" s="253"/>
      <c r="HKE1" s="253"/>
      <c r="HKF1" s="253"/>
      <c r="HKG1" s="252"/>
      <c r="HKH1" s="253"/>
      <c r="HKI1" s="253"/>
      <c r="HKJ1" s="253"/>
      <c r="HKK1" s="252"/>
      <c r="HKL1" s="253"/>
      <c r="HKM1" s="253"/>
      <c r="HKN1" s="253"/>
      <c r="HKO1" s="252"/>
      <c r="HKP1" s="253"/>
      <c r="HKQ1" s="253"/>
      <c r="HKR1" s="253"/>
      <c r="HKS1" s="252"/>
      <c r="HKT1" s="253"/>
      <c r="HKU1" s="253"/>
      <c r="HKV1" s="253"/>
      <c r="HKW1" s="252"/>
      <c r="HKX1" s="253"/>
      <c r="HKY1" s="253"/>
      <c r="HKZ1" s="253"/>
      <c r="HLA1" s="252"/>
      <c r="HLB1" s="253"/>
      <c r="HLC1" s="253"/>
      <c r="HLD1" s="253"/>
      <c r="HLE1" s="252"/>
      <c r="HLF1" s="253"/>
      <c r="HLG1" s="253"/>
      <c r="HLH1" s="253"/>
      <c r="HLI1" s="252"/>
      <c r="HLJ1" s="253"/>
      <c r="HLK1" s="253"/>
      <c r="HLL1" s="253"/>
      <c r="HLM1" s="252"/>
      <c r="HLN1" s="253"/>
      <c r="HLO1" s="253"/>
      <c r="HLP1" s="253"/>
      <c r="HLQ1" s="252"/>
      <c r="HLR1" s="253"/>
      <c r="HLS1" s="253"/>
      <c r="HLT1" s="253"/>
      <c r="HLU1" s="252"/>
      <c r="HLV1" s="253"/>
      <c r="HLW1" s="253"/>
      <c r="HLX1" s="253"/>
      <c r="HLY1" s="252"/>
      <c r="HLZ1" s="253"/>
      <c r="HMA1" s="253"/>
      <c r="HMB1" s="253"/>
      <c r="HMC1" s="252"/>
      <c r="HMD1" s="253"/>
      <c r="HME1" s="253"/>
      <c r="HMF1" s="253"/>
      <c r="HMG1" s="252"/>
      <c r="HMH1" s="253"/>
      <c r="HMI1" s="253"/>
      <c r="HMJ1" s="253"/>
      <c r="HMK1" s="252"/>
      <c r="HML1" s="253"/>
      <c r="HMM1" s="253"/>
      <c r="HMN1" s="253"/>
      <c r="HMO1" s="252"/>
      <c r="HMP1" s="253"/>
      <c r="HMQ1" s="253"/>
      <c r="HMR1" s="253"/>
      <c r="HMS1" s="252"/>
      <c r="HMT1" s="253"/>
      <c r="HMU1" s="253"/>
      <c r="HMV1" s="253"/>
      <c r="HMW1" s="252"/>
      <c r="HMX1" s="253"/>
      <c r="HMY1" s="253"/>
      <c r="HMZ1" s="253"/>
      <c r="HNA1" s="252"/>
      <c r="HNB1" s="253"/>
      <c r="HNC1" s="253"/>
      <c r="HND1" s="253"/>
      <c r="HNE1" s="252"/>
      <c r="HNF1" s="253"/>
      <c r="HNG1" s="253"/>
      <c r="HNH1" s="253"/>
      <c r="HNI1" s="252"/>
      <c r="HNJ1" s="253"/>
      <c r="HNK1" s="253"/>
      <c r="HNL1" s="253"/>
      <c r="HNM1" s="252"/>
      <c r="HNN1" s="253"/>
      <c r="HNO1" s="253"/>
      <c r="HNP1" s="253"/>
      <c r="HNQ1" s="252"/>
      <c r="HNR1" s="253"/>
      <c r="HNS1" s="253"/>
      <c r="HNT1" s="253"/>
      <c r="HNU1" s="252"/>
      <c r="HNV1" s="253"/>
      <c r="HNW1" s="253"/>
      <c r="HNX1" s="253"/>
      <c r="HNY1" s="252"/>
      <c r="HNZ1" s="253"/>
      <c r="HOA1" s="253"/>
      <c r="HOB1" s="253"/>
      <c r="HOC1" s="252"/>
      <c r="HOD1" s="253"/>
      <c r="HOE1" s="253"/>
      <c r="HOF1" s="253"/>
      <c r="HOG1" s="252"/>
      <c r="HOH1" s="253"/>
      <c r="HOI1" s="253"/>
      <c r="HOJ1" s="253"/>
      <c r="HOK1" s="252"/>
      <c r="HOL1" s="253"/>
      <c r="HOM1" s="253"/>
      <c r="HON1" s="253"/>
      <c r="HOO1" s="252"/>
      <c r="HOP1" s="253"/>
      <c r="HOQ1" s="253"/>
      <c r="HOR1" s="253"/>
      <c r="HOS1" s="252"/>
      <c r="HOT1" s="253"/>
      <c r="HOU1" s="253"/>
      <c r="HOV1" s="253"/>
      <c r="HOW1" s="252"/>
      <c r="HOX1" s="253"/>
      <c r="HOY1" s="253"/>
      <c r="HOZ1" s="253"/>
      <c r="HPA1" s="252"/>
      <c r="HPB1" s="253"/>
      <c r="HPC1" s="253"/>
      <c r="HPD1" s="253"/>
      <c r="HPE1" s="252"/>
      <c r="HPF1" s="253"/>
      <c r="HPG1" s="253"/>
      <c r="HPH1" s="253"/>
      <c r="HPI1" s="252"/>
      <c r="HPJ1" s="253"/>
      <c r="HPK1" s="253"/>
      <c r="HPL1" s="253"/>
      <c r="HPM1" s="252"/>
      <c r="HPN1" s="253"/>
      <c r="HPO1" s="253"/>
      <c r="HPP1" s="253"/>
      <c r="HPQ1" s="252"/>
      <c r="HPR1" s="253"/>
      <c r="HPS1" s="253"/>
      <c r="HPT1" s="253"/>
      <c r="HPU1" s="252"/>
      <c r="HPV1" s="253"/>
      <c r="HPW1" s="253"/>
      <c r="HPX1" s="253"/>
      <c r="HPY1" s="252"/>
      <c r="HPZ1" s="253"/>
      <c r="HQA1" s="253"/>
      <c r="HQB1" s="253"/>
      <c r="HQC1" s="252"/>
      <c r="HQD1" s="253"/>
      <c r="HQE1" s="253"/>
      <c r="HQF1" s="253"/>
      <c r="HQG1" s="252"/>
      <c r="HQH1" s="253"/>
      <c r="HQI1" s="253"/>
      <c r="HQJ1" s="253"/>
      <c r="HQK1" s="252"/>
      <c r="HQL1" s="253"/>
      <c r="HQM1" s="253"/>
      <c r="HQN1" s="253"/>
      <c r="HQO1" s="252"/>
      <c r="HQP1" s="253"/>
      <c r="HQQ1" s="253"/>
      <c r="HQR1" s="253"/>
      <c r="HQS1" s="252"/>
      <c r="HQT1" s="253"/>
      <c r="HQU1" s="253"/>
      <c r="HQV1" s="253"/>
      <c r="HQW1" s="252"/>
      <c r="HQX1" s="253"/>
      <c r="HQY1" s="253"/>
      <c r="HQZ1" s="253"/>
      <c r="HRA1" s="252"/>
      <c r="HRB1" s="253"/>
      <c r="HRC1" s="253"/>
      <c r="HRD1" s="253"/>
      <c r="HRE1" s="252"/>
      <c r="HRF1" s="253"/>
      <c r="HRG1" s="253"/>
      <c r="HRH1" s="253"/>
      <c r="HRI1" s="252"/>
      <c r="HRJ1" s="253"/>
      <c r="HRK1" s="253"/>
      <c r="HRL1" s="253"/>
      <c r="HRM1" s="252"/>
      <c r="HRN1" s="253"/>
      <c r="HRO1" s="253"/>
      <c r="HRP1" s="253"/>
      <c r="HRQ1" s="252"/>
      <c r="HRR1" s="253"/>
      <c r="HRS1" s="253"/>
      <c r="HRT1" s="253"/>
      <c r="HRU1" s="252"/>
      <c r="HRV1" s="253"/>
      <c r="HRW1" s="253"/>
      <c r="HRX1" s="253"/>
      <c r="HRY1" s="252"/>
      <c r="HRZ1" s="253"/>
      <c r="HSA1" s="253"/>
      <c r="HSB1" s="253"/>
      <c r="HSC1" s="252"/>
      <c r="HSD1" s="253"/>
      <c r="HSE1" s="253"/>
      <c r="HSF1" s="253"/>
      <c r="HSG1" s="252"/>
      <c r="HSH1" s="253"/>
      <c r="HSI1" s="253"/>
      <c r="HSJ1" s="253"/>
      <c r="HSK1" s="252"/>
      <c r="HSL1" s="253"/>
      <c r="HSM1" s="253"/>
      <c r="HSN1" s="253"/>
      <c r="HSO1" s="252"/>
      <c r="HSP1" s="253"/>
      <c r="HSQ1" s="253"/>
      <c r="HSR1" s="253"/>
      <c r="HSS1" s="252"/>
      <c r="HST1" s="253"/>
      <c r="HSU1" s="253"/>
      <c r="HSV1" s="253"/>
      <c r="HSW1" s="252"/>
      <c r="HSX1" s="253"/>
      <c r="HSY1" s="253"/>
      <c r="HSZ1" s="253"/>
      <c r="HTA1" s="252"/>
      <c r="HTB1" s="253"/>
      <c r="HTC1" s="253"/>
      <c r="HTD1" s="253"/>
      <c r="HTE1" s="252"/>
      <c r="HTF1" s="253"/>
      <c r="HTG1" s="253"/>
      <c r="HTH1" s="253"/>
      <c r="HTI1" s="252"/>
      <c r="HTJ1" s="253"/>
      <c r="HTK1" s="253"/>
      <c r="HTL1" s="253"/>
      <c r="HTM1" s="252"/>
      <c r="HTN1" s="253"/>
      <c r="HTO1" s="253"/>
      <c r="HTP1" s="253"/>
      <c r="HTQ1" s="252"/>
      <c r="HTR1" s="253"/>
      <c r="HTS1" s="253"/>
      <c r="HTT1" s="253"/>
      <c r="HTU1" s="252"/>
      <c r="HTV1" s="253"/>
      <c r="HTW1" s="253"/>
      <c r="HTX1" s="253"/>
      <c r="HTY1" s="252"/>
      <c r="HTZ1" s="253"/>
      <c r="HUA1" s="253"/>
      <c r="HUB1" s="253"/>
      <c r="HUC1" s="252"/>
      <c r="HUD1" s="253"/>
      <c r="HUE1" s="253"/>
      <c r="HUF1" s="253"/>
      <c r="HUG1" s="252"/>
      <c r="HUH1" s="253"/>
      <c r="HUI1" s="253"/>
      <c r="HUJ1" s="253"/>
      <c r="HUK1" s="252"/>
      <c r="HUL1" s="253"/>
      <c r="HUM1" s="253"/>
      <c r="HUN1" s="253"/>
      <c r="HUO1" s="252"/>
      <c r="HUP1" s="253"/>
      <c r="HUQ1" s="253"/>
      <c r="HUR1" s="253"/>
      <c r="HUS1" s="252"/>
      <c r="HUT1" s="253"/>
      <c r="HUU1" s="253"/>
      <c r="HUV1" s="253"/>
      <c r="HUW1" s="252"/>
      <c r="HUX1" s="253"/>
      <c r="HUY1" s="253"/>
      <c r="HUZ1" s="253"/>
      <c r="HVA1" s="252"/>
      <c r="HVB1" s="253"/>
      <c r="HVC1" s="253"/>
      <c r="HVD1" s="253"/>
      <c r="HVE1" s="252"/>
      <c r="HVF1" s="253"/>
      <c r="HVG1" s="253"/>
      <c r="HVH1" s="253"/>
      <c r="HVI1" s="252"/>
      <c r="HVJ1" s="253"/>
      <c r="HVK1" s="253"/>
      <c r="HVL1" s="253"/>
      <c r="HVM1" s="252"/>
      <c r="HVN1" s="253"/>
      <c r="HVO1" s="253"/>
      <c r="HVP1" s="253"/>
      <c r="HVQ1" s="252"/>
      <c r="HVR1" s="253"/>
      <c r="HVS1" s="253"/>
      <c r="HVT1" s="253"/>
      <c r="HVU1" s="252"/>
      <c r="HVV1" s="253"/>
      <c r="HVW1" s="253"/>
      <c r="HVX1" s="253"/>
      <c r="HVY1" s="252"/>
      <c r="HVZ1" s="253"/>
      <c r="HWA1" s="253"/>
      <c r="HWB1" s="253"/>
      <c r="HWC1" s="252"/>
      <c r="HWD1" s="253"/>
      <c r="HWE1" s="253"/>
      <c r="HWF1" s="253"/>
      <c r="HWG1" s="252"/>
      <c r="HWH1" s="253"/>
      <c r="HWI1" s="253"/>
      <c r="HWJ1" s="253"/>
      <c r="HWK1" s="252"/>
      <c r="HWL1" s="253"/>
      <c r="HWM1" s="253"/>
      <c r="HWN1" s="253"/>
      <c r="HWO1" s="252"/>
      <c r="HWP1" s="253"/>
      <c r="HWQ1" s="253"/>
      <c r="HWR1" s="253"/>
      <c r="HWS1" s="252"/>
      <c r="HWT1" s="253"/>
      <c r="HWU1" s="253"/>
      <c r="HWV1" s="253"/>
      <c r="HWW1" s="252"/>
      <c r="HWX1" s="253"/>
      <c r="HWY1" s="253"/>
      <c r="HWZ1" s="253"/>
      <c r="HXA1" s="252"/>
      <c r="HXB1" s="253"/>
      <c r="HXC1" s="253"/>
      <c r="HXD1" s="253"/>
      <c r="HXE1" s="252"/>
      <c r="HXF1" s="253"/>
      <c r="HXG1" s="253"/>
      <c r="HXH1" s="253"/>
      <c r="HXI1" s="252"/>
      <c r="HXJ1" s="253"/>
      <c r="HXK1" s="253"/>
      <c r="HXL1" s="253"/>
      <c r="HXM1" s="252"/>
      <c r="HXN1" s="253"/>
      <c r="HXO1" s="253"/>
      <c r="HXP1" s="253"/>
      <c r="HXQ1" s="252"/>
      <c r="HXR1" s="253"/>
      <c r="HXS1" s="253"/>
      <c r="HXT1" s="253"/>
      <c r="HXU1" s="252"/>
      <c r="HXV1" s="253"/>
      <c r="HXW1" s="253"/>
      <c r="HXX1" s="253"/>
      <c r="HXY1" s="252"/>
      <c r="HXZ1" s="253"/>
      <c r="HYA1" s="253"/>
      <c r="HYB1" s="253"/>
      <c r="HYC1" s="252"/>
      <c r="HYD1" s="253"/>
      <c r="HYE1" s="253"/>
      <c r="HYF1" s="253"/>
      <c r="HYG1" s="252"/>
      <c r="HYH1" s="253"/>
      <c r="HYI1" s="253"/>
      <c r="HYJ1" s="253"/>
      <c r="HYK1" s="252"/>
      <c r="HYL1" s="253"/>
      <c r="HYM1" s="253"/>
      <c r="HYN1" s="253"/>
      <c r="HYO1" s="252"/>
      <c r="HYP1" s="253"/>
      <c r="HYQ1" s="253"/>
      <c r="HYR1" s="253"/>
      <c r="HYS1" s="252"/>
      <c r="HYT1" s="253"/>
      <c r="HYU1" s="253"/>
      <c r="HYV1" s="253"/>
      <c r="HYW1" s="252"/>
      <c r="HYX1" s="253"/>
      <c r="HYY1" s="253"/>
      <c r="HYZ1" s="253"/>
      <c r="HZA1" s="252"/>
      <c r="HZB1" s="253"/>
      <c r="HZC1" s="253"/>
      <c r="HZD1" s="253"/>
      <c r="HZE1" s="252"/>
      <c r="HZF1" s="253"/>
      <c r="HZG1" s="253"/>
      <c r="HZH1" s="253"/>
      <c r="HZI1" s="252"/>
      <c r="HZJ1" s="253"/>
      <c r="HZK1" s="253"/>
      <c r="HZL1" s="253"/>
      <c r="HZM1" s="252"/>
      <c r="HZN1" s="253"/>
      <c r="HZO1" s="253"/>
      <c r="HZP1" s="253"/>
      <c r="HZQ1" s="252"/>
      <c r="HZR1" s="253"/>
      <c r="HZS1" s="253"/>
      <c r="HZT1" s="253"/>
      <c r="HZU1" s="252"/>
      <c r="HZV1" s="253"/>
      <c r="HZW1" s="253"/>
      <c r="HZX1" s="253"/>
      <c r="HZY1" s="252"/>
      <c r="HZZ1" s="253"/>
      <c r="IAA1" s="253"/>
      <c r="IAB1" s="253"/>
      <c r="IAC1" s="252"/>
      <c r="IAD1" s="253"/>
      <c r="IAE1" s="253"/>
      <c r="IAF1" s="253"/>
      <c r="IAG1" s="252"/>
      <c r="IAH1" s="253"/>
      <c r="IAI1" s="253"/>
      <c r="IAJ1" s="253"/>
      <c r="IAK1" s="252"/>
      <c r="IAL1" s="253"/>
      <c r="IAM1" s="253"/>
      <c r="IAN1" s="253"/>
      <c r="IAO1" s="252"/>
      <c r="IAP1" s="253"/>
      <c r="IAQ1" s="253"/>
      <c r="IAR1" s="253"/>
      <c r="IAS1" s="252"/>
      <c r="IAT1" s="253"/>
      <c r="IAU1" s="253"/>
      <c r="IAV1" s="253"/>
      <c r="IAW1" s="252"/>
      <c r="IAX1" s="253"/>
      <c r="IAY1" s="253"/>
      <c r="IAZ1" s="253"/>
      <c r="IBA1" s="252"/>
      <c r="IBB1" s="253"/>
      <c r="IBC1" s="253"/>
      <c r="IBD1" s="253"/>
      <c r="IBE1" s="252"/>
      <c r="IBF1" s="253"/>
      <c r="IBG1" s="253"/>
      <c r="IBH1" s="253"/>
      <c r="IBI1" s="252"/>
      <c r="IBJ1" s="253"/>
      <c r="IBK1" s="253"/>
      <c r="IBL1" s="253"/>
      <c r="IBM1" s="252"/>
      <c r="IBN1" s="253"/>
      <c r="IBO1" s="253"/>
      <c r="IBP1" s="253"/>
      <c r="IBQ1" s="252"/>
      <c r="IBR1" s="253"/>
      <c r="IBS1" s="253"/>
      <c r="IBT1" s="253"/>
      <c r="IBU1" s="252"/>
      <c r="IBV1" s="253"/>
      <c r="IBW1" s="253"/>
      <c r="IBX1" s="253"/>
      <c r="IBY1" s="252"/>
      <c r="IBZ1" s="253"/>
      <c r="ICA1" s="253"/>
      <c r="ICB1" s="253"/>
      <c r="ICC1" s="252"/>
      <c r="ICD1" s="253"/>
      <c r="ICE1" s="253"/>
      <c r="ICF1" s="253"/>
      <c r="ICG1" s="252"/>
      <c r="ICH1" s="253"/>
      <c r="ICI1" s="253"/>
      <c r="ICJ1" s="253"/>
      <c r="ICK1" s="252"/>
      <c r="ICL1" s="253"/>
      <c r="ICM1" s="253"/>
      <c r="ICN1" s="253"/>
      <c r="ICO1" s="252"/>
      <c r="ICP1" s="253"/>
      <c r="ICQ1" s="253"/>
      <c r="ICR1" s="253"/>
      <c r="ICS1" s="252"/>
      <c r="ICT1" s="253"/>
      <c r="ICU1" s="253"/>
      <c r="ICV1" s="253"/>
      <c r="ICW1" s="252"/>
      <c r="ICX1" s="253"/>
      <c r="ICY1" s="253"/>
      <c r="ICZ1" s="253"/>
      <c r="IDA1" s="252"/>
      <c r="IDB1" s="253"/>
      <c r="IDC1" s="253"/>
      <c r="IDD1" s="253"/>
      <c r="IDE1" s="252"/>
      <c r="IDF1" s="253"/>
      <c r="IDG1" s="253"/>
      <c r="IDH1" s="253"/>
      <c r="IDI1" s="252"/>
      <c r="IDJ1" s="253"/>
      <c r="IDK1" s="253"/>
      <c r="IDL1" s="253"/>
      <c r="IDM1" s="252"/>
      <c r="IDN1" s="253"/>
      <c r="IDO1" s="253"/>
      <c r="IDP1" s="253"/>
      <c r="IDQ1" s="252"/>
      <c r="IDR1" s="253"/>
      <c r="IDS1" s="253"/>
      <c r="IDT1" s="253"/>
      <c r="IDU1" s="252"/>
      <c r="IDV1" s="253"/>
      <c r="IDW1" s="253"/>
      <c r="IDX1" s="253"/>
      <c r="IDY1" s="252"/>
      <c r="IDZ1" s="253"/>
      <c r="IEA1" s="253"/>
      <c r="IEB1" s="253"/>
      <c r="IEC1" s="252"/>
      <c r="IED1" s="253"/>
      <c r="IEE1" s="253"/>
      <c r="IEF1" s="253"/>
      <c r="IEG1" s="252"/>
      <c r="IEH1" s="253"/>
      <c r="IEI1" s="253"/>
      <c r="IEJ1" s="253"/>
      <c r="IEK1" s="252"/>
      <c r="IEL1" s="253"/>
      <c r="IEM1" s="253"/>
      <c r="IEN1" s="253"/>
      <c r="IEO1" s="252"/>
      <c r="IEP1" s="253"/>
      <c r="IEQ1" s="253"/>
      <c r="IER1" s="253"/>
      <c r="IES1" s="252"/>
      <c r="IET1" s="253"/>
      <c r="IEU1" s="253"/>
      <c r="IEV1" s="253"/>
      <c r="IEW1" s="252"/>
      <c r="IEX1" s="253"/>
      <c r="IEY1" s="253"/>
      <c r="IEZ1" s="253"/>
      <c r="IFA1" s="252"/>
      <c r="IFB1" s="253"/>
      <c r="IFC1" s="253"/>
      <c r="IFD1" s="253"/>
      <c r="IFE1" s="252"/>
      <c r="IFF1" s="253"/>
      <c r="IFG1" s="253"/>
      <c r="IFH1" s="253"/>
      <c r="IFI1" s="252"/>
      <c r="IFJ1" s="253"/>
      <c r="IFK1" s="253"/>
      <c r="IFL1" s="253"/>
      <c r="IFM1" s="252"/>
      <c r="IFN1" s="253"/>
      <c r="IFO1" s="253"/>
      <c r="IFP1" s="253"/>
      <c r="IFQ1" s="252"/>
      <c r="IFR1" s="253"/>
      <c r="IFS1" s="253"/>
      <c r="IFT1" s="253"/>
      <c r="IFU1" s="252"/>
      <c r="IFV1" s="253"/>
      <c r="IFW1" s="253"/>
      <c r="IFX1" s="253"/>
      <c r="IFY1" s="252"/>
      <c r="IFZ1" s="253"/>
      <c r="IGA1" s="253"/>
      <c r="IGB1" s="253"/>
      <c r="IGC1" s="252"/>
      <c r="IGD1" s="253"/>
      <c r="IGE1" s="253"/>
      <c r="IGF1" s="253"/>
      <c r="IGG1" s="252"/>
      <c r="IGH1" s="253"/>
      <c r="IGI1" s="253"/>
      <c r="IGJ1" s="253"/>
      <c r="IGK1" s="252"/>
      <c r="IGL1" s="253"/>
      <c r="IGM1" s="253"/>
      <c r="IGN1" s="253"/>
      <c r="IGO1" s="252"/>
      <c r="IGP1" s="253"/>
      <c r="IGQ1" s="253"/>
      <c r="IGR1" s="253"/>
      <c r="IGS1" s="252"/>
      <c r="IGT1" s="253"/>
      <c r="IGU1" s="253"/>
      <c r="IGV1" s="253"/>
      <c r="IGW1" s="252"/>
      <c r="IGX1" s="253"/>
      <c r="IGY1" s="253"/>
      <c r="IGZ1" s="253"/>
      <c r="IHA1" s="252"/>
      <c r="IHB1" s="253"/>
      <c r="IHC1" s="253"/>
      <c r="IHD1" s="253"/>
      <c r="IHE1" s="252"/>
      <c r="IHF1" s="253"/>
      <c r="IHG1" s="253"/>
      <c r="IHH1" s="253"/>
      <c r="IHI1" s="252"/>
      <c r="IHJ1" s="253"/>
      <c r="IHK1" s="253"/>
      <c r="IHL1" s="253"/>
      <c r="IHM1" s="252"/>
      <c r="IHN1" s="253"/>
      <c r="IHO1" s="253"/>
      <c r="IHP1" s="253"/>
      <c r="IHQ1" s="252"/>
      <c r="IHR1" s="253"/>
      <c r="IHS1" s="253"/>
      <c r="IHT1" s="253"/>
      <c r="IHU1" s="252"/>
      <c r="IHV1" s="253"/>
      <c r="IHW1" s="253"/>
      <c r="IHX1" s="253"/>
      <c r="IHY1" s="252"/>
      <c r="IHZ1" s="253"/>
      <c r="IIA1" s="253"/>
      <c r="IIB1" s="253"/>
      <c r="IIC1" s="252"/>
      <c r="IID1" s="253"/>
      <c r="IIE1" s="253"/>
      <c r="IIF1" s="253"/>
      <c r="IIG1" s="252"/>
      <c r="IIH1" s="253"/>
      <c r="III1" s="253"/>
      <c r="IIJ1" s="253"/>
      <c r="IIK1" s="252"/>
      <c r="IIL1" s="253"/>
      <c r="IIM1" s="253"/>
      <c r="IIN1" s="253"/>
      <c r="IIO1" s="252"/>
      <c r="IIP1" s="253"/>
      <c r="IIQ1" s="253"/>
      <c r="IIR1" s="253"/>
      <c r="IIS1" s="252"/>
      <c r="IIT1" s="253"/>
      <c r="IIU1" s="253"/>
      <c r="IIV1" s="253"/>
      <c r="IIW1" s="252"/>
      <c r="IIX1" s="253"/>
      <c r="IIY1" s="253"/>
      <c r="IIZ1" s="253"/>
      <c r="IJA1" s="252"/>
      <c r="IJB1" s="253"/>
      <c r="IJC1" s="253"/>
      <c r="IJD1" s="253"/>
      <c r="IJE1" s="252"/>
      <c r="IJF1" s="253"/>
      <c r="IJG1" s="253"/>
      <c r="IJH1" s="253"/>
      <c r="IJI1" s="252"/>
      <c r="IJJ1" s="253"/>
      <c r="IJK1" s="253"/>
      <c r="IJL1" s="253"/>
      <c r="IJM1" s="252"/>
      <c r="IJN1" s="253"/>
      <c r="IJO1" s="253"/>
      <c r="IJP1" s="253"/>
      <c r="IJQ1" s="252"/>
      <c r="IJR1" s="253"/>
      <c r="IJS1" s="253"/>
      <c r="IJT1" s="253"/>
      <c r="IJU1" s="252"/>
      <c r="IJV1" s="253"/>
      <c r="IJW1" s="253"/>
      <c r="IJX1" s="253"/>
      <c r="IJY1" s="252"/>
      <c r="IJZ1" s="253"/>
      <c r="IKA1" s="253"/>
      <c r="IKB1" s="253"/>
      <c r="IKC1" s="252"/>
      <c r="IKD1" s="253"/>
      <c r="IKE1" s="253"/>
      <c r="IKF1" s="253"/>
      <c r="IKG1" s="252"/>
      <c r="IKH1" s="253"/>
      <c r="IKI1" s="253"/>
      <c r="IKJ1" s="253"/>
      <c r="IKK1" s="252"/>
      <c r="IKL1" s="253"/>
      <c r="IKM1" s="253"/>
      <c r="IKN1" s="253"/>
      <c r="IKO1" s="252"/>
      <c r="IKP1" s="253"/>
      <c r="IKQ1" s="253"/>
      <c r="IKR1" s="253"/>
      <c r="IKS1" s="252"/>
      <c r="IKT1" s="253"/>
      <c r="IKU1" s="253"/>
      <c r="IKV1" s="253"/>
      <c r="IKW1" s="252"/>
      <c r="IKX1" s="253"/>
      <c r="IKY1" s="253"/>
      <c r="IKZ1" s="253"/>
      <c r="ILA1" s="252"/>
      <c r="ILB1" s="253"/>
      <c r="ILC1" s="253"/>
      <c r="ILD1" s="253"/>
      <c r="ILE1" s="252"/>
      <c r="ILF1" s="253"/>
      <c r="ILG1" s="253"/>
      <c r="ILH1" s="253"/>
      <c r="ILI1" s="252"/>
      <c r="ILJ1" s="253"/>
      <c r="ILK1" s="253"/>
      <c r="ILL1" s="253"/>
      <c r="ILM1" s="252"/>
      <c r="ILN1" s="253"/>
      <c r="ILO1" s="253"/>
      <c r="ILP1" s="253"/>
      <c r="ILQ1" s="252"/>
      <c r="ILR1" s="253"/>
      <c r="ILS1" s="253"/>
      <c r="ILT1" s="253"/>
      <c r="ILU1" s="252"/>
      <c r="ILV1" s="253"/>
      <c r="ILW1" s="253"/>
      <c r="ILX1" s="253"/>
      <c r="ILY1" s="252"/>
      <c r="ILZ1" s="253"/>
      <c r="IMA1" s="253"/>
      <c r="IMB1" s="253"/>
      <c r="IMC1" s="252"/>
      <c r="IMD1" s="253"/>
      <c r="IME1" s="253"/>
      <c r="IMF1" s="253"/>
      <c r="IMG1" s="252"/>
      <c r="IMH1" s="253"/>
      <c r="IMI1" s="253"/>
      <c r="IMJ1" s="253"/>
      <c r="IMK1" s="252"/>
      <c r="IML1" s="253"/>
      <c r="IMM1" s="253"/>
      <c r="IMN1" s="253"/>
      <c r="IMO1" s="252"/>
      <c r="IMP1" s="253"/>
      <c r="IMQ1" s="253"/>
      <c r="IMR1" s="253"/>
      <c r="IMS1" s="252"/>
      <c r="IMT1" s="253"/>
      <c r="IMU1" s="253"/>
      <c r="IMV1" s="253"/>
      <c r="IMW1" s="252"/>
      <c r="IMX1" s="253"/>
      <c r="IMY1" s="253"/>
      <c r="IMZ1" s="253"/>
      <c r="INA1" s="252"/>
      <c r="INB1" s="253"/>
      <c r="INC1" s="253"/>
      <c r="IND1" s="253"/>
      <c r="INE1" s="252"/>
      <c r="INF1" s="253"/>
      <c r="ING1" s="253"/>
      <c r="INH1" s="253"/>
      <c r="INI1" s="252"/>
      <c r="INJ1" s="253"/>
      <c r="INK1" s="253"/>
      <c r="INL1" s="253"/>
      <c r="INM1" s="252"/>
      <c r="INN1" s="253"/>
      <c r="INO1" s="253"/>
      <c r="INP1" s="253"/>
      <c r="INQ1" s="252"/>
      <c r="INR1" s="253"/>
      <c r="INS1" s="253"/>
      <c r="INT1" s="253"/>
      <c r="INU1" s="252"/>
      <c r="INV1" s="253"/>
      <c r="INW1" s="253"/>
      <c r="INX1" s="253"/>
      <c r="INY1" s="252"/>
      <c r="INZ1" s="253"/>
      <c r="IOA1" s="253"/>
      <c r="IOB1" s="253"/>
      <c r="IOC1" s="252"/>
      <c r="IOD1" s="253"/>
      <c r="IOE1" s="253"/>
      <c r="IOF1" s="253"/>
      <c r="IOG1" s="252"/>
      <c r="IOH1" s="253"/>
      <c r="IOI1" s="253"/>
      <c r="IOJ1" s="253"/>
      <c r="IOK1" s="252"/>
      <c r="IOL1" s="253"/>
      <c r="IOM1" s="253"/>
      <c r="ION1" s="253"/>
      <c r="IOO1" s="252"/>
      <c r="IOP1" s="253"/>
      <c r="IOQ1" s="253"/>
      <c r="IOR1" s="253"/>
      <c r="IOS1" s="252"/>
      <c r="IOT1" s="253"/>
      <c r="IOU1" s="253"/>
      <c r="IOV1" s="253"/>
      <c r="IOW1" s="252"/>
      <c r="IOX1" s="253"/>
      <c r="IOY1" s="253"/>
      <c r="IOZ1" s="253"/>
      <c r="IPA1" s="252"/>
      <c r="IPB1" s="253"/>
      <c r="IPC1" s="253"/>
      <c r="IPD1" s="253"/>
      <c r="IPE1" s="252"/>
      <c r="IPF1" s="253"/>
      <c r="IPG1" s="253"/>
      <c r="IPH1" s="253"/>
      <c r="IPI1" s="252"/>
      <c r="IPJ1" s="253"/>
      <c r="IPK1" s="253"/>
      <c r="IPL1" s="253"/>
      <c r="IPM1" s="252"/>
      <c r="IPN1" s="253"/>
      <c r="IPO1" s="253"/>
      <c r="IPP1" s="253"/>
      <c r="IPQ1" s="252"/>
      <c r="IPR1" s="253"/>
      <c r="IPS1" s="253"/>
      <c r="IPT1" s="253"/>
      <c r="IPU1" s="252"/>
      <c r="IPV1" s="253"/>
      <c r="IPW1" s="253"/>
      <c r="IPX1" s="253"/>
      <c r="IPY1" s="252"/>
      <c r="IPZ1" s="253"/>
      <c r="IQA1" s="253"/>
      <c r="IQB1" s="253"/>
      <c r="IQC1" s="252"/>
      <c r="IQD1" s="253"/>
      <c r="IQE1" s="253"/>
      <c r="IQF1" s="253"/>
      <c r="IQG1" s="252"/>
      <c r="IQH1" s="253"/>
      <c r="IQI1" s="253"/>
      <c r="IQJ1" s="253"/>
      <c r="IQK1" s="252"/>
      <c r="IQL1" s="253"/>
      <c r="IQM1" s="253"/>
      <c r="IQN1" s="253"/>
      <c r="IQO1" s="252"/>
      <c r="IQP1" s="253"/>
      <c r="IQQ1" s="253"/>
      <c r="IQR1" s="253"/>
      <c r="IQS1" s="252"/>
      <c r="IQT1" s="253"/>
      <c r="IQU1" s="253"/>
      <c r="IQV1" s="253"/>
      <c r="IQW1" s="252"/>
      <c r="IQX1" s="253"/>
      <c r="IQY1" s="253"/>
      <c r="IQZ1" s="253"/>
      <c r="IRA1" s="252"/>
      <c r="IRB1" s="253"/>
      <c r="IRC1" s="253"/>
      <c r="IRD1" s="253"/>
      <c r="IRE1" s="252"/>
      <c r="IRF1" s="253"/>
      <c r="IRG1" s="253"/>
      <c r="IRH1" s="253"/>
      <c r="IRI1" s="252"/>
      <c r="IRJ1" s="253"/>
      <c r="IRK1" s="253"/>
      <c r="IRL1" s="253"/>
      <c r="IRM1" s="252"/>
      <c r="IRN1" s="253"/>
      <c r="IRO1" s="253"/>
      <c r="IRP1" s="253"/>
      <c r="IRQ1" s="252"/>
      <c r="IRR1" s="253"/>
      <c r="IRS1" s="253"/>
      <c r="IRT1" s="253"/>
      <c r="IRU1" s="252"/>
      <c r="IRV1" s="253"/>
      <c r="IRW1" s="253"/>
      <c r="IRX1" s="253"/>
      <c r="IRY1" s="252"/>
      <c r="IRZ1" s="253"/>
      <c r="ISA1" s="253"/>
      <c r="ISB1" s="253"/>
      <c r="ISC1" s="252"/>
      <c r="ISD1" s="253"/>
      <c r="ISE1" s="253"/>
      <c r="ISF1" s="253"/>
      <c r="ISG1" s="252"/>
      <c r="ISH1" s="253"/>
      <c r="ISI1" s="253"/>
      <c r="ISJ1" s="253"/>
      <c r="ISK1" s="252"/>
      <c r="ISL1" s="253"/>
      <c r="ISM1" s="253"/>
      <c r="ISN1" s="253"/>
      <c r="ISO1" s="252"/>
      <c r="ISP1" s="253"/>
      <c r="ISQ1" s="253"/>
      <c r="ISR1" s="253"/>
      <c r="ISS1" s="252"/>
      <c r="IST1" s="253"/>
      <c r="ISU1" s="253"/>
      <c r="ISV1" s="253"/>
      <c r="ISW1" s="252"/>
      <c r="ISX1" s="253"/>
      <c r="ISY1" s="253"/>
      <c r="ISZ1" s="253"/>
      <c r="ITA1" s="252"/>
      <c r="ITB1" s="253"/>
      <c r="ITC1" s="253"/>
      <c r="ITD1" s="253"/>
      <c r="ITE1" s="252"/>
      <c r="ITF1" s="253"/>
      <c r="ITG1" s="253"/>
      <c r="ITH1" s="253"/>
      <c r="ITI1" s="252"/>
      <c r="ITJ1" s="253"/>
      <c r="ITK1" s="253"/>
      <c r="ITL1" s="253"/>
      <c r="ITM1" s="252"/>
      <c r="ITN1" s="253"/>
      <c r="ITO1" s="253"/>
      <c r="ITP1" s="253"/>
      <c r="ITQ1" s="252"/>
      <c r="ITR1" s="253"/>
      <c r="ITS1" s="253"/>
      <c r="ITT1" s="253"/>
      <c r="ITU1" s="252"/>
      <c r="ITV1" s="253"/>
      <c r="ITW1" s="253"/>
      <c r="ITX1" s="253"/>
      <c r="ITY1" s="252"/>
      <c r="ITZ1" s="253"/>
      <c r="IUA1" s="253"/>
      <c r="IUB1" s="253"/>
      <c r="IUC1" s="252"/>
      <c r="IUD1" s="253"/>
      <c r="IUE1" s="253"/>
      <c r="IUF1" s="253"/>
      <c r="IUG1" s="252"/>
      <c r="IUH1" s="253"/>
      <c r="IUI1" s="253"/>
      <c r="IUJ1" s="253"/>
      <c r="IUK1" s="252"/>
      <c r="IUL1" s="253"/>
      <c r="IUM1" s="253"/>
      <c r="IUN1" s="253"/>
      <c r="IUO1" s="252"/>
      <c r="IUP1" s="253"/>
      <c r="IUQ1" s="253"/>
      <c r="IUR1" s="253"/>
      <c r="IUS1" s="252"/>
      <c r="IUT1" s="253"/>
      <c r="IUU1" s="253"/>
      <c r="IUV1" s="253"/>
      <c r="IUW1" s="252"/>
      <c r="IUX1" s="253"/>
      <c r="IUY1" s="253"/>
      <c r="IUZ1" s="253"/>
      <c r="IVA1" s="252"/>
      <c r="IVB1" s="253"/>
      <c r="IVC1" s="253"/>
      <c r="IVD1" s="253"/>
      <c r="IVE1" s="252"/>
      <c r="IVF1" s="253"/>
      <c r="IVG1" s="253"/>
      <c r="IVH1" s="253"/>
      <c r="IVI1" s="252"/>
      <c r="IVJ1" s="253"/>
      <c r="IVK1" s="253"/>
      <c r="IVL1" s="253"/>
      <c r="IVM1" s="252"/>
      <c r="IVN1" s="253"/>
      <c r="IVO1" s="253"/>
      <c r="IVP1" s="253"/>
      <c r="IVQ1" s="252"/>
      <c r="IVR1" s="253"/>
      <c r="IVS1" s="253"/>
      <c r="IVT1" s="253"/>
      <c r="IVU1" s="252"/>
      <c r="IVV1" s="253"/>
      <c r="IVW1" s="253"/>
      <c r="IVX1" s="253"/>
      <c r="IVY1" s="252"/>
      <c r="IVZ1" s="253"/>
      <c r="IWA1" s="253"/>
      <c r="IWB1" s="253"/>
      <c r="IWC1" s="252"/>
      <c r="IWD1" s="253"/>
      <c r="IWE1" s="253"/>
      <c r="IWF1" s="253"/>
      <c r="IWG1" s="252"/>
      <c r="IWH1" s="253"/>
      <c r="IWI1" s="253"/>
      <c r="IWJ1" s="253"/>
      <c r="IWK1" s="252"/>
      <c r="IWL1" s="253"/>
      <c r="IWM1" s="253"/>
      <c r="IWN1" s="253"/>
      <c r="IWO1" s="252"/>
      <c r="IWP1" s="253"/>
      <c r="IWQ1" s="253"/>
      <c r="IWR1" s="253"/>
      <c r="IWS1" s="252"/>
      <c r="IWT1" s="253"/>
      <c r="IWU1" s="253"/>
      <c r="IWV1" s="253"/>
      <c r="IWW1" s="252"/>
      <c r="IWX1" s="253"/>
      <c r="IWY1" s="253"/>
      <c r="IWZ1" s="253"/>
      <c r="IXA1" s="252"/>
      <c r="IXB1" s="253"/>
      <c r="IXC1" s="253"/>
      <c r="IXD1" s="253"/>
      <c r="IXE1" s="252"/>
      <c r="IXF1" s="253"/>
      <c r="IXG1" s="253"/>
      <c r="IXH1" s="253"/>
      <c r="IXI1" s="252"/>
      <c r="IXJ1" s="253"/>
      <c r="IXK1" s="253"/>
      <c r="IXL1" s="253"/>
      <c r="IXM1" s="252"/>
      <c r="IXN1" s="253"/>
      <c r="IXO1" s="253"/>
      <c r="IXP1" s="253"/>
      <c r="IXQ1" s="252"/>
      <c r="IXR1" s="253"/>
      <c r="IXS1" s="253"/>
      <c r="IXT1" s="253"/>
      <c r="IXU1" s="252"/>
      <c r="IXV1" s="253"/>
      <c r="IXW1" s="253"/>
      <c r="IXX1" s="253"/>
      <c r="IXY1" s="252"/>
      <c r="IXZ1" s="253"/>
      <c r="IYA1" s="253"/>
      <c r="IYB1" s="253"/>
      <c r="IYC1" s="252"/>
      <c r="IYD1" s="253"/>
      <c r="IYE1" s="253"/>
      <c r="IYF1" s="253"/>
      <c r="IYG1" s="252"/>
      <c r="IYH1" s="253"/>
      <c r="IYI1" s="253"/>
      <c r="IYJ1" s="253"/>
      <c r="IYK1" s="252"/>
      <c r="IYL1" s="253"/>
      <c r="IYM1" s="253"/>
      <c r="IYN1" s="253"/>
      <c r="IYO1" s="252"/>
      <c r="IYP1" s="253"/>
      <c r="IYQ1" s="253"/>
      <c r="IYR1" s="253"/>
      <c r="IYS1" s="252"/>
      <c r="IYT1" s="253"/>
      <c r="IYU1" s="253"/>
      <c r="IYV1" s="253"/>
      <c r="IYW1" s="252"/>
      <c r="IYX1" s="253"/>
      <c r="IYY1" s="253"/>
      <c r="IYZ1" s="253"/>
      <c r="IZA1" s="252"/>
      <c r="IZB1" s="253"/>
      <c r="IZC1" s="253"/>
      <c r="IZD1" s="253"/>
      <c r="IZE1" s="252"/>
      <c r="IZF1" s="253"/>
      <c r="IZG1" s="253"/>
      <c r="IZH1" s="253"/>
      <c r="IZI1" s="252"/>
      <c r="IZJ1" s="253"/>
      <c r="IZK1" s="253"/>
      <c r="IZL1" s="253"/>
      <c r="IZM1" s="252"/>
      <c r="IZN1" s="253"/>
      <c r="IZO1" s="253"/>
      <c r="IZP1" s="253"/>
      <c r="IZQ1" s="252"/>
      <c r="IZR1" s="253"/>
      <c r="IZS1" s="253"/>
      <c r="IZT1" s="253"/>
      <c r="IZU1" s="252"/>
      <c r="IZV1" s="253"/>
      <c r="IZW1" s="253"/>
      <c r="IZX1" s="253"/>
      <c r="IZY1" s="252"/>
      <c r="IZZ1" s="253"/>
      <c r="JAA1" s="253"/>
      <c r="JAB1" s="253"/>
      <c r="JAC1" s="252"/>
      <c r="JAD1" s="253"/>
      <c r="JAE1" s="253"/>
      <c r="JAF1" s="253"/>
      <c r="JAG1" s="252"/>
      <c r="JAH1" s="253"/>
      <c r="JAI1" s="253"/>
      <c r="JAJ1" s="253"/>
      <c r="JAK1" s="252"/>
      <c r="JAL1" s="253"/>
      <c r="JAM1" s="253"/>
      <c r="JAN1" s="253"/>
      <c r="JAO1" s="252"/>
      <c r="JAP1" s="253"/>
      <c r="JAQ1" s="253"/>
      <c r="JAR1" s="253"/>
      <c r="JAS1" s="252"/>
      <c r="JAT1" s="253"/>
      <c r="JAU1" s="253"/>
      <c r="JAV1" s="253"/>
      <c r="JAW1" s="252"/>
      <c r="JAX1" s="253"/>
      <c r="JAY1" s="253"/>
      <c r="JAZ1" s="253"/>
      <c r="JBA1" s="252"/>
      <c r="JBB1" s="253"/>
      <c r="JBC1" s="253"/>
      <c r="JBD1" s="253"/>
      <c r="JBE1" s="252"/>
      <c r="JBF1" s="253"/>
      <c r="JBG1" s="253"/>
      <c r="JBH1" s="253"/>
      <c r="JBI1" s="252"/>
      <c r="JBJ1" s="253"/>
      <c r="JBK1" s="253"/>
      <c r="JBL1" s="253"/>
      <c r="JBM1" s="252"/>
      <c r="JBN1" s="253"/>
      <c r="JBO1" s="253"/>
      <c r="JBP1" s="253"/>
      <c r="JBQ1" s="252"/>
      <c r="JBR1" s="253"/>
      <c r="JBS1" s="253"/>
      <c r="JBT1" s="253"/>
      <c r="JBU1" s="252"/>
      <c r="JBV1" s="253"/>
      <c r="JBW1" s="253"/>
      <c r="JBX1" s="253"/>
      <c r="JBY1" s="252"/>
      <c r="JBZ1" s="253"/>
      <c r="JCA1" s="253"/>
      <c r="JCB1" s="253"/>
      <c r="JCC1" s="252"/>
      <c r="JCD1" s="253"/>
      <c r="JCE1" s="253"/>
      <c r="JCF1" s="253"/>
      <c r="JCG1" s="252"/>
      <c r="JCH1" s="253"/>
      <c r="JCI1" s="253"/>
      <c r="JCJ1" s="253"/>
      <c r="JCK1" s="252"/>
      <c r="JCL1" s="253"/>
      <c r="JCM1" s="253"/>
      <c r="JCN1" s="253"/>
      <c r="JCO1" s="252"/>
      <c r="JCP1" s="253"/>
      <c r="JCQ1" s="253"/>
      <c r="JCR1" s="253"/>
      <c r="JCS1" s="252"/>
      <c r="JCT1" s="253"/>
      <c r="JCU1" s="253"/>
      <c r="JCV1" s="253"/>
      <c r="JCW1" s="252"/>
      <c r="JCX1" s="253"/>
      <c r="JCY1" s="253"/>
      <c r="JCZ1" s="253"/>
      <c r="JDA1" s="252"/>
      <c r="JDB1" s="253"/>
      <c r="JDC1" s="253"/>
      <c r="JDD1" s="253"/>
      <c r="JDE1" s="252"/>
      <c r="JDF1" s="253"/>
      <c r="JDG1" s="253"/>
      <c r="JDH1" s="253"/>
      <c r="JDI1" s="252"/>
      <c r="JDJ1" s="253"/>
      <c r="JDK1" s="253"/>
      <c r="JDL1" s="253"/>
      <c r="JDM1" s="252"/>
      <c r="JDN1" s="253"/>
      <c r="JDO1" s="253"/>
      <c r="JDP1" s="253"/>
      <c r="JDQ1" s="252"/>
      <c r="JDR1" s="253"/>
      <c r="JDS1" s="253"/>
      <c r="JDT1" s="253"/>
      <c r="JDU1" s="252"/>
      <c r="JDV1" s="253"/>
      <c r="JDW1" s="253"/>
      <c r="JDX1" s="253"/>
      <c r="JDY1" s="252"/>
      <c r="JDZ1" s="253"/>
      <c r="JEA1" s="253"/>
      <c r="JEB1" s="253"/>
      <c r="JEC1" s="252"/>
      <c r="JED1" s="253"/>
      <c r="JEE1" s="253"/>
      <c r="JEF1" s="253"/>
      <c r="JEG1" s="252"/>
      <c r="JEH1" s="253"/>
      <c r="JEI1" s="253"/>
      <c r="JEJ1" s="253"/>
      <c r="JEK1" s="252"/>
      <c r="JEL1" s="253"/>
      <c r="JEM1" s="253"/>
      <c r="JEN1" s="253"/>
      <c r="JEO1" s="252"/>
      <c r="JEP1" s="253"/>
      <c r="JEQ1" s="253"/>
      <c r="JER1" s="253"/>
      <c r="JES1" s="252"/>
      <c r="JET1" s="253"/>
      <c r="JEU1" s="253"/>
      <c r="JEV1" s="253"/>
      <c r="JEW1" s="252"/>
      <c r="JEX1" s="253"/>
      <c r="JEY1" s="253"/>
      <c r="JEZ1" s="253"/>
      <c r="JFA1" s="252"/>
      <c r="JFB1" s="253"/>
      <c r="JFC1" s="253"/>
      <c r="JFD1" s="253"/>
      <c r="JFE1" s="252"/>
      <c r="JFF1" s="253"/>
      <c r="JFG1" s="253"/>
      <c r="JFH1" s="253"/>
      <c r="JFI1" s="252"/>
      <c r="JFJ1" s="253"/>
      <c r="JFK1" s="253"/>
      <c r="JFL1" s="253"/>
      <c r="JFM1" s="252"/>
      <c r="JFN1" s="253"/>
      <c r="JFO1" s="253"/>
      <c r="JFP1" s="253"/>
      <c r="JFQ1" s="252"/>
      <c r="JFR1" s="253"/>
      <c r="JFS1" s="253"/>
      <c r="JFT1" s="253"/>
      <c r="JFU1" s="252"/>
      <c r="JFV1" s="253"/>
      <c r="JFW1" s="253"/>
      <c r="JFX1" s="253"/>
      <c r="JFY1" s="252"/>
      <c r="JFZ1" s="253"/>
      <c r="JGA1" s="253"/>
      <c r="JGB1" s="253"/>
      <c r="JGC1" s="252"/>
      <c r="JGD1" s="253"/>
      <c r="JGE1" s="253"/>
      <c r="JGF1" s="253"/>
      <c r="JGG1" s="252"/>
      <c r="JGH1" s="253"/>
      <c r="JGI1" s="253"/>
      <c r="JGJ1" s="253"/>
      <c r="JGK1" s="252"/>
      <c r="JGL1" s="253"/>
      <c r="JGM1" s="253"/>
      <c r="JGN1" s="253"/>
      <c r="JGO1" s="252"/>
      <c r="JGP1" s="253"/>
      <c r="JGQ1" s="253"/>
      <c r="JGR1" s="253"/>
      <c r="JGS1" s="252"/>
      <c r="JGT1" s="253"/>
      <c r="JGU1" s="253"/>
      <c r="JGV1" s="253"/>
      <c r="JGW1" s="252"/>
      <c r="JGX1" s="253"/>
      <c r="JGY1" s="253"/>
      <c r="JGZ1" s="253"/>
      <c r="JHA1" s="252"/>
      <c r="JHB1" s="253"/>
      <c r="JHC1" s="253"/>
      <c r="JHD1" s="253"/>
      <c r="JHE1" s="252"/>
      <c r="JHF1" s="253"/>
      <c r="JHG1" s="253"/>
      <c r="JHH1" s="253"/>
      <c r="JHI1" s="252"/>
      <c r="JHJ1" s="253"/>
      <c r="JHK1" s="253"/>
      <c r="JHL1" s="253"/>
      <c r="JHM1" s="252"/>
      <c r="JHN1" s="253"/>
      <c r="JHO1" s="253"/>
      <c r="JHP1" s="253"/>
      <c r="JHQ1" s="252"/>
      <c r="JHR1" s="253"/>
      <c r="JHS1" s="253"/>
      <c r="JHT1" s="253"/>
      <c r="JHU1" s="252"/>
      <c r="JHV1" s="253"/>
      <c r="JHW1" s="253"/>
      <c r="JHX1" s="253"/>
      <c r="JHY1" s="252"/>
      <c r="JHZ1" s="253"/>
      <c r="JIA1" s="253"/>
      <c r="JIB1" s="253"/>
      <c r="JIC1" s="252"/>
      <c r="JID1" s="253"/>
      <c r="JIE1" s="253"/>
      <c r="JIF1" s="253"/>
      <c r="JIG1" s="252"/>
      <c r="JIH1" s="253"/>
      <c r="JII1" s="253"/>
      <c r="JIJ1" s="253"/>
      <c r="JIK1" s="252"/>
      <c r="JIL1" s="253"/>
      <c r="JIM1" s="253"/>
      <c r="JIN1" s="253"/>
      <c r="JIO1" s="252"/>
      <c r="JIP1" s="253"/>
      <c r="JIQ1" s="253"/>
      <c r="JIR1" s="253"/>
      <c r="JIS1" s="252"/>
      <c r="JIT1" s="253"/>
      <c r="JIU1" s="253"/>
      <c r="JIV1" s="253"/>
      <c r="JIW1" s="252"/>
      <c r="JIX1" s="253"/>
      <c r="JIY1" s="253"/>
      <c r="JIZ1" s="253"/>
      <c r="JJA1" s="252"/>
      <c r="JJB1" s="253"/>
      <c r="JJC1" s="253"/>
      <c r="JJD1" s="253"/>
      <c r="JJE1" s="252"/>
      <c r="JJF1" s="253"/>
      <c r="JJG1" s="253"/>
      <c r="JJH1" s="253"/>
      <c r="JJI1" s="252"/>
      <c r="JJJ1" s="253"/>
      <c r="JJK1" s="253"/>
      <c r="JJL1" s="253"/>
      <c r="JJM1" s="252"/>
      <c r="JJN1" s="253"/>
      <c r="JJO1" s="253"/>
      <c r="JJP1" s="253"/>
      <c r="JJQ1" s="252"/>
      <c r="JJR1" s="253"/>
      <c r="JJS1" s="253"/>
      <c r="JJT1" s="253"/>
      <c r="JJU1" s="252"/>
      <c r="JJV1" s="253"/>
      <c r="JJW1" s="253"/>
      <c r="JJX1" s="253"/>
      <c r="JJY1" s="252"/>
      <c r="JJZ1" s="253"/>
      <c r="JKA1" s="253"/>
      <c r="JKB1" s="253"/>
      <c r="JKC1" s="252"/>
      <c r="JKD1" s="253"/>
      <c r="JKE1" s="253"/>
      <c r="JKF1" s="253"/>
      <c r="JKG1" s="252"/>
      <c r="JKH1" s="253"/>
      <c r="JKI1" s="253"/>
      <c r="JKJ1" s="253"/>
      <c r="JKK1" s="252"/>
      <c r="JKL1" s="253"/>
      <c r="JKM1" s="253"/>
      <c r="JKN1" s="253"/>
      <c r="JKO1" s="252"/>
      <c r="JKP1" s="253"/>
      <c r="JKQ1" s="253"/>
      <c r="JKR1" s="253"/>
      <c r="JKS1" s="252"/>
      <c r="JKT1" s="253"/>
      <c r="JKU1" s="253"/>
      <c r="JKV1" s="253"/>
      <c r="JKW1" s="252"/>
      <c r="JKX1" s="253"/>
      <c r="JKY1" s="253"/>
      <c r="JKZ1" s="253"/>
      <c r="JLA1" s="252"/>
      <c r="JLB1" s="253"/>
      <c r="JLC1" s="253"/>
      <c r="JLD1" s="253"/>
      <c r="JLE1" s="252"/>
      <c r="JLF1" s="253"/>
      <c r="JLG1" s="253"/>
      <c r="JLH1" s="253"/>
      <c r="JLI1" s="252"/>
      <c r="JLJ1" s="253"/>
      <c r="JLK1" s="253"/>
      <c r="JLL1" s="253"/>
      <c r="JLM1" s="252"/>
      <c r="JLN1" s="253"/>
      <c r="JLO1" s="253"/>
      <c r="JLP1" s="253"/>
      <c r="JLQ1" s="252"/>
      <c r="JLR1" s="253"/>
      <c r="JLS1" s="253"/>
      <c r="JLT1" s="253"/>
      <c r="JLU1" s="252"/>
      <c r="JLV1" s="253"/>
      <c r="JLW1" s="253"/>
      <c r="JLX1" s="253"/>
      <c r="JLY1" s="252"/>
      <c r="JLZ1" s="253"/>
      <c r="JMA1" s="253"/>
      <c r="JMB1" s="253"/>
      <c r="JMC1" s="252"/>
      <c r="JMD1" s="253"/>
      <c r="JME1" s="253"/>
      <c r="JMF1" s="253"/>
      <c r="JMG1" s="252"/>
      <c r="JMH1" s="253"/>
      <c r="JMI1" s="253"/>
      <c r="JMJ1" s="253"/>
      <c r="JMK1" s="252"/>
      <c r="JML1" s="253"/>
      <c r="JMM1" s="253"/>
      <c r="JMN1" s="253"/>
      <c r="JMO1" s="252"/>
      <c r="JMP1" s="253"/>
      <c r="JMQ1" s="253"/>
      <c r="JMR1" s="253"/>
      <c r="JMS1" s="252"/>
      <c r="JMT1" s="253"/>
      <c r="JMU1" s="253"/>
      <c r="JMV1" s="253"/>
      <c r="JMW1" s="252"/>
      <c r="JMX1" s="253"/>
      <c r="JMY1" s="253"/>
      <c r="JMZ1" s="253"/>
      <c r="JNA1" s="252"/>
      <c r="JNB1" s="253"/>
      <c r="JNC1" s="253"/>
      <c r="JND1" s="253"/>
      <c r="JNE1" s="252"/>
      <c r="JNF1" s="253"/>
      <c r="JNG1" s="253"/>
      <c r="JNH1" s="253"/>
      <c r="JNI1" s="252"/>
      <c r="JNJ1" s="253"/>
      <c r="JNK1" s="253"/>
      <c r="JNL1" s="253"/>
      <c r="JNM1" s="252"/>
      <c r="JNN1" s="253"/>
      <c r="JNO1" s="253"/>
      <c r="JNP1" s="253"/>
      <c r="JNQ1" s="252"/>
      <c r="JNR1" s="253"/>
      <c r="JNS1" s="253"/>
      <c r="JNT1" s="253"/>
      <c r="JNU1" s="252"/>
      <c r="JNV1" s="253"/>
      <c r="JNW1" s="253"/>
      <c r="JNX1" s="253"/>
      <c r="JNY1" s="252"/>
      <c r="JNZ1" s="253"/>
      <c r="JOA1" s="253"/>
      <c r="JOB1" s="253"/>
      <c r="JOC1" s="252"/>
      <c r="JOD1" s="253"/>
      <c r="JOE1" s="253"/>
      <c r="JOF1" s="253"/>
      <c r="JOG1" s="252"/>
      <c r="JOH1" s="253"/>
      <c r="JOI1" s="253"/>
      <c r="JOJ1" s="253"/>
      <c r="JOK1" s="252"/>
      <c r="JOL1" s="253"/>
      <c r="JOM1" s="253"/>
      <c r="JON1" s="253"/>
      <c r="JOO1" s="252"/>
      <c r="JOP1" s="253"/>
      <c r="JOQ1" s="253"/>
      <c r="JOR1" s="253"/>
      <c r="JOS1" s="252"/>
      <c r="JOT1" s="253"/>
      <c r="JOU1" s="253"/>
      <c r="JOV1" s="253"/>
      <c r="JOW1" s="252"/>
      <c r="JOX1" s="253"/>
      <c r="JOY1" s="253"/>
      <c r="JOZ1" s="253"/>
      <c r="JPA1" s="252"/>
      <c r="JPB1" s="253"/>
      <c r="JPC1" s="253"/>
      <c r="JPD1" s="253"/>
      <c r="JPE1" s="252"/>
      <c r="JPF1" s="253"/>
      <c r="JPG1" s="253"/>
      <c r="JPH1" s="253"/>
      <c r="JPI1" s="252"/>
      <c r="JPJ1" s="253"/>
      <c r="JPK1" s="253"/>
      <c r="JPL1" s="253"/>
      <c r="JPM1" s="252"/>
      <c r="JPN1" s="253"/>
      <c r="JPO1" s="253"/>
      <c r="JPP1" s="253"/>
      <c r="JPQ1" s="252"/>
      <c r="JPR1" s="253"/>
      <c r="JPS1" s="253"/>
      <c r="JPT1" s="253"/>
      <c r="JPU1" s="252"/>
      <c r="JPV1" s="253"/>
      <c r="JPW1" s="253"/>
      <c r="JPX1" s="253"/>
      <c r="JPY1" s="252"/>
      <c r="JPZ1" s="253"/>
      <c r="JQA1" s="253"/>
      <c r="JQB1" s="253"/>
      <c r="JQC1" s="252"/>
      <c r="JQD1" s="253"/>
      <c r="JQE1" s="253"/>
      <c r="JQF1" s="253"/>
      <c r="JQG1" s="252"/>
      <c r="JQH1" s="253"/>
      <c r="JQI1" s="253"/>
      <c r="JQJ1" s="253"/>
      <c r="JQK1" s="252"/>
      <c r="JQL1" s="253"/>
      <c r="JQM1" s="253"/>
      <c r="JQN1" s="253"/>
      <c r="JQO1" s="252"/>
      <c r="JQP1" s="253"/>
      <c r="JQQ1" s="253"/>
      <c r="JQR1" s="253"/>
      <c r="JQS1" s="252"/>
      <c r="JQT1" s="253"/>
      <c r="JQU1" s="253"/>
      <c r="JQV1" s="253"/>
      <c r="JQW1" s="252"/>
      <c r="JQX1" s="253"/>
      <c r="JQY1" s="253"/>
      <c r="JQZ1" s="253"/>
      <c r="JRA1" s="252"/>
      <c r="JRB1" s="253"/>
      <c r="JRC1" s="253"/>
      <c r="JRD1" s="253"/>
      <c r="JRE1" s="252"/>
      <c r="JRF1" s="253"/>
      <c r="JRG1" s="253"/>
      <c r="JRH1" s="253"/>
      <c r="JRI1" s="252"/>
      <c r="JRJ1" s="253"/>
      <c r="JRK1" s="253"/>
      <c r="JRL1" s="253"/>
      <c r="JRM1" s="252"/>
      <c r="JRN1" s="253"/>
      <c r="JRO1" s="253"/>
      <c r="JRP1" s="253"/>
      <c r="JRQ1" s="252"/>
      <c r="JRR1" s="253"/>
      <c r="JRS1" s="253"/>
      <c r="JRT1" s="253"/>
      <c r="JRU1" s="252"/>
      <c r="JRV1" s="253"/>
      <c r="JRW1" s="253"/>
      <c r="JRX1" s="253"/>
      <c r="JRY1" s="252"/>
      <c r="JRZ1" s="253"/>
      <c r="JSA1" s="253"/>
      <c r="JSB1" s="253"/>
      <c r="JSC1" s="252"/>
      <c r="JSD1" s="253"/>
      <c r="JSE1" s="253"/>
      <c r="JSF1" s="253"/>
      <c r="JSG1" s="252"/>
      <c r="JSH1" s="253"/>
      <c r="JSI1" s="253"/>
      <c r="JSJ1" s="253"/>
      <c r="JSK1" s="252"/>
      <c r="JSL1" s="253"/>
      <c r="JSM1" s="253"/>
      <c r="JSN1" s="253"/>
      <c r="JSO1" s="252"/>
      <c r="JSP1" s="253"/>
      <c r="JSQ1" s="253"/>
      <c r="JSR1" s="253"/>
      <c r="JSS1" s="252"/>
      <c r="JST1" s="253"/>
      <c r="JSU1" s="253"/>
      <c r="JSV1" s="253"/>
      <c r="JSW1" s="252"/>
      <c r="JSX1" s="253"/>
      <c r="JSY1" s="253"/>
      <c r="JSZ1" s="253"/>
      <c r="JTA1" s="252"/>
      <c r="JTB1" s="253"/>
      <c r="JTC1" s="253"/>
      <c r="JTD1" s="253"/>
      <c r="JTE1" s="252"/>
      <c r="JTF1" s="253"/>
      <c r="JTG1" s="253"/>
      <c r="JTH1" s="253"/>
      <c r="JTI1" s="252"/>
      <c r="JTJ1" s="253"/>
      <c r="JTK1" s="253"/>
      <c r="JTL1" s="253"/>
      <c r="JTM1" s="252"/>
      <c r="JTN1" s="253"/>
      <c r="JTO1" s="253"/>
      <c r="JTP1" s="253"/>
      <c r="JTQ1" s="252"/>
      <c r="JTR1" s="253"/>
      <c r="JTS1" s="253"/>
      <c r="JTT1" s="253"/>
      <c r="JTU1" s="252"/>
      <c r="JTV1" s="253"/>
      <c r="JTW1" s="253"/>
      <c r="JTX1" s="253"/>
      <c r="JTY1" s="252"/>
      <c r="JTZ1" s="253"/>
      <c r="JUA1" s="253"/>
      <c r="JUB1" s="253"/>
      <c r="JUC1" s="252"/>
      <c r="JUD1" s="253"/>
      <c r="JUE1" s="253"/>
      <c r="JUF1" s="253"/>
      <c r="JUG1" s="252"/>
      <c r="JUH1" s="253"/>
      <c r="JUI1" s="253"/>
      <c r="JUJ1" s="253"/>
      <c r="JUK1" s="252"/>
      <c r="JUL1" s="253"/>
      <c r="JUM1" s="253"/>
      <c r="JUN1" s="253"/>
      <c r="JUO1" s="252"/>
      <c r="JUP1" s="253"/>
      <c r="JUQ1" s="253"/>
      <c r="JUR1" s="253"/>
      <c r="JUS1" s="252"/>
      <c r="JUT1" s="253"/>
      <c r="JUU1" s="253"/>
      <c r="JUV1" s="253"/>
      <c r="JUW1" s="252"/>
      <c r="JUX1" s="253"/>
      <c r="JUY1" s="253"/>
      <c r="JUZ1" s="253"/>
      <c r="JVA1" s="252"/>
      <c r="JVB1" s="253"/>
      <c r="JVC1" s="253"/>
      <c r="JVD1" s="253"/>
      <c r="JVE1" s="252"/>
      <c r="JVF1" s="253"/>
      <c r="JVG1" s="253"/>
      <c r="JVH1" s="253"/>
      <c r="JVI1" s="252"/>
      <c r="JVJ1" s="253"/>
      <c r="JVK1" s="253"/>
      <c r="JVL1" s="253"/>
      <c r="JVM1" s="252"/>
      <c r="JVN1" s="253"/>
      <c r="JVO1" s="253"/>
      <c r="JVP1" s="253"/>
      <c r="JVQ1" s="252"/>
      <c r="JVR1" s="253"/>
      <c r="JVS1" s="253"/>
      <c r="JVT1" s="253"/>
      <c r="JVU1" s="252"/>
      <c r="JVV1" s="253"/>
      <c r="JVW1" s="253"/>
      <c r="JVX1" s="253"/>
      <c r="JVY1" s="252"/>
      <c r="JVZ1" s="253"/>
      <c r="JWA1" s="253"/>
      <c r="JWB1" s="253"/>
      <c r="JWC1" s="252"/>
      <c r="JWD1" s="253"/>
      <c r="JWE1" s="253"/>
      <c r="JWF1" s="253"/>
      <c r="JWG1" s="252"/>
      <c r="JWH1" s="253"/>
      <c r="JWI1" s="253"/>
      <c r="JWJ1" s="253"/>
      <c r="JWK1" s="252"/>
      <c r="JWL1" s="253"/>
      <c r="JWM1" s="253"/>
      <c r="JWN1" s="253"/>
      <c r="JWO1" s="252"/>
      <c r="JWP1" s="253"/>
      <c r="JWQ1" s="253"/>
      <c r="JWR1" s="253"/>
      <c r="JWS1" s="252"/>
      <c r="JWT1" s="253"/>
      <c r="JWU1" s="253"/>
      <c r="JWV1" s="253"/>
      <c r="JWW1" s="252"/>
      <c r="JWX1" s="253"/>
      <c r="JWY1" s="253"/>
      <c r="JWZ1" s="253"/>
      <c r="JXA1" s="252"/>
      <c r="JXB1" s="253"/>
      <c r="JXC1" s="253"/>
      <c r="JXD1" s="253"/>
      <c r="JXE1" s="252"/>
      <c r="JXF1" s="253"/>
      <c r="JXG1" s="253"/>
      <c r="JXH1" s="253"/>
      <c r="JXI1" s="252"/>
      <c r="JXJ1" s="253"/>
      <c r="JXK1" s="253"/>
      <c r="JXL1" s="253"/>
      <c r="JXM1" s="252"/>
      <c r="JXN1" s="253"/>
      <c r="JXO1" s="253"/>
      <c r="JXP1" s="253"/>
      <c r="JXQ1" s="252"/>
      <c r="JXR1" s="253"/>
      <c r="JXS1" s="253"/>
      <c r="JXT1" s="253"/>
      <c r="JXU1" s="252"/>
      <c r="JXV1" s="253"/>
      <c r="JXW1" s="253"/>
      <c r="JXX1" s="253"/>
      <c r="JXY1" s="252"/>
      <c r="JXZ1" s="253"/>
      <c r="JYA1" s="253"/>
      <c r="JYB1" s="253"/>
      <c r="JYC1" s="252"/>
      <c r="JYD1" s="253"/>
      <c r="JYE1" s="253"/>
      <c r="JYF1" s="253"/>
      <c r="JYG1" s="252"/>
      <c r="JYH1" s="253"/>
      <c r="JYI1" s="253"/>
      <c r="JYJ1" s="253"/>
      <c r="JYK1" s="252"/>
      <c r="JYL1" s="253"/>
      <c r="JYM1" s="253"/>
      <c r="JYN1" s="253"/>
      <c r="JYO1" s="252"/>
      <c r="JYP1" s="253"/>
      <c r="JYQ1" s="253"/>
      <c r="JYR1" s="253"/>
      <c r="JYS1" s="252"/>
      <c r="JYT1" s="253"/>
      <c r="JYU1" s="253"/>
      <c r="JYV1" s="253"/>
      <c r="JYW1" s="252"/>
      <c r="JYX1" s="253"/>
      <c r="JYY1" s="253"/>
      <c r="JYZ1" s="253"/>
      <c r="JZA1" s="252"/>
      <c r="JZB1" s="253"/>
      <c r="JZC1" s="253"/>
      <c r="JZD1" s="253"/>
      <c r="JZE1" s="252"/>
      <c r="JZF1" s="253"/>
      <c r="JZG1" s="253"/>
      <c r="JZH1" s="253"/>
      <c r="JZI1" s="252"/>
      <c r="JZJ1" s="253"/>
      <c r="JZK1" s="253"/>
      <c r="JZL1" s="253"/>
      <c r="JZM1" s="252"/>
      <c r="JZN1" s="253"/>
      <c r="JZO1" s="253"/>
      <c r="JZP1" s="253"/>
      <c r="JZQ1" s="252"/>
      <c r="JZR1" s="253"/>
      <c r="JZS1" s="253"/>
      <c r="JZT1" s="253"/>
      <c r="JZU1" s="252"/>
      <c r="JZV1" s="253"/>
      <c r="JZW1" s="253"/>
      <c r="JZX1" s="253"/>
      <c r="JZY1" s="252"/>
      <c r="JZZ1" s="253"/>
      <c r="KAA1" s="253"/>
      <c r="KAB1" s="253"/>
      <c r="KAC1" s="252"/>
      <c r="KAD1" s="253"/>
      <c r="KAE1" s="253"/>
      <c r="KAF1" s="253"/>
      <c r="KAG1" s="252"/>
      <c r="KAH1" s="253"/>
      <c r="KAI1" s="253"/>
      <c r="KAJ1" s="253"/>
      <c r="KAK1" s="252"/>
      <c r="KAL1" s="253"/>
      <c r="KAM1" s="253"/>
      <c r="KAN1" s="253"/>
      <c r="KAO1" s="252"/>
      <c r="KAP1" s="253"/>
      <c r="KAQ1" s="253"/>
      <c r="KAR1" s="253"/>
      <c r="KAS1" s="252"/>
      <c r="KAT1" s="253"/>
      <c r="KAU1" s="253"/>
      <c r="KAV1" s="253"/>
      <c r="KAW1" s="252"/>
      <c r="KAX1" s="253"/>
      <c r="KAY1" s="253"/>
      <c r="KAZ1" s="253"/>
      <c r="KBA1" s="252"/>
      <c r="KBB1" s="253"/>
      <c r="KBC1" s="253"/>
      <c r="KBD1" s="253"/>
      <c r="KBE1" s="252"/>
      <c r="KBF1" s="253"/>
      <c r="KBG1" s="253"/>
      <c r="KBH1" s="253"/>
      <c r="KBI1" s="252"/>
      <c r="KBJ1" s="253"/>
      <c r="KBK1" s="253"/>
      <c r="KBL1" s="253"/>
      <c r="KBM1" s="252"/>
      <c r="KBN1" s="253"/>
      <c r="KBO1" s="253"/>
      <c r="KBP1" s="253"/>
      <c r="KBQ1" s="252"/>
      <c r="KBR1" s="253"/>
      <c r="KBS1" s="253"/>
      <c r="KBT1" s="253"/>
      <c r="KBU1" s="252"/>
      <c r="KBV1" s="253"/>
      <c r="KBW1" s="253"/>
      <c r="KBX1" s="253"/>
      <c r="KBY1" s="252"/>
      <c r="KBZ1" s="253"/>
      <c r="KCA1" s="253"/>
      <c r="KCB1" s="253"/>
      <c r="KCC1" s="252"/>
      <c r="KCD1" s="253"/>
      <c r="KCE1" s="253"/>
      <c r="KCF1" s="253"/>
      <c r="KCG1" s="252"/>
      <c r="KCH1" s="253"/>
      <c r="KCI1" s="253"/>
      <c r="KCJ1" s="253"/>
      <c r="KCK1" s="252"/>
      <c r="KCL1" s="253"/>
      <c r="KCM1" s="253"/>
      <c r="KCN1" s="253"/>
      <c r="KCO1" s="252"/>
      <c r="KCP1" s="253"/>
      <c r="KCQ1" s="253"/>
      <c r="KCR1" s="253"/>
      <c r="KCS1" s="252"/>
      <c r="KCT1" s="253"/>
      <c r="KCU1" s="253"/>
      <c r="KCV1" s="253"/>
      <c r="KCW1" s="252"/>
      <c r="KCX1" s="253"/>
      <c r="KCY1" s="253"/>
      <c r="KCZ1" s="253"/>
      <c r="KDA1" s="252"/>
      <c r="KDB1" s="253"/>
      <c r="KDC1" s="253"/>
      <c r="KDD1" s="253"/>
      <c r="KDE1" s="252"/>
      <c r="KDF1" s="253"/>
      <c r="KDG1" s="253"/>
      <c r="KDH1" s="253"/>
      <c r="KDI1" s="252"/>
      <c r="KDJ1" s="253"/>
      <c r="KDK1" s="253"/>
      <c r="KDL1" s="253"/>
      <c r="KDM1" s="252"/>
      <c r="KDN1" s="253"/>
      <c r="KDO1" s="253"/>
      <c r="KDP1" s="253"/>
      <c r="KDQ1" s="252"/>
      <c r="KDR1" s="253"/>
      <c r="KDS1" s="253"/>
      <c r="KDT1" s="253"/>
      <c r="KDU1" s="252"/>
      <c r="KDV1" s="253"/>
      <c r="KDW1" s="253"/>
      <c r="KDX1" s="253"/>
      <c r="KDY1" s="252"/>
      <c r="KDZ1" s="253"/>
      <c r="KEA1" s="253"/>
      <c r="KEB1" s="253"/>
      <c r="KEC1" s="252"/>
      <c r="KED1" s="253"/>
      <c r="KEE1" s="253"/>
      <c r="KEF1" s="253"/>
      <c r="KEG1" s="252"/>
      <c r="KEH1" s="253"/>
      <c r="KEI1" s="253"/>
      <c r="KEJ1" s="253"/>
      <c r="KEK1" s="252"/>
      <c r="KEL1" s="253"/>
      <c r="KEM1" s="253"/>
      <c r="KEN1" s="253"/>
      <c r="KEO1" s="252"/>
      <c r="KEP1" s="253"/>
      <c r="KEQ1" s="253"/>
      <c r="KER1" s="253"/>
      <c r="KES1" s="252"/>
      <c r="KET1" s="253"/>
      <c r="KEU1" s="253"/>
      <c r="KEV1" s="253"/>
      <c r="KEW1" s="252"/>
      <c r="KEX1" s="253"/>
      <c r="KEY1" s="253"/>
      <c r="KEZ1" s="253"/>
      <c r="KFA1" s="252"/>
      <c r="KFB1" s="253"/>
      <c r="KFC1" s="253"/>
      <c r="KFD1" s="253"/>
      <c r="KFE1" s="252"/>
      <c r="KFF1" s="253"/>
      <c r="KFG1" s="253"/>
      <c r="KFH1" s="253"/>
      <c r="KFI1" s="252"/>
      <c r="KFJ1" s="253"/>
      <c r="KFK1" s="253"/>
      <c r="KFL1" s="253"/>
      <c r="KFM1" s="252"/>
      <c r="KFN1" s="253"/>
      <c r="KFO1" s="253"/>
      <c r="KFP1" s="253"/>
      <c r="KFQ1" s="252"/>
      <c r="KFR1" s="253"/>
      <c r="KFS1" s="253"/>
      <c r="KFT1" s="253"/>
      <c r="KFU1" s="252"/>
      <c r="KFV1" s="253"/>
      <c r="KFW1" s="253"/>
      <c r="KFX1" s="253"/>
      <c r="KFY1" s="252"/>
      <c r="KFZ1" s="253"/>
      <c r="KGA1" s="253"/>
      <c r="KGB1" s="253"/>
      <c r="KGC1" s="252"/>
      <c r="KGD1" s="253"/>
      <c r="KGE1" s="253"/>
      <c r="KGF1" s="253"/>
      <c r="KGG1" s="252"/>
      <c r="KGH1" s="253"/>
      <c r="KGI1" s="253"/>
      <c r="KGJ1" s="253"/>
      <c r="KGK1" s="252"/>
      <c r="KGL1" s="253"/>
      <c r="KGM1" s="253"/>
      <c r="KGN1" s="253"/>
      <c r="KGO1" s="252"/>
      <c r="KGP1" s="253"/>
      <c r="KGQ1" s="253"/>
      <c r="KGR1" s="253"/>
      <c r="KGS1" s="252"/>
      <c r="KGT1" s="253"/>
      <c r="KGU1" s="253"/>
      <c r="KGV1" s="253"/>
      <c r="KGW1" s="252"/>
      <c r="KGX1" s="253"/>
      <c r="KGY1" s="253"/>
      <c r="KGZ1" s="253"/>
      <c r="KHA1" s="252"/>
      <c r="KHB1" s="253"/>
      <c r="KHC1" s="253"/>
      <c r="KHD1" s="253"/>
      <c r="KHE1" s="252"/>
      <c r="KHF1" s="253"/>
      <c r="KHG1" s="253"/>
      <c r="KHH1" s="253"/>
      <c r="KHI1" s="252"/>
      <c r="KHJ1" s="253"/>
      <c r="KHK1" s="253"/>
      <c r="KHL1" s="253"/>
      <c r="KHM1" s="252"/>
      <c r="KHN1" s="253"/>
      <c r="KHO1" s="253"/>
      <c r="KHP1" s="253"/>
      <c r="KHQ1" s="252"/>
      <c r="KHR1" s="253"/>
      <c r="KHS1" s="253"/>
      <c r="KHT1" s="253"/>
      <c r="KHU1" s="252"/>
      <c r="KHV1" s="253"/>
      <c r="KHW1" s="253"/>
      <c r="KHX1" s="253"/>
      <c r="KHY1" s="252"/>
      <c r="KHZ1" s="253"/>
      <c r="KIA1" s="253"/>
      <c r="KIB1" s="253"/>
      <c r="KIC1" s="252"/>
      <c r="KID1" s="253"/>
      <c r="KIE1" s="253"/>
      <c r="KIF1" s="253"/>
      <c r="KIG1" s="252"/>
      <c r="KIH1" s="253"/>
      <c r="KII1" s="253"/>
      <c r="KIJ1" s="253"/>
      <c r="KIK1" s="252"/>
      <c r="KIL1" s="253"/>
      <c r="KIM1" s="253"/>
      <c r="KIN1" s="253"/>
      <c r="KIO1" s="252"/>
      <c r="KIP1" s="253"/>
      <c r="KIQ1" s="253"/>
      <c r="KIR1" s="253"/>
      <c r="KIS1" s="252"/>
      <c r="KIT1" s="253"/>
      <c r="KIU1" s="253"/>
      <c r="KIV1" s="253"/>
      <c r="KIW1" s="252"/>
      <c r="KIX1" s="253"/>
      <c r="KIY1" s="253"/>
      <c r="KIZ1" s="253"/>
      <c r="KJA1" s="252"/>
      <c r="KJB1" s="253"/>
      <c r="KJC1" s="253"/>
      <c r="KJD1" s="253"/>
      <c r="KJE1" s="252"/>
      <c r="KJF1" s="253"/>
      <c r="KJG1" s="253"/>
      <c r="KJH1" s="253"/>
      <c r="KJI1" s="252"/>
      <c r="KJJ1" s="253"/>
      <c r="KJK1" s="253"/>
      <c r="KJL1" s="253"/>
      <c r="KJM1" s="252"/>
      <c r="KJN1" s="253"/>
      <c r="KJO1" s="253"/>
      <c r="KJP1" s="253"/>
      <c r="KJQ1" s="252"/>
      <c r="KJR1" s="253"/>
      <c r="KJS1" s="253"/>
      <c r="KJT1" s="253"/>
      <c r="KJU1" s="252"/>
      <c r="KJV1" s="253"/>
      <c r="KJW1" s="253"/>
      <c r="KJX1" s="253"/>
      <c r="KJY1" s="252"/>
      <c r="KJZ1" s="253"/>
      <c r="KKA1" s="253"/>
      <c r="KKB1" s="253"/>
      <c r="KKC1" s="252"/>
      <c r="KKD1" s="253"/>
      <c r="KKE1" s="253"/>
      <c r="KKF1" s="253"/>
      <c r="KKG1" s="252"/>
      <c r="KKH1" s="253"/>
      <c r="KKI1" s="253"/>
      <c r="KKJ1" s="253"/>
      <c r="KKK1" s="252"/>
      <c r="KKL1" s="253"/>
      <c r="KKM1" s="253"/>
      <c r="KKN1" s="253"/>
      <c r="KKO1" s="252"/>
      <c r="KKP1" s="253"/>
      <c r="KKQ1" s="253"/>
      <c r="KKR1" s="253"/>
      <c r="KKS1" s="252"/>
      <c r="KKT1" s="253"/>
      <c r="KKU1" s="253"/>
      <c r="KKV1" s="253"/>
      <c r="KKW1" s="252"/>
      <c r="KKX1" s="253"/>
      <c r="KKY1" s="253"/>
      <c r="KKZ1" s="253"/>
      <c r="KLA1" s="252"/>
      <c r="KLB1" s="253"/>
      <c r="KLC1" s="253"/>
      <c r="KLD1" s="253"/>
      <c r="KLE1" s="252"/>
      <c r="KLF1" s="253"/>
      <c r="KLG1" s="253"/>
      <c r="KLH1" s="253"/>
      <c r="KLI1" s="252"/>
      <c r="KLJ1" s="253"/>
      <c r="KLK1" s="253"/>
      <c r="KLL1" s="253"/>
      <c r="KLM1" s="252"/>
      <c r="KLN1" s="253"/>
      <c r="KLO1" s="253"/>
      <c r="KLP1" s="253"/>
      <c r="KLQ1" s="252"/>
      <c r="KLR1" s="253"/>
      <c r="KLS1" s="253"/>
      <c r="KLT1" s="253"/>
      <c r="KLU1" s="252"/>
      <c r="KLV1" s="253"/>
      <c r="KLW1" s="253"/>
      <c r="KLX1" s="253"/>
      <c r="KLY1" s="252"/>
      <c r="KLZ1" s="253"/>
      <c r="KMA1" s="253"/>
      <c r="KMB1" s="253"/>
      <c r="KMC1" s="252"/>
      <c r="KMD1" s="253"/>
      <c r="KME1" s="253"/>
      <c r="KMF1" s="253"/>
      <c r="KMG1" s="252"/>
      <c r="KMH1" s="253"/>
      <c r="KMI1" s="253"/>
      <c r="KMJ1" s="253"/>
      <c r="KMK1" s="252"/>
      <c r="KML1" s="253"/>
      <c r="KMM1" s="253"/>
      <c r="KMN1" s="253"/>
      <c r="KMO1" s="252"/>
      <c r="KMP1" s="253"/>
      <c r="KMQ1" s="253"/>
      <c r="KMR1" s="253"/>
      <c r="KMS1" s="252"/>
      <c r="KMT1" s="253"/>
      <c r="KMU1" s="253"/>
      <c r="KMV1" s="253"/>
      <c r="KMW1" s="252"/>
      <c r="KMX1" s="253"/>
      <c r="KMY1" s="253"/>
      <c r="KMZ1" s="253"/>
      <c r="KNA1" s="252"/>
      <c r="KNB1" s="253"/>
      <c r="KNC1" s="253"/>
      <c r="KND1" s="253"/>
      <c r="KNE1" s="252"/>
      <c r="KNF1" s="253"/>
      <c r="KNG1" s="253"/>
      <c r="KNH1" s="253"/>
      <c r="KNI1" s="252"/>
      <c r="KNJ1" s="253"/>
      <c r="KNK1" s="253"/>
      <c r="KNL1" s="253"/>
      <c r="KNM1" s="252"/>
      <c r="KNN1" s="253"/>
      <c r="KNO1" s="253"/>
      <c r="KNP1" s="253"/>
      <c r="KNQ1" s="252"/>
      <c r="KNR1" s="253"/>
      <c r="KNS1" s="253"/>
      <c r="KNT1" s="253"/>
      <c r="KNU1" s="252"/>
      <c r="KNV1" s="253"/>
      <c r="KNW1" s="253"/>
      <c r="KNX1" s="253"/>
      <c r="KNY1" s="252"/>
      <c r="KNZ1" s="253"/>
      <c r="KOA1" s="253"/>
      <c r="KOB1" s="253"/>
      <c r="KOC1" s="252"/>
      <c r="KOD1" s="253"/>
      <c r="KOE1" s="253"/>
      <c r="KOF1" s="253"/>
      <c r="KOG1" s="252"/>
      <c r="KOH1" s="253"/>
      <c r="KOI1" s="253"/>
      <c r="KOJ1" s="253"/>
      <c r="KOK1" s="252"/>
      <c r="KOL1" s="253"/>
      <c r="KOM1" s="253"/>
      <c r="KON1" s="253"/>
      <c r="KOO1" s="252"/>
      <c r="KOP1" s="253"/>
      <c r="KOQ1" s="253"/>
      <c r="KOR1" s="253"/>
      <c r="KOS1" s="252"/>
      <c r="KOT1" s="253"/>
      <c r="KOU1" s="253"/>
      <c r="KOV1" s="253"/>
      <c r="KOW1" s="252"/>
      <c r="KOX1" s="253"/>
      <c r="KOY1" s="253"/>
      <c r="KOZ1" s="253"/>
      <c r="KPA1" s="252"/>
      <c r="KPB1" s="253"/>
      <c r="KPC1" s="253"/>
      <c r="KPD1" s="253"/>
      <c r="KPE1" s="252"/>
      <c r="KPF1" s="253"/>
      <c r="KPG1" s="253"/>
      <c r="KPH1" s="253"/>
      <c r="KPI1" s="252"/>
      <c r="KPJ1" s="253"/>
      <c r="KPK1" s="253"/>
      <c r="KPL1" s="253"/>
      <c r="KPM1" s="252"/>
      <c r="KPN1" s="253"/>
      <c r="KPO1" s="253"/>
      <c r="KPP1" s="253"/>
      <c r="KPQ1" s="252"/>
      <c r="KPR1" s="253"/>
      <c r="KPS1" s="253"/>
      <c r="KPT1" s="253"/>
      <c r="KPU1" s="252"/>
      <c r="KPV1" s="253"/>
      <c r="KPW1" s="253"/>
      <c r="KPX1" s="253"/>
      <c r="KPY1" s="252"/>
      <c r="KPZ1" s="253"/>
      <c r="KQA1" s="253"/>
      <c r="KQB1" s="253"/>
      <c r="KQC1" s="252"/>
      <c r="KQD1" s="253"/>
      <c r="KQE1" s="253"/>
      <c r="KQF1" s="253"/>
      <c r="KQG1" s="252"/>
      <c r="KQH1" s="253"/>
      <c r="KQI1" s="253"/>
      <c r="KQJ1" s="253"/>
      <c r="KQK1" s="252"/>
      <c r="KQL1" s="253"/>
      <c r="KQM1" s="253"/>
      <c r="KQN1" s="253"/>
      <c r="KQO1" s="252"/>
      <c r="KQP1" s="253"/>
      <c r="KQQ1" s="253"/>
      <c r="KQR1" s="253"/>
      <c r="KQS1" s="252"/>
      <c r="KQT1" s="253"/>
      <c r="KQU1" s="253"/>
      <c r="KQV1" s="253"/>
      <c r="KQW1" s="252"/>
      <c r="KQX1" s="253"/>
      <c r="KQY1" s="253"/>
      <c r="KQZ1" s="253"/>
      <c r="KRA1" s="252"/>
      <c r="KRB1" s="253"/>
      <c r="KRC1" s="253"/>
      <c r="KRD1" s="253"/>
      <c r="KRE1" s="252"/>
      <c r="KRF1" s="253"/>
      <c r="KRG1" s="253"/>
      <c r="KRH1" s="253"/>
      <c r="KRI1" s="252"/>
      <c r="KRJ1" s="253"/>
      <c r="KRK1" s="253"/>
      <c r="KRL1" s="253"/>
      <c r="KRM1" s="252"/>
      <c r="KRN1" s="253"/>
      <c r="KRO1" s="253"/>
      <c r="KRP1" s="253"/>
      <c r="KRQ1" s="252"/>
      <c r="KRR1" s="253"/>
      <c r="KRS1" s="253"/>
      <c r="KRT1" s="253"/>
      <c r="KRU1" s="252"/>
      <c r="KRV1" s="253"/>
      <c r="KRW1" s="253"/>
      <c r="KRX1" s="253"/>
      <c r="KRY1" s="252"/>
      <c r="KRZ1" s="253"/>
      <c r="KSA1" s="253"/>
      <c r="KSB1" s="253"/>
      <c r="KSC1" s="252"/>
      <c r="KSD1" s="253"/>
      <c r="KSE1" s="253"/>
      <c r="KSF1" s="253"/>
      <c r="KSG1" s="252"/>
      <c r="KSH1" s="253"/>
      <c r="KSI1" s="253"/>
      <c r="KSJ1" s="253"/>
      <c r="KSK1" s="252"/>
      <c r="KSL1" s="253"/>
      <c r="KSM1" s="253"/>
      <c r="KSN1" s="253"/>
      <c r="KSO1" s="252"/>
      <c r="KSP1" s="253"/>
      <c r="KSQ1" s="253"/>
      <c r="KSR1" s="253"/>
      <c r="KSS1" s="252"/>
      <c r="KST1" s="253"/>
      <c r="KSU1" s="253"/>
      <c r="KSV1" s="253"/>
      <c r="KSW1" s="252"/>
      <c r="KSX1" s="253"/>
      <c r="KSY1" s="253"/>
      <c r="KSZ1" s="253"/>
      <c r="KTA1" s="252"/>
      <c r="KTB1" s="253"/>
      <c r="KTC1" s="253"/>
      <c r="KTD1" s="253"/>
      <c r="KTE1" s="252"/>
      <c r="KTF1" s="253"/>
      <c r="KTG1" s="253"/>
      <c r="KTH1" s="253"/>
      <c r="KTI1" s="252"/>
      <c r="KTJ1" s="253"/>
      <c r="KTK1" s="253"/>
      <c r="KTL1" s="253"/>
      <c r="KTM1" s="252"/>
      <c r="KTN1" s="253"/>
      <c r="KTO1" s="253"/>
      <c r="KTP1" s="253"/>
      <c r="KTQ1" s="252"/>
      <c r="KTR1" s="253"/>
      <c r="KTS1" s="253"/>
      <c r="KTT1" s="253"/>
      <c r="KTU1" s="252"/>
      <c r="KTV1" s="253"/>
      <c r="KTW1" s="253"/>
      <c r="KTX1" s="253"/>
      <c r="KTY1" s="252"/>
      <c r="KTZ1" s="253"/>
      <c r="KUA1" s="253"/>
      <c r="KUB1" s="253"/>
      <c r="KUC1" s="252"/>
      <c r="KUD1" s="253"/>
      <c r="KUE1" s="253"/>
      <c r="KUF1" s="253"/>
      <c r="KUG1" s="252"/>
      <c r="KUH1" s="253"/>
      <c r="KUI1" s="253"/>
      <c r="KUJ1" s="253"/>
      <c r="KUK1" s="252"/>
      <c r="KUL1" s="253"/>
      <c r="KUM1" s="253"/>
      <c r="KUN1" s="253"/>
      <c r="KUO1" s="252"/>
      <c r="KUP1" s="253"/>
      <c r="KUQ1" s="253"/>
      <c r="KUR1" s="253"/>
      <c r="KUS1" s="252"/>
      <c r="KUT1" s="253"/>
      <c r="KUU1" s="253"/>
      <c r="KUV1" s="253"/>
      <c r="KUW1" s="252"/>
      <c r="KUX1" s="253"/>
      <c r="KUY1" s="253"/>
      <c r="KUZ1" s="253"/>
      <c r="KVA1" s="252"/>
      <c r="KVB1" s="253"/>
      <c r="KVC1" s="253"/>
      <c r="KVD1" s="253"/>
      <c r="KVE1" s="252"/>
      <c r="KVF1" s="253"/>
      <c r="KVG1" s="253"/>
      <c r="KVH1" s="253"/>
      <c r="KVI1" s="252"/>
      <c r="KVJ1" s="253"/>
      <c r="KVK1" s="253"/>
      <c r="KVL1" s="253"/>
      <c r="KVM1" s="252"/>
      <c r="KVN1" s="253"/>
      <c r="KVO1" s="253"/>
      <c r="KVP1" s="253"/>
      <c r="KVQ1" s="252"/>
      <c r="KVR1" s="253"/>
      <c r="KVS1" s="253"/>
      <c r="KVT1" s="253"/>
      <c r="KVU1" s="252"/>
      <c r="KVV1" s="253"/>
      <c r="KVW1" s="253"/>
      <c r="KVX1" s="253"/>
      <c r="KVY1" s="252"/>
      <c r="KVZ1" s="253"/>
      <c r="KWA1" s="253"/>
      <c r="KWB1" s="253"/>
      <c r="KWC1" s="252"/>
      <c r="KWD1" s="253"/>
      <c r="KWE1" s="253"/>
      <c r="KWF1" s="253"/>
      <c r="KWG1" s="252"/>
      <c r="KWH1" s="253"/>
      <c r="KWI1" s="253"/>
      <c r="KWJ1" s="253"/>
      <c r="KWK1" s="252"/>
      <c r="KWL1" s="253"/>
      <c r="KWM1" s="253"/>
      <c r="KWN1" s="253"/>
      <c r="KWO1" s="252"/>
      <c r="KWP1" s="253"/>
      <c r="KWQ1" s="253"/>
      <c r="KWR1" s="253"/>
      <c r="KWS1" s="252"/>
      <c r="KWT1" s="253"/>
      <c r="KWU1" s="253"/>
      <c r="KWV1" s="253"/>
      <c r="KWW1" s="252"/>
      <c r="KWX1" s="253"/>
      <c r="KWY1" s="253"/>
      <c r="KWZ1" s="253"/>
      <c r="KXA1" s="252"/>
      <c r="KXB1" s="253"/>
      <c r="KXC1" s="253"/>
      <c r="KXD1" s="253"/>
      <c r="KXE1" s="252"/>
      <c r="KXF1" s="253"/>
      <c r="KXG1" s="253"/>
      <c r="KXH1" s="253"/>
      <c r="KXI1" s="252"/>
      <c r="KXJ1" s="253"/>
      <c r="KXK1" s="253"/>
      <c r="KXL1" s="253"/>
      <c r="KXM1" s="252"/>
      <c r="KXN1" s="253"/>
      <c r="KXO1" s="253"/>
      <c r="KXP1" s="253"/>
      <c r="KXQ1" s="252"/>
      <c r="KXR1" s="253"/>
      <c r="KXS1" s="253"/>
      <c r="KXT1" s="253"/>
      <c r="KXU1" s="252"/>
      <c r="KXV1" s="253"/>
      <c r="KXW1" s="253"/>
      <c r="KXX1" s="253"/>
      <c r="KXY1" s="252"/>
      <c r="KXZ1" s="253"/>
      <c r="KYA1" s="253"/>
      <c r="KYB1" s="253"/>
      <c r="KYC1" s="252"/>
      <c r="KYD1" s="253"/>
      <c r="KYE1" s="253"/>
      <c r="KYF1" s="253"/>
      <c r="KYG1" s="252"/>
      <c r="KYH1" s="253"/>
      <c r="KYI1" s="253"/>
      <c r="KYJ1" s="253"/>
      <c r="KYK1" s="252"/>
      <c r="KYL1" s="253"/>
      <c r="KYM1" s="253"/>
      <c r="KYN1" s="253"/>
      <c r="KYO1" s="252"/>
      <c r="KYP1" s="253"/>
      <c r="KYQ1" s="253"/>
      <c r="KYR1" s="253"/>
      <c r="KYS1" s="252"/>
      <c r="KYT1" s="253"/>
      <c r="KYU1" s="253"/>
      <c r="KYV1" s="253"/>
      <c r="KYW1" s="252"/>
      <c r="KYX1" s="253"/>
      <c r="KYY1" s="253"/>
      <c r="KYZ1" s="253"/>
      <c r="KZA1" s="252"/>
      <c r="KZB1" s="253"/>
      <c r="KZC1" s="253"/>
      <c r="KZD1" s="253"/>
      <c r="KZE1" s="252"/>
      <c r="KZF1" s="253"/>
      <c r="KZG1" s="253"/>
      <c r="KZH1" s="253"/>
      <c r="KZI1" s="252"/>
      <c r="KZJ1" s="253"/>
      <c r="KZK1" s="253"/>
      <c r="KZL1" s="253"/>
      <c r="KZM1" s="252"/>
      <c r="KZN1" s="253"/>
      <c r="KZO1" s="253"/>
      <c r="KZP1" s="253"/>
      <c r="KZQ1" s="252"/>
      <c r="KZR1" s="253"/>
      <c r="KZS1" s="253"/>
      <c r="KZT1" s="253"/>
      <c r="KZU1" s="252"/>
      <c r="KZV1" s="253"/>
      <c r="KZW1" s="253"/>
      <c r="KZX1" s="253"/>
      <c r="KZY1" s="252"/>
      <c r="KZZ1" s="253"/>
      <c r="LAA1" s="253"/>
      <c r="LAB1" s="253"/>
      <c r="LAC1" s="252"/>
      <c r="LAD1" s="253"/>
      <c r="LAE1" s="253"/>
      <c r="LAF1" s="253"/>
      <c r="LAG1" s="252"/>
      <c r="LAH1" s="253"/>
      <c r="LAI1" s="253"/>
      <c r="LAJ1" s="253"/>
      <c r="LAK1" s="252"/>
      <c r="LAL1" s="253"/>
      <c r="LAM1" s="253"/>
      <c r="LAN1" s="253"/>
      <c r="LAO1" s="252"/>
      <c r="LAP1" s="253"/>
      <c r="LAQ1" s="253"/>
      <c r="LAR1" s="253"/>
      <c r="LAS1" s="252"/>
      <c r="LAT1" s="253"/>
      <c r="LAU1" s="253"/>
      <c r="LAV1" s="253"/>
      <c r="LAW1" s="252"/>
      <c r="LAX1" s="253"/>
      <c r="LAY1" s="253"/>
      <c r="LAZ1" s="253"/>
      <c r="LBA1" s="252"/>
      <c r="LBB1" s="253"/>
      <c r="LBC1" s="253"/>
      <c r="LBD1" s="253"/>
      <c r="LBE1" s="252"/>
      <c r="LBF1" s="253"/>
      <c r="LBG1" s="253"/>
      <c r="LBH1" s="253"/>
      <c r="LBI1" s="252"/>
      <c r="LBJ1" s="253"/>
      <c r="LBK1" s="253"/>
      <c r="LBL1" s="253"/>
      <c r="LBM1" s="252"/>
      <c r="LBN1" s="253"/>
      <c r="LBO1" s="253"/>
      <c r="LBP1" s="253"/>
      <c r="LBQ1" s="252"/>
      <c r="LBR1" s="253"/>
      <c r="LBS1" s="253"/>
      <c r="LBT1" s="253"/>
      <c r="LBU1" s="252"/>
      <c r="LBV1" s="253"/>
      <c r="LBW1" s="253"/>
      <c r="LBX1" s="253"/>
      <c r="LBY1" s="252"/>
      <c r="LBZ1" s="253"/>
      <c r="LCA1" s="253"/>
      <c r="LCB1" s="253"/>
      <c r="LCC1" s="252"/>
      <c r="LCD1" s="253"/>
      <c r="LCE1" s="253"/>
      <c r="LCF1" s="253"/>
      <c r="LCG1" s="252"/>
      <c r="LCH1" s="253"/>
      <c r="LCI1" s="253"/>
      <c r="LCJ1" s="253"/>
      <c r="LCK1" s="252"/>
      <c r="LCL1" s="253"/>
      <c r="LCM1" s="253"/>
      <c r="LCN1" s="253"/>
      <c r="LCO1" s="252"/>
      <c r="LCP1" s="253"/>
      <c r="LCQ1" s="253"/>
      <c r="LCR1" s="253"/>
      <c r="LCS1" s="252"/>
      <c r="LCT1" s="253"/>
      <c r="LCU1" s="253"/>
      <c r="LCV1" s="253"/>
      <c r="LCW1" s="252"/>
      <c r="LCX1" s="253"/>
      <c r="LCY1" s="253"/>
      <c r="LCZ1" s="253"/>
      <c r="LDA1" s="252"/>
      <c r="LDB1" s="253"/>
      <c r="LDC1" s="253"/>
      <c r="LDD1" s="253"/>
      <c r="LDE1" s="252"/>
      <c r="LDF1" s="253"/>
      <c r="LDG1" s="253"/>
      <c r="LDH1" s="253"/>
      <c r="LDI1" s="252"/>
      <c r="LDJ1" s="253"/>
      <c r="LDK1" s="253"/>
      <c r="LDL1" s="253"/>
      <c r="LDM1" s="252"/>
      <c r="LDN1" s="253"/>
      <c r="LDO1" s="253"/>
      <c r="LDP1" s="253"/>
      <c r="LDQ1" s="252"/>
      <c r="LDR1" s="253"/>
      <c r="LDS1" s="253"/>
      <c r="LDT1" s="253"/>
      <c r="LDU1" s="252"/>
      <c r="LDV1" s="253"/>
      <c r="LDW1" s="253"/>
      <c r="LDX1" s="253"/>
      <c r="LDY1" s="252"/>
      <c r="LDZ1" s="253"/>
      <c r="LEA1" s="253"/>
      <c r="LEB1" s="253"/>
      <c r="LEC1" s="252"/>
      <c r="LED1" s="253"/>
      <c r="LEE1" s="253"/>
      <c r="LEF1" s="253"/>
      <c r="LEG1" s="252"/>
      <c r="LEH1" s="253"/>
      <c r="LEI1" s="253"/>
      <c r="LEJ1" s="253"/>
      <c r="LEK1" s="252"/>
      <c r="LEL1" s="253"/>
      <c r="LEM1" s="253"/>
      <c r="LEN1" s="253"/>
      <c r="LEO1" s="252"/>
      <c r="LEP1" s="253"/>
      <c r="LEQ1" s="253"/>
      <c r="LER1" s="253"/>
      <c r="LES1" s="252"/>
      <c r="LET1" s="253"/>
      <c r="LEU1" s="253"/>
      <c r="LEV1" s="253"/>
      <c r="LEW1" s="252"/>
      <c r="LEX1" s="253"/>
      <c r="LEY1" s="253"/>
      <c r="LEZ1" s="253"/>
      <c r="LFA1" s="252"/>
      <c r="LFB1" s="253"/>
      <c r="LFC1" s="253"/>
      <c r="LFD1" s="253"/>
      <c r="LFE1" s="252"/>
      <c r="LFF1" s="253"/>
      <c r="LFG1" s="253"/>
      <c r="LFH1" s="253"/>
      <c r="LFI1" s="252"/>
      <c r="LFJ1" s="253"/>
      <c r="LFK1" s="253"/>
      <c r="LFL1" s="253"/>
      <c r="LFM1" s="252"/>
      <c r="LFN1" s="253"/>
      <c r="LFO1" s="253"/>
      <c r="LFP1" s="253"/>
      <c r="LFQ1" s="252"/>
      <c r="LFR1" s="253"/>
      <c r="LFS1" s="253"/>
      <c r="LFT1" s="253"/>
      <c r="LFU1" s="252"/>
      <c r="LFV1" s="253"/>
      <c r="LFW1" s="253"/>
      <c r="LFX1" s="253"/>
      <c r="LFY1" s="252"/>
      <c r="LFZ1" s="253"/>
      <c r="LGA1" s="253"/>
      <c r="LGB1" s="253"/>
      <c r="LGC1" s="252"/>
      <c r="LGD1" s="253"/>
      <c r="LGE1" s="253"/>
      <c r="LGF1" s="253"/>
      <c r="LGG1" s="252"/>
      <c r="LGH1" s="253"/>
      <c r="LGI1" s="253"/>
      <c r="LGJ1" s="253"/>
      <c r="LGK1" s="252"/>
      <c r="LGL1" s="253"/>
      <c r="LGM1" s="253"/>
      <c r="LGN1" s="253"/>
      <c r="LGO1" s="252"/>
      <c r="LGP1" s="253"/>
      <c r="LGQ1" s="253"/>
      <c r="LGR1" s="253"/>
      <c r="LGS1" s="252"/>
      <c r="LGT1" s="253"/>
      <c r="LGU1" s="253"/>
      <c r="LGV1" s="253"/>
      <c r="LGW1" s="252"/>
      <c r="LGX1" s="253"/>
      <c r="LGY1" s="253"/>
      <c r="LGZ1" s="253"/>
      <c r="LHA1" s="252"/>
      <c r="LHB1" s="253"/>
      <c r="LHC1" s="253"/>
      <c r="LHD1" s="253"/>
      <c r="LHE1" s="252"/>
      <c r="LHF1" s="253"/>
      <c r="LHG1" s="253"/>
      <c r="LHH1" s="253"/>
      <c r="LHI1" s="252"/>
      <c r="LHJ1" s="253"/>
      <c r="LHK1" s="253"/>
      <c r="LHL1" s="253"/>
      <c r="LHM1" s="252"/>
      <c r="LHN1" s="253"/>
      <c r="LHO1" s="253"/>
      <c r="LHP1" s="253"/>
      <c r="LHQ1" s="252"/>
      <c r="LHR1" s="253"/>
      <c r="LHS1" s="253"/>
      <c r="LHT1" s="253"/>
      <c r="LHU1" s="252"/>
      <c r="LHV1" s="253"/>
      <c r="LHW1" s="253"/>
      <c r="LHX1" s="253"/>
      <c r="LHY1" s="252"/>
      <c r="LHZ1" s="253"/>
      <c r="LIA1" s="253"/>
      <c r="LIB1" s="253"/>
      <c r="LIC1" s="252"/>
      <c r="LID1" s="253"/>
      <c r="LIE1" s="253"/>
      <c r="LIF1" s="253"/>
      <c r="LIG1" s="252"/>
      <c r="LIH1" s="253"/>
      <c r="LII1" s="253"/>
      <c r="LIJ1" s="253"/>
      <c r="LIK1" s="252"/>
      <c r="LIL1" s="253"/>
      <c r="LIM1" s="253"/>
      <c r="LIN1" s="253"/>
      <c r="LIO1" s="252"/>
      <c r="LIP1" s="253"/>
      <c r="LIQ1" s="253"/>
      <c r="LIR1" s="253"/>
      <c r="LIS1" s="252"/>
      <c r="LIT1" s="253"/>
      <c r="LIU1" s="253"/>
      <c r="LIV1" s="253"/>
      <c r="LIW1" s="252"/>
      <c r="LIX1" s="253"/>
      <c r="LIY1" s="253"/>
      <c r="LIZ1" s="253"/>
      <c r="LJA1" s="252"/>
      <c r="LJB1" s="253"/>
      <c r="LJC1" s="253"/>
      <c r="LJD1" s="253"/>
      <c r="LJE1" s="252"/>
      <c r="LJF1" s="253"/>
      <c r="LJG1" s="253"/>
      <c r="LJH1" s="253"/>
      <c r="LJI1" s="252"/>
      <c r="LJJ1" s="253"/>
      <c r="LJK1" s="253"/>
      <c r="LJL1" s="253"/>
      <c r="LJM1" s="252"/>
      <c r="LJN1" s="253"/>
      <c r="LJO1" s="253"/>
      <c r="LJP1" s="253"/>
      <c r="LJQ1" s="252"/>
      <c r="LJR1" s="253"/>
      <c r="LJS1" s="253"/>
      <c r="LJT1" s="253"/>
      <c r="LJU1" s="252"/>
      <c r="LJV1" s="253"/>
      <c r="LJW1" s="253"/>
      <c r="LJX1" s="253"/>
      <c r="LJY1" s="252"/>
      <c r="LJZ1" s="253"/>
      <c r="LKA1" s="253"/>
      <c r="LKB1" s="253"/>
      <c r="LKC1" s="252"/>
      <c r="LKD1" s="253"/>
      <c r="LKE1" s="253"/>
      <c r="LKF1" s="253"/>
      <c r="LKG1" s="252"/>
      <c r="LKH1" s="253"/>
      <c r="LKI1" s="253"/>
      <c r="LKJ1" s="253"/>
      <c r="LKK1" s="252"/>
      <c r="LKL1" s="253"/>
      <c r="LKM1" s="253"/>
      <c r="LKN1" s="253"/>
      <c r="LKO1" s="252"/>
      <c r="LKP1" s="253"/>
      <c r="LKQ1" s="253"/>
      <c r="LKR1" s="253"/>
      <c r="LKS1" s="252"/>
      <c r="LKT1" s="253"/>
      <c r="LKU1" s="253"/>
      <c r="LKV1" s="253"/>
      <c r="LKW1" s="252"/>
      <c r="LKX1" s="253"/>
      <c r="LKY1" s="253"/>
      <c r="LKZ1" s="253"/>
      <c r="LLA1" s="252"/>
      <c r="LLB1" s="253"/>
      <c r="LLC1" s="253"/>
      <c r="LLD1" s="253"/>
      <c r="LLE1" s="252"/>
      <c r="LLF1" s="253"/>
      <c r="LLG1" s="253"/>
      <c r="LLH1" s="253"/>
      <c r="LLI1" s="252"/>
      <c r="LLJ1" s="253"/>
      <c r="LLK1" s="253"/>
      <c r="LLL1" s="253"/>
      <c r="LLM1" s="252"/>
      <c r="LLN1" s="253"/>
      <c r="LLO1" s="253"/>
      <c r="LLP1" s="253"/>
      <c r="LLQ1" s="252"/>
      <c r="LLR1" s="253"/>
      <c r="LLS1" s="253"/>
      <c r="LLT1" s="253"/>
      <c r="LLU1" s="252"/>
      <c r="LLV1" s="253"/>
      <c r="LLW1" s="253"/>
      <c r="LLX1" s="253"/>
      <c r="LLY1" s="252"/>
      <c r="LLZ1" s="253"/>
      <c r="LMA1" s="253"/>
      <c r="LMB1" s="253"/>
      <c r="LMC1" s="252"/>
      <c r="LMD1" s="253"/>
      <c r="LME1" s="253"/>
      <c r="LMF1" s="253"/>
      <c r="LMG1" s="252"/>
      <c r="LMH1" s="253"/>
      <c r="LMI1" s="253"/>
      <c r="LMJ1" s="253"/>
      <c r="LMK1" s="252"/>
      <c r="LML1" s="253"/>
      <c r="LMM1" s="253"/>
      <c r="LMN1" s="253"/>
      <c r="LMO1" s="252"/>
      <c r="LMP1" s="253"/>
      <c r="LMQ1" s="253"/>
      <c r="LMR1" s="253"/>
      <c r="LMS1" s="252"/>
      <c r="LMT1" s="253"/>
      <c r="LMU1" s="253"/>
      <c r="LMV1" s="253"/>
      <c r="LMW1" s="252"/>
      <c r="LMX1" s="253"/>
      <c r="LMY1" s="253"/>
      <c r="LMZ1" s="253"/>
      <c r="LNA1" s="252"/>
      <c r="LNB1" s="253"/>
      <c r="LNC1" s="253"/>
      <c r="LND1" s="253"/>
      <c r="LNE1" s="252"/>
      <c r="LNF1" s="253"/>
      <c r="LNG1" s="253"/>
      <c r="LNH1" s="253"/>
      <c r="LNI1" s="252"/>
      <c r="LNJ1" s="253"/>
      <c r="LNK1" s="253"/>
      <c r="LNL1" s="253"/>
      <c r="LNM1" s="252"/>
      <c r="LNN1" s="253"/>
      <c r="LNO1" s="253"/>
      <c r="LNP1" s="253"/>
      <c r="LNQ1" s="252"/>
      <c r="LNR1" s="253"/>
      <c r="LNS1" s="253"/>
      <c r="LNT1" s="253"/>
      <c r="LNU1" s="252"/>
      <c r="LNV1" s="253"/>
      <c r="LNW1" s="253"/>
      <c r="LNX1" s="253"/>
      <c r="LNY1" s="252"/>
      <c r="LNZ1" s="253"/>
      <c r="LOA1" s="253"/>
      <c r="LOB1" s="253"/>
      <c r="LOC1" s="252"/>
      <c r="LOD1" s="253"/>
      <c r="LOE1" s="253"/>
      <c r="LOF1" s="253"/>
      <c r="LOG1" s="252"/>
      <c r="LOH1" s="253"/>
      <c r="LOI1" s="253"/>
      <c r="LOJ1" s="253"/>
      <c r="LOK1" s="252"/>
      <c r="LOL1" s="253"/>
      <c r="LOM1" s="253"/>
      <c r="LON1" s="253"/>
      <c r="LOO1" s="252"/>
      <c r="LOP1" s="253"/>
      <c r="LOQ1" s="253"/>
      <c r="LOR1" s="253"/>
      <c r="LOS1" s="252"/>
      <c r="LOT1" s="253"/>
      <c r="LOU1" s="253"/>
      <c r="LOV1" s="253"/>
      <c r="LOW1" s="252"/>
      <c r="LOX1" s="253"/>
      <c r="LOY1" s="253"/>
      <c r="LOZ1" s="253"/>
      <c r="LPA1" s="252"/>
      <c r="LPB1" s="253"/>
      <c r="LPC1" s="253"/>
      <c r="LPD1" s="253"/>
      <c r="LPE1" s="252"/>
      <c r="LPF1" s="253"/>
      <c r="LPG1" s="253"/>
      <c r="LPH1" s="253"/>
      <c r="LPI1" s="252"/>
      <c r="LPJ1" s="253"/>
      <c r="LPK1" s="253"/>
      <c r="LPL1" s="253"/>
      <c r="LPM1" s="252"/>
      <c r="LPN1" s="253"/>
      <c r="LPO1" s="253"/>
      <c r="LPP1" s="253"/>
      <c r="LPQ1" s="252"/>
      <c r="LPR1" s="253"/>
      <c r="LPS1" s="253"/>
      <c r="LPT1" s="253"/>
      <c r="LPU1" s="252"/>
      <c r="LPV1" s="253"/>
      <c r="LPW1" s="253"/>
      <c r="LPX1" s="253"/>
      <c r="LPY1" s="252"/>
      <c r="LPZ1" s="253"/>
      <c r="LQA1" s="253"/>
      <c r="LQB1" s="253"/>
      <c r="LQC1" s="252"/>
      <c r="LQD1" s="253"/>
      <c r="LQE1" s="253"/>
      <c r="LQF1" s="253"/>
      <c r="LQG1" s="252"/>
      <c r="LQH1" s="253"/>
      <c r="LQI1" s="253"/>
      <c r="LQJ1" s="253"/>
      <c r="LQK1" s="252"/>
      <c r="LQL1" s="253"/>
      <c r="LQM1" s="253"/>
      <c r="LQN1" s="253"/>
      <c r="LQO1" s="252"/>
      <c r="LQP1" s="253"/>
      <c r="LQQ1" s="253"/>
      <c r="LQR1" s="253"/>
      <c r="LQS1" s="252"/>
      <c r="LQT1" s="253"/>
      <c r="LQU1" s="253"/>
      <c r="LQV1" s="253"/>
      <c r="LQW1" s="252"/>
      <c r="LQX1" s="253"/>
      <c r="LQY1" s="253"/>
      <c r="LQZ1" s="253"/>
      <c r="LRA1" s="252"/>
      <c r="LRB1" s="253"/>
      <c r="LRC1" s="253"/>
      <c r="LRD1" s="253"/>
      <c r="LRE1" s="252"/>
      <c r="LRF1" s="253"/>
      <c r="LRG1" s="253"/>
      <c r="LRH1" s="253"/>
      <c r="LRI1" s="252"/>
      <c r="LRJ1" s="253"/>
      <c r="LRK1" s="253"/>
      <c r="LRL1" s="253"/>
      <c r="LRM1" s="252"/>
      <c r="LRN1" s="253"/>
      <c r="LRO1" s="253"/>
      <c r="LRP1" s="253"/>
      <c r="LRQ1" s="252"/>
      <c r="LRR1" s="253"/>
      <c r="LRS1" s="253"/>
      <c r="LRT1" s="253"/>
      <c r="LRU1" s="252"/>
      <c r="LRV1" s="253"/>
      <c r="LRW1" s="253"/>
      <c r="LRX1" s="253"/>
      <c r="LRY1" s="252"/>
      <c r="LRZ1" s="253"/>
      <c r="LSA1" s="253"/>
      <c r="LSB1" s="253"/>
      <c r="LSC1" s="252"/>
      <c r="LSD1" s="253"/>
      <c r="LSE1" s="253"/>
      <c r="LSF1" s="253"/>
      <c r="LSG1" s="252"/>
      <c r="LSH1" s="253"/>
      <c r="LSI1" s="253"/>
      <c r="LSJ1" s="253"/>
      <c r="LSK1" s="252"/>
      <c r="LSL1" s="253"/>
      <c r="LSM1" s="253"/>
      <c r="LSN1" s="253"/>
      <c r="LSO1" s="252"/>
      <c r="LSP1" s="253"/>
      <c r="LSQ1" s="253"/>
      <c r="LSR1" s="253"/>
      <c r="LSS1" s="252"/>
      <c r="LST1" s="253"/>
      <c r="LSU1" s="253"/>
      <c r="LSV1" s="253"/>
      <c r="LSW1" s="252"/>
      <c r="LSX1" s="253"/>
      <c r="LSY1" s="253"/>
      <c r="LSZ1" s="253"/>
      <c r="LTA1" s="252"/>
      <c r="LTB1" s="253"/>
      <c r="LTC1" s="253"/>
      <c r="LTD1" s="253"/>
      <c r="LTE1" s="252"/>
      <c r="LTF1" s="253"/>
      <c r="LTG1" s="253"/>
      <c r="LTH1" s="253"/>
      <c r="LTI1" s="252"/>
      <c r="LTJ1" s="253"/>
      <c r="LTK1" s="253"/>
      <c r="LTL1" s="253"/>
      <c r="LTM1" s="252"/>
      <c r="LTN1" s="253"/>
      <c r="LTO1" s="253"/>
      <c r="LTP1" s="253"/>
      <c r="LTQ1" s="252"/>
      <c r="LTR1" s="253"/>
      <c r="LTS1" s="253"/>
      <c r="LTT1" s="253"/>
      <c r="LTU1" s="252"/>
      <c r="LTV1" s="253"/>
      <c r="LTW1" s="253"/>
      <c r="LTX1" s="253"/>
      <c r="LTY1" s="252"/>
      <c r="LTZ1" s="253"/>
      <c r="LUA1" s="253"/>
      <c r="LUB1" s="253"/>
      <c r="LUC1" s="252"/>
      <c r="LUD1" s="253"/>
      <c r="LUE1" s="253"/>
      <c r="LUF1" s="253"/>
      <c r="LUG1" s="252"/>
      <c r="LUH1" s="253"/>
      <c r="LUI1" s="253"/>
      <c r="LUJ1" s="253"/>
      <c r="LUK1" s="252"/>
      <c r="LUL1" s="253"/>
      <c r="LUM1" s="253"/>
      <c r="LUN1" s="253"/>
      <c r="LUO1" s="252"/>
      <c r="LUP1" s="253"/>
      <c r="LUQ1" s="253"/>
      <c r="LUR1" s="253"/>
      <c r="LUS1" s="252"/>
      <c r="LUT1" s="253"/>
      <c r="LUU1" s="253"/>
      <c r="LUV1" s="253"/>
      <c r="LUW1" s="252"/>
      <c r="LUX1" s="253"/>
      <c r="LUY1" s="253"/>
      <c r="LUZ1" s="253"/>
      <c r="LVA1" s="252"/>
      <c r="LVB1" s="253"/>
      <c r="LVC1" s="253"/>
      <c r="LVD1" s="253"/>
      <c r="LVE1" s="252"/>
      <c r="LVF1" s="253"/>
      <c r="LVG1" s="253"/>
      <c r="LVH1" s="253"/>
      <c r="LVI1" s="252"/>
      <c r="LVJ1" s="253"/>
      <c r="LVK1" s="253"/>
      <c r="LVL1" s="253"/>
      <c r="LVM1" s="252"/>
      <c r="LVN1" s="253"/>
      <c r="LVO1" s="253"/>
      <c r="LVP1" s="253"/>
      <c r="LVQ1" s="252"/>
      <c r="LVR1" s="253"/>
      <c r="LVS1" s="253"/>
      <c r="LVT1" s="253"/>
      <c r="LVU1" s="252"/>
      <c r="LVV1" s="253"/>
      <c r="LVW1" s="253"/>
      <c r="LVX1" s="253"/>
      <c r="LVY1" s="252"/>
      <c r="LVZ1" s="253"/>
      <c r="LWA1" s="253"/>
      <c r="LWB1" s="253"/>
      <c r="LWC1" s="252"/>
      <c r="LWD1" s="253"/>
      <c r="LWE1" s="253"/>
      <c r="LWF1" s="253"/>
      <c r="LWG1" s="252"/>
      <c r="LWH1" s="253"/>
      <c r="LWI1" s="253"/>
      <c r="LWJ1" s="253"/>
      <c r="LWK1" s="252"/>
      <c r="LWL1" s="253"/>
      <c r="LWM1" s="253"/>
      <c r="LWN1" s="253"/>
      <c r="LWO1" s="252"/>
      <c r="LWP1" s="253"/>
      <c r="LWQ1" s="253"/>
      <c r="LWR1" s="253"/>
      <c r="LWS1" s="252"/>
      <c r="LWT1" s="253"/>
      <c r="LWU1" s="253"/>
      <c r="LWV1" s="253"/>
      <c r="LWW1" s="252"/>
      <c r="LWX1" s="253"/>
      <c r="LWY1" s="253"/>
      <c r="LWZ1" s="253"/>
      <c r="LXA1" s="252"/>
      <c r="LXB1" s="253"/>
      <c r="LXC1" s="253"/>
      <c r="LXD1" s="253"/>
      <c r="LXE1" s="252"/>
      <c r="LXF1" s="253"/>
      <c r="LXG1" s="253"/>
      <c r="LXH1" s="253"/>
      <c r="LXI1" s="252"/>
      <c r="LXJ1" s="253"/>
      <c r="LXK1" s="253"/>
      <c r="LXL1" s="253"/>
      <c r="LXM1" s="252"/>
      <c r="LXN1" s="253"/>
      <c r="LXO1" s="253"/>
      <c r="LXP1" s="253"/>
      <c r="LXQ1" s="252"/>
      <c r="LXR1" s="253"/>
      <c r="LXS1" s="253"/>
      <c r="LXT1" s="253"/>
      <c r="LXU1" s="252"/>
      <c r="LXV1" s="253"/>
      <c r="LXW1" s="253"/>
      <c r="LXX1" s="253"/>
      <c r="LXY1" s="252"/>
      <c r="LXZ1" s="253"/>
      <c r="LYA1" s="253"/>
      <c r="LYB1" s="253"/>
      <c r="LYC1" s="252"/>
      <c r="LYD1" s="253"/>
      <c r="LYE1" s="253"/>
      <c r="LYF1" s="253"/>
      <c r="LYG1" s="252"/>
      <c r="LYH1" s="253"/>
      <c r="LYI1" s="253"/>
      <c r="LYJ1" s="253"/>
      <c r="LYK1" s="252"/>
      <c r="LYL1" s="253"/>
      <c r="LYM1" s="253"/>
      <c r="LYN1" s="253"/>
      <c r="LYO1" s="252"/>
      <c r="LYP1" s="253"/>
      <c r="LYQ1" s="253"/>
      <c r="LYR1" s="253"/>
      <c r="LYS1" s="252"/>
      <c r="LYT1" s="253"/>
      <c r="LYU1" s="253"/>
      <c r="LYV1" s="253"/>
      <c r="LYW1" s="252"/>
      <c r="LYX1" s="253"/>
      <c r="LYY1" s="253"/>
      <c r="LYZ1" s="253"/>
      <c r="LZA1" s="252"/>
      <c r="LZB1" s="253"/>
      <c r="LZC1" s="253"/>
      <c r="LZD1" s="253"/>
      <c r="LZE1" s="252"/>
      <c r="LZF1" s="253"/>
      <c r="LZG1" s="253"/>
      <c r="LZH1" s="253"/>
      <c r="LZI1" s="252"/>
      <c r="LZJ1" s="253"/>
      <c r="LZK1" s="253"/>
      <c r="LZL1" s="253"/>
      <c r="LZM1" s="252"/>
      <c r="LZN1" s="253"/>
      <c r="LZO1" s="253"/>
      <c r="LZP1" s="253"/>
      <c r="LZQ1" s="252"/>
      <c r="LZR1" s="253"/>
      <c r="LZS1" s="253"/>
      <c r="LZT1" s="253"/>
      <c r="LZU1" s="252"/>
      <c r="LZV1" s="253"/>
      <c r="LZW1" s="253"/>
      <c r="LZX1" s="253"/>
      <c r="LZY1" s="252"/>
      <c r="LZZ1" s="253"/>
      <c r="MAA1" s="253"/>
      <c r="MAB1" s="253"/>
      <c r="MAC1" s="252"/>
      <c r="MAD1" s="253"/>
      <c r="MAE1" s="253"/>
      <c r="MAF1" s="253"/>
      <c r="MAG1" s="252"/>
      <c r="MAH1" s="253"/>
      <c r="MAI1" s="253"/>
      <c r="MAJ1" s="253"/>
      <c r="MAK1" s="252"/>
      <c r="MAL1" s="253"/>
      <c r="MAM1" s="253"/>
      <c r="MAN1" s="253"/>
      <c r="MAO1" s="252"/>
      <c r="MAP1" s="253"/>
      <c r="MAQ1" s="253"/>
      <c r="MAR1" s="253"/>
      <c r="MAS1" s="252"/>
      <c r="MAT1" s="253"/>
      <c r="MAU1" s="253"/>
      <c r="MAV1" s="253"/>
      <c r="MAW1" s="252"/>
      <c r="MAX1" s="253"/>
      <c r="MAY1" s="253"/>
      <c r="MAZ1" s="253"/>
      <c r="MBA1" s="252"/>
      <c r="MBB1" s="253"/>
      <c r="MBC1" s="253"/>
      <c r="MBD1" s="253"/>
      <c r="MBE1" s="252"/>
      <c r="MBF1" s="253"/>
      <c r="MBG1" s="253"/>
      <c r="MBH1" s="253"/>
      <c r="MBI1" s="252"/>
      <c r="MBJ1" s="253"/>
      <c r="MBK1" s="253"/>
      <c r="MBL1" s="253"/>
      <c r="MBM1" s="252"/>
      <c r="MBN1" s="253"/>
      <c r="MBO1" s="253"/>
      <c r="MBP1" s="253"/>
      <c r="MBQ1" s="252"/>
      <c r="MBR1" s="253"/>
      <c r="MBS1" s="253"/>
      <c r="MBT1" s="253"/>
      <c r="MBU1" s="252"/>
      <c r="MBV1" s="253"/>
      <c r="MBW1" s="253"/>
      <c r="MBX1" s="253"/>
      <c r="MBY1" s="252"/>
      <c r="MBZ1" s="253"/>
      <c r="MCA1" s="253"/>
      <c r="MCB1" s="253"/>
      <c r="MCC1" s="252"/>
      <c r="MCD1" s="253"/>
      <c r="MCE1" s="253"/>
      <c r="MCF1" s="253"/>
      <c r="MCG1" s="252"/>
      <c r="MCH1" s="253"/>
      <c r="MCI1" s="253"/>
      <c r="MCJ1" s="253"/>
      <c r="MCK1" s="252"/>
      <c r="MCL1" s="253"/>
      <c r="MCM1" s="253"/>
      <c r="MCN1" s="253"/>
      <c r="MCO1" s="252"/>
      <c r="MCP1" s="253"/>
      <c r="MCQ1" s="253"/>
      <c r="MCR1" s="253"/>
      <c r="MCS1" s="252"/>
      <c r="MCT1" s="253"/>
      <c r="MCU1" s="253"/>
      <c r="MCV1" s="253"/>
      <c r="MCW1" s="252"/>
      <c r="MCX1" s="253"/>
      <c r="MCY1" s="253"/>
      <c r="MCZ1" s="253"/>
      <c r="MDA1" s="252"/>
      <c r="MDB1" s="253"/>
      <c r="MDC1" s="253"/>
      <c r="MDD1" s="253"/>
      <c r="MDE1" s="252"/>
      <c r="MDF1" s="253"/>
      <c r="MDG1" s="253"/>
      <c r="MDH1" s="253"/>
      <c r="MDI1" s="252"/>
      <c r="MDJ1" s="253"/>
      <c r="MDK1" s="253"/>
      <c r="MDL1" s="253"/>
      <c r="MDM1" s="252"/>
      <c r="MDN1" s="253"/>
      <c r="MDO1" s="253"/>
      <c r="MDP1" s="253"/>
      <c r="MDQ1" s="252"/>
      <c r="MDR1" s="253"/>
      <c r="MDS1" s="253"/>
      <c r="MDT1" s="253"/>
      <c r="MDU1" s="252"/>
      <c r="MDV1" s="253"/>
      <c r="MDW1" s="253"/>
      <c r="MDX1" s="253"/>
      <c r="MDY1" s="252"/>
      <c r="MDZ1" s="253"/>
      <c r="MEA1" s="253"/>
      <c r="MEB1" s="253"/>
      <c r="MEC1" s="252"/>
      <c r="MED1" s="253"/>
      <c r="MEE1" s="253"/>
      <c r="MEF1" s="253"/>
      <c r="MEG1" s="252"/>
      <c r="MEH1" s="253"/>
      <c r="MEI1" s="253"/>
      <c r="MEJ1" s="253"/>
      <c r="MEK1" s="252"/>
      <c r="MEL1" s="253"/>
      <c r="MEM1" s="253"/>
      <c r="MEN1" s="253"/>
      <c r="MEO1" s="252"/>
      <c r="MEP1" s="253"/>
      <c r="MEQ1" s="253"/>
      <c r="MER1" s="253"/>
      <c r="MES1" s="252"/>
      <c r="MET1" s="253"/>
      <c r="MEU1" s="253"/>
      <c r="MEV1" s="253"/>
      <c r="MEW1" s="252"/>
      <c r="MEX1" s="253"/>
      <c r="MEY1" s="253"/>
      <c r="MEZ1" s="253"/>
      <c r="MFA1" s="252"/>
      <c r="MFB1" s="253"/>
      <c r="MFC1" s="253"/>
      <c r="MFD1" s="253"/>
      <c r="MFE1" s="252"/>
      <c r="MFF1" s="253"/>
      <c r="MFG1" s="253"/>
      <c r="MFH1" s="253"/>
      <c r="MFI1" s="252"/>
      <c r="MFJ1" s="253"/>
      <c r="MFK1" s="253"/>
      <c r="MFL1" s="253"/>
      <c r="MFM1" s="252"/>
      <c r="MFN1" s="253"/>
      <c r="MFO1" s="253"/>
      <c r="MFP1" s="253"/>
      <c r="MFQ1" s="252"/>
      <c r="MFR1" s="253"/>
      <c r="MFS1" s="253"/>
      <c r="MFT1" s="253"/>
      <c r="MFU1" s="252"/>
      <c r="MFV1" s="253"/>
      <c r="MFW1" s="253"/>
      <c r="MFX1" s="253"/>
      <c r="MFY1" s="252"/>
      <c r="MFZ1" s="253"/>
      <c r="MGA1" s="253"/>
      <c r="MGB1" s="253"/>
      <c r="MGC1" s="252"/>
      <c r="MGD1" s="253"/>
      <c r="MGE1" s="253"/>
      <c r="MGF1" s="253"/>
      <c r="MGG1" s="252"/>
      <c r="MGH1" s="253"/>
      <c r="MGI1" s="253"/>
      <c r="MGJ1" s="253"/>
      <c r="MGK1" s="252"/>
      <c r="MGL1" s="253"/>
      <c r="MGM1" s="253"/>
      <c r="MGN1" s="253"/>
      <c r="MGO1" s="252"/>
      <c r="MGP1" s="253"/>
      <c r="MGQ1" s="253"/>
      <c r="MGR1" s="253"/>
      <c r="MGS1" s="252"/>
      <c r="MGT1" s="253"/>
      <c r="MGU1" s="253"/>
      <c r="MGV1" s="253"/>
      <c r="MGW1" s="252"/>
      <c r="MGX1" s="253"/>
      <c r="MGY1" s="253"/>
      <c r="MGZ1" s="253"/>
      <c r="MHA1" s="252"/>
      <c r="MHB1" s="253"/>
      <c r="MHC1" s="253"/>
      <c r="MHD1" s="253"/>
      <c r="MHE1" s="252"/>
      <c r="MHF1" s="253"/>
      <c r="MHG1" s="253"/>
      <c r="MHH1" s="253"/>
      <c r="MHI1" s="252"/>
      <c r="MHJ1" s="253"/>
      <c r="MHK1" s="253"/>
      <c r="MHL1" s="253"/>
      <c r="MHM1" s="252"/>
      <c r="MHN1" s="253"/>
      <c r="MHO1" s="253"/>
      <c r="MHP1" s="253"/>
      <c r="MHQ1" s="252"/>
      <c r="MHR1" s="253"/>
      <c r="MHS1" s="253"/>
      <c r="MHT1" s="253"/>
      <c r="MHU1" s="252"/>
      <c r="MHV1" s="253"/>
      <c r="MHW1" s="253"/>
      <c r="MHX1" s="253"/>
      <c r="MHY1" s="252"/>
      <c r="MHZ1" s="253"/>
      <c r="MIA1" s="253"/>
      <c r="MIB1" s="253"/>
      <c r="MIC1" s="252"/>
      <c r="MID1" s="253"/>
      <c r="MIE1" s="253"/>
      <c r="MIF1" s="253"/>
      <c r="MIG1" s="252"/>
      <c r="MIH1" s="253"/>
      <c r="MII1" s="253"/>
      <c r="MIJ1" s="253"/>
      <c r="MIK1" s="252"/>
      <c r="MIL1" s="253"/>
      <c r="MIM1" s="253"/>
      <c r="MIN1" s="253"/>
      <c r="MIO1" s="252"/>
      <c r="MIP1" s="253"/>
      <c r="MIQ1" s="253"/>
      <c r="MIR1" s="253"/>
      <c r="MIS1" s="252"/>
      <c r="MIT1" s="253"/>
      <c r="MIU1" s="253"/>
      <c r="MIV1" s="253"/>
      <c r="MIW1" s="252"/>
      <c r="MIX1" s="253"/>
      <c r="MIY1" s="253"/>
      <c r="MIZ1" s="253"/>
      <c r="MJA1" s="252"/>
      <c r="MJB1" s="253"/>
      <c r="MJC1" s="253"/>
      <c r="MJD1" s="253"/>
      <c r="MJE1" s="252"/>
      <c r="MJF1" s="253"/>
      <c r="MJG1" s="253"/>
      <c r="MJH1" s="253"/>
      <c r="MJI1" s="252"/>
      <c r="MJJ1" s="253"/>
      <c r="MJK1" s="253"/>
      <c r="MJL1" s="253"/>
      <c r="MJM1" s="252"/>
      <c r="MJN1" s="253"/>
      <c r="MJO1" s="253"/>
      <c r="MJP1" s="253"/>
      <c r="MJQ1" s="252"/>
      <c r="MJR1" s="253"/>
      <c r="MJS1" s="253"/>
      <c r="MJT1" s="253"/>
      <c r="MJU1" s="252"/>
      <c r="MJV1" s="253"/>
      <c r="MJW1" s="253"/>
      <c r="MJX1" s="253"/>
      <c r="MJY1" s="252"/>
      <c r="MJZ1" s="253"/>
      <c r="MKA1" s="253"/>
      <c r="MKB1" s="253"/>
      <c r="MKC1" s="252"/>
      <c r="MKD1" s="253"/>
      <c r="MKE1" s="253"/>
      <c r="MKF1" s="253"/>
      <c r="MKG1" s="252"/>
      <c r="MKH1" s="253"/>
      <c r="MKI1" s="253"/>
      <c r="MKJ1" s="253"/>
      <c r="MKK1" s="252"/>
      <c r="MKL1" s="253"/>
      <c r="MKM1" s="253"/>
      <c r="MKN1" s="253"/>
      <c r="MKO1" s="252"/>
      <c r="MKP1" s="253"/>
      <c r="MKQ1" s="253"/>
      <c r="MKR1" s="253"/>
      <c r="MKS1" s="252"/>
      <c r="MKT1" s="253"/>
      <c r="MKU1" s="253"/>
      <c r="MKV1" s="253"/>
      <c r="MKW1" s="252"/>
      <c r="MKX1" s="253"/>
      <c r="MKY1" s="253"/>
      <c r="MKZ1" s="253"/>
      <c r="MLA1" s="252"/>
      <c r="MLB1" s="253"/>
      <c r="MLC1" s="253"/>
      <c r="MLD1" s="253"/>
      <c r="MLE1" s="252"/>
      <c r="MLF1" s="253"/>
      <c r="MLG1" s="253"/>
      <c r="MLH1" s="253"/>
      <c r="MLI1" s="252"/>
      <c r="MLJ1" s="253"/>
      <c r="MLK1" s="253"/>
      <c r="MLL1" s="253"/>
      <c r="MLM1" s="252"/>
      <c r="MLN1" s="253"/>
      <c r="MLO1" s="253"/>
      <c r="MLP1" s="253"/>
      <c r="MLQ1" s="252"/>
      <c r="MLR1" s="253"/>
      <c r="MLS1" s="253"/>
      <c r="MLT1" s="253"/>
      <c r="MLU1" s="252"/>
      <c r="MLV1" s="253"/>
      <c r="MLW1" s="253"/>
      <c r="MLX1" s="253"/>
      <c r="MLY1" s="252"/>
      <c r="MLZ1" s="253"/>
      <c r="MMA1" s="253"/>
      <c r="MMB1" s="253"/>
      <c r="MMC1" s="252"/>
      <c r="MMD1" s="253"/>
      <c r="MME1" s="253"/>
      <c r="MMF1" s="253"/>
      <c r="MMG1" s="252"/>
      <c r="MMH1" s="253"/>
      <c r="MMI1" s="253"/>
      <c r="MMJ1" s="253"/>
      <c r="MMK1" s="252"/>
      <c r="MML1" s="253"/>
      <c r="MMM1" s="253"/>
      <c r="MMN1" s="253"/>
      <c r="MMO1" s="252"/>
      <c r="MMP1" s="253"/>
      <c r="MMQ1" s="253"/>
      <c r="MMR1" s="253"/>
      <c r="MMS1" s="252"/>
      <c r="MMT1" s="253"/>
      <c r="MMU1" s="253"/>
      <c r="MMV1" s="253"/>
      <c r="MMW1" s="252"/>
      <c r="MMX1" s="253"/>
      <c r="MMY1" s="253"/>
      <c r="MMZ1" s="253"/>
      <c r="MNA1" s="252"/>
      <c r="MNB1" s="253"/>
      <c r="MNC1" s="253"/>
      <c r="MND1" s="253"/>
      <c r="MNE1" s="252"/>
      <c r="MNF1" s="253"/>
      <c r="MNG1" s="253"/>
      <c r="MNH1" s="253"/>
      <c r="MNI1" s="252"/>
      <c r="MNJ1" s="253"/>
      <c r="MNK1" s="253"/>
      <c r="MNL1" s="253"/>
      <c r="MNM1" s="252"/>
      <c r="MNN1" s="253"/>
      <c r="MNO1" s="253"/>
      <c r="MNP1" s="253"/>
      <c r="MNQ1" s="252"/>
      <c r="MNR1" s="253"/>
      <c r="MNS1" s="253"/>
      <c r="MNT1" s="253"/>
      <c r="MNU1" s="252"/>
      <c r="MNV1" s="253"/>
      <c r="MNW1" s="253"/>
      <c r="MNX1" s="253"/>
      <c r="MNY1" s="252"/>
      <c r="MNZ1" s="253"/>
      <c r="MOA1" s="253"/>
      <c r="MOB1" s="253"/>
      <c r="MOC1" s="252"/>
      <c r="MOD1" s="253"/>
      <c r="MOE1" s="253"/>
      <c r="MOF1" s="253"/>
      <c r="MOG1" s="252"/>
      <c r="MOH1" s="253"/>
      <c r="MOI1" s="253"/>
      <c r="MOJ1" s="253"/>
      <c r="MOK1" s="252"/>
      <c r="MOL1" s="253"/>
      <c r="MOM1" s="253"/>
      <c r="MON1" s="253"/>
      <c r="MOO1" s="252"/>
      <c r="MOP1" s="253"/>
      <c r="MOQ1" s="253"/>
      <c r="MOR1" s="253"/>
      <c r="MOS1" s="252"/>
      <c r="MOT1" s="253"/>
      <c r="MOU1" s="253"/>
      <c r="MOV1" s="253"/>
      <c r="MOW1" s="252"/>
      <c r="MOX1" s="253"/>
      <c r="MOY1" s="253"/>
      <c r="MOZ1" s="253"/>
      <c r="MPA1" s="252"/>
      <c r="MPB1" s="253"/>
      <c r="MPC1" s="253"/>
      <c r="MPD1" s="253"/>
      <c r="MPE1" s="252"/>
      <c r="MPF1" s="253"/>
      <c r="MPG1" s="253"/>
      <c r="MPH1" s="253"/>
      <c r="MPI1" s="252"/>
      <c r="MPJ1" s="253"/>
      <c r="MPK1" s="253"/>
      <c r="MPL1" s="253"/>
      <c r="MPM1" s="252"/>
      <c r="MPN1" s="253"/>
      <c r="MPO1" s="253"/>
      <c r="MPP1" s="253"/>
      <c r="MPQ1" s="252"/>
      <c r="MPR1" s="253"/>
      <c r="MPS1" s="253"/>
      <c r="MPT1" s="253"/>
      <c r="MPU1" s="252"/>
      <c r="MPV1" s="253"/>
      <c r="MPW1" s="253"/>
      <c r="MPX1" s="253"/>
      <c r="MPY1" s="252"/>
      <c r="MPZ1" s="253"/>
      <c r="MQA1" s="253"/>
      <c r="MQB1" s="253"/>
      <c r="MQC1" s="252"/>
      <c r="MQD1" s="253"/>
      <c r="MQE1" s="253"/>
      <c r="MQF1" s="253"/>
      <c r="MQG1" s="252"/>
      <c r="MQH1" s="253"/>
      <c r="MQI1" s="253"/>
      <c r="MQJ1" s="253"/>
      <c r="MQK1" s="252"/>
      <c r="MQL1" s="253"/>
      <c r="MQM1" s="253"/>
      <c r="MQN1" s="253"/>
      <c r="MQO1" s="252"/>
      <c r="MQP1" s="253"/>
      <c r="MQQ1" s="253"/>
      <c r="MQR1" s="253"/>
      <c r="MQS1" s="252"/>
      <c r="MQT1" s="253"/>
      <c r="MQU1" s="253"/>
      <c r="MQV1" s="253"/>
      <c r="MQW1" s="252"/>
      <c r="MQX1" s="253"/>
      <c r="MQY1" s="253"/>
      <c r="MQZ1" s="253"/>
      <c r="MRA1" s="252"/>
      <c r="MRB1" s="253"/>
      <c r="MRC1" s="253"/>
      <c r="MRD1" s="253"/>
      <c r="MRE1" s="252"/>
      <c r="MRF1" s="253"/>
      <c r="MRG1" s="253"/>
      <c r="MRH1" s="253"/>
      <c r="MRI1" s="252"/>
      <c r="MRJ1" s="253"/>
      <c r="MRK1" s="253"/>
      <c r="MRL1" s="253"/>
      <c r="MRM1" s="252"/>
      <c r="MRN1" s="253"/>
      <c r="MRO1" s="253"/>
      <c r="MRP1" s="253"/>
      <c r="MRQ1" s="252"/>
      <c r="MRR1" s="253"/>
      <c r="MRS1" s="253"/>
      <c r="MRT1" s="253"/>
      <c r="MRU1" s="252"/>
      <c r="MRV1" s="253"/>
      <c r="MRW1" s="253"/>
      <c r="MRX1" s="253"/>
      <c r="MRY1" s="252"/>
      <c r="MRZ1" s="253"/>
      <c r="MSA1" s="253"/>
      <c r="MSB1" s="253"/>
      <c r="MSC1" s="252"/>
      <c r="MSD1" s="253"/>
      <c r="MSE1" s="253"/>
      <c r="MSF1" s="253"/>
      <c r="MSG1" s="252"/>
      <c r="MSH1" s="253"/>
      <c r="MSI1" s="253"/>
      <c r="MSJ1" s="253"/>
      <c r="MSK1" s="252"/>
      <c r="MSL1" s="253"/>
      <c r="MSM1" s="253"/>
      <c r="MSN1" s="253"/>
      <c r="MSO1" s="252"/>
      <c r="MSP1" s="253"/>
      <c r="MSQ1" s="253"/>
      <c r="MSR1" s="253"/>
      <c r="MSS1" s="252"/>
      <c r="MST1" s="253"/>
      <c r="MSU1" s="253"/>
      <c r="MSV1" s="253"/>
      <c r="MSW1" s="252"/>
      <c r="MSX1" s="253"/>
      <c r="MSY1" s="253"/>
      <c r="MSZ1" s="253"/>
      <c r="MTA1" s="252"/>
      <c r="MTB1" s="253"/>
      <c r="MTC1" s="253"/>
      <c r="MTD1" s="253"/>
      <c r="MTE1" s="252"/>
      <c r="MTF1" s="253"/>
      <c r="MTG1" s="253"/>
      <c r="MTH1" s="253"/>
      <c r="MTI1" s="252"/>
      <c r="MTJ1" s="253"/>
      <c r="MTK1" s="253"/>
      <c r="MTL1" s="253"/>
      <c r="MTM1" s="252"/>
      <c r="MTN1" s="253"/>
      <c r="MTO1" s="253"/>
      <c r="MTP1" s="253"/>
      <c r="MTQ1" s="252"/>
      <c r="MTR1" s="253"/>
      <c r="MTS1" s="253"/>
      <c r="MTT1" s="253"/>
      <c r="MTU1" s="252"/>
      <c r="MTV1" s="253"/>
      <c r="MTW1" s="253"/>
      <c r="MTX1" s="253"/>
      <c r="MTY1" s="252"/>
      <c r="MTZ1" s="253"/>
      <c r="MUA1" s="253"/>
      <c r="MUB1" s="253"/>
      <c r="MUC1" s="252"/>
      <c r="MUD1" s="253"/>
      <c r="MUE1" s="253"/>
      <c r="MUF1" s="253"/>
      <c r="MUG1" s="252"/>
      <c r="MUH1" s="253"/>
      <c r="MUI1" s="253"/>
      <c r="MUJ1" s="253"/>
      <c r="MUK1" s="252"/>
      <c r="MUL1" s="253"/>
      <c r="MUM1" s="253"/>
      <c r="MUN1" s="253"/>
      <c r="MUO1" s="252"/>
      <c r="MUP1" s="253"/>
      <c r="MUQ1" s="253"/>
      <c r="MUR1" s="253"/>
      <c r="MUS1" s="252"/>
      <c r="MUT1" s="253"/>
      <c r="MUU1" s="253"/>
      <c r="MUV1" s="253"/>
      <c r="MUW1" s="252"/>
      <c r="MUX1" s="253"/>
      <c r="MUY1" s="253"/>
      <c r="MUZ1" s="253"/>
      <c r="MVA1" s="252"/>
      <c r="MVB1" s="253"/>
      <c r="MVC1" s="253"/>
      <c r="MVD1" s="253"/>
      <c r="MVE1" s="252"/>
      <c r="MVF1" s="253"/>
      <c r="MVG1" s="253"/>
      <c r="MVH1" s="253"/>
      <c r="MVI1" s="252"/>
      <c r="MVJ1" s="253"/>
      <c r="MVK1" s="253"/>
      <c r="MVL1" s="253"/>
      <c r="MVM1" s="252"/>
      <c r="MVN1" s="253"/>
      <c r="MVO1" s="253"/>
      <c r="MVP1" s="253"/>
      <c r="MVQ1" s="252"/>
      <c r="MVR1" s="253"/>
      <c r="MVS1" s="253"/>
      <c r="MVT1" s="253"/>
      <c r="MVU1" s="252"/>
      <c r="MVV1" s="253"/>
      <c r="MVW1" s="253"/>
      <c r="MVX1" s="253"/>
      <c r="MVY1" s="252"/>
      <c r="MVZ1" s="253"/>
      <c r="MWA1" s="253"/>
      <c r="MWB1" s="253"/>
      <c r="MWC1" s="252"/>
      <c r="MWD1" s="253"/>
      <c r="MWE1" s="253"/>
      <c r="MWF1" s="253"/>
      <c r="MWG1" s="252"/>
      <c r="MWH1" s="253"/>
      <c r="MWI1" s="253"/>
      <c r="MWJ1" s="253"/>
      <c r="MWK1" s="252"/>
      <c r="MWL1" s="253"/>
      <c r="MWM1" s="253"/>
      <c r="MWN1" s="253"/>
      <c r="MWO1" s="252"/>
      <c r="MWP1" s="253"/>
      <c r="MWQ1" s="253"/>
      <c r="MWR1" s="253"/>
      <c r="MWS1" s="252"/>
      <c r="MWT1" s="253"/>
      <c r="MWU1" s="253"/>
      <c r="MWV1" s="253"/>
      <c r="MWW1" s="252"/>
      <c r="MWX1" s="253"/>
      <c r="MWY1" s="253"/>
      <c r="MWZ1" s="253"/>
      <c r="MXA1" s="252"/>
      <c r="MXB1" s="253"/>
      <c r="MXC1" s="253"/>
      <c r="MXD1" s="253"/>
      <c r="MXE1" s="252"/>
      <c r="MXF1" s="253"/>
      <c r="MXG1" s="253"/>
      <c r="MXH1" s="253"/>
      <c r="MXI1" s="252"/>
      <c r="MXJ1" s="253"/>
      <c r="MXK1" s="253"/>
      <c r="MXL1" s="253"/>
      <c r="MXM1" s="252"/>
      <c r="MXN1" s="253"/>
      <c r="MXO1" s="253"/>
      <c r="MXP1" s="253"/>
      <c r="MXQ1" s="252"/>
      <c r="MXR1" s="253"/>
      <c r="MXS1" s="253"/>
      <c r="MXT1" s="253"/>
      <c r="MXU1" s="252"/>
      <c r="MXV1" s="253"/>
      <c r="MXW1" s="253"/>
      <c r="MXX1" s="253"/>
      <c r="MXY1" s="252"/>
      <c r="MXZ1" s="253"/>
      <c r="MYA1" s="253"/>
      <c r="MYB1" s="253"/>
      <c r="MYC1" s="252"/>
      <c r="MYD1" s="253"/>
      <c r="MYE1" s="253"/>
      <c r="MYF1" s="253"/>
      <c r="MYG1" s="252"/>
      <c r="MYH1" s="253"/>
      <c r="MYI1" s="253"/>
      <c r="MYJ1" s="253"/>
      <c r="MYK1" s="252"/>
      <c r="MYL1" s="253"/>
      <c r="MYM1" s="253"/>
      <c r="MYN1" s="253"/>
      <c r="MYO1" s="252"/>
      <c r="MYP1" s="253"/>
      <c r="MYQ1" s="253"/>
      <c r="MYR1" s="253"/>
      <c r="MYS1" s="252"/>
      <c r="MYT1" s="253"/>
      <c r="MYU1" s="253"/>
      <c r="MYV1" s="253"/>
      <c r="MYW1" s="252"/>
      <c r="MYX1" s="253"/>
      <c r="MYY1" s="253"/>
      <c r="MYZ1" s="253"/>
      <c r="MZA1" s="252"/>
      <c r="MZB1" s="253"/>
      <c r="MZC1" s="253"/>
      <c r="MZD1" s="253"/>
      <c r="MZE1" s="252"/>
      <c r="MZF1" s="253"/>
      <c r="MZG1" s="253"/>
      <c r="MZH1" s="253"/>
      <c r="MZI1" s="252"/>
      <c r="MZJ1" s="253"/>
      <c r="MZK1" s="253"/>
      <c r="MZL1" s="253"/>
      <c r="MZM1" s="252"/>
      <c r="MZN1" s="253"/>
      <c r="MZO1" s="253"/>
      <c r="MZP1" s="253"/>
      <c r="MZQ1" s="252"/>
      <c r="MZR1" s="253"/>
      <c r="MZS1" s="253"/>
      <c r="MZT1" s="253"/>
      <c r="MZU1" s="252"/>
      <c r="MZV1" s="253"/>
      <c r="MZW1" s="253"/>
      <c r="MZX1" s="253"/>
      <c r="MZY1" s="252"/>
      <c r="MZZ1" s="253"/>
      <c r="NAA1" s="253"/>
      <c r="NAB1" s="253"/>
      <c r="NAC1" s="252"/>
      <c r="NAD1" s="253"/>
      <c r="NAE1" s="253"/>
      <c r="NAF1" s="253"/>
      <c r="NAG1" s="252"/>
      <c r="NAH1" s="253"/>
      <c r="NAI1" s="253"/>
      <c r="NAJ1" s="253"/>
      <c r="NAK1" s="252"/>
      <c r="NAL1" s="253"/>
      <c r="NAM1" s="253"/>
      <c r="NAN1" s="253"/>
      <c r="NAO1" s="252"/>
      <c r="NAP1" s="253"/>
      <c r="NAQ1" s="253"/>
      <c r="NAR1" s="253"/>
      <c r="NAS1" s="252"/>
      <c r="NAT1" s="253"/>
      <c r="NAU1" s="253"/>
      <c r="NAV1" s="253"/>
      <c r="NAW1" s="252"/>
      <c r="NAX1" s="253"/>
      <c r="NAY1" s="253"/>
      <c r="NAZ1" s="253"/>
      <c r="NBA1" s="252"/>
      <c r="NBB1" s="253"/>
      <c r="NBC1" s="253"/>
      <c r="NBD1" s="253"/>
      <c r="NBE1" s="252"/>
      <c r="NBF1" s="253"/>
      <c r="NBG1" s="253"/>
      <c r="NBH1" s="253"/>
      <c r="NBI1" s="252"/>
      <c r="NBJ1" s="253"/>
      <c r="NBK1" s="253"/>
      <c r="NBL1" s="253"/>
      <c r="NBM1" s="252"/>
      <c r="NBN1" s="253"/>
      <c r="NBO1" s="253"/>
      <c r="NBP1" s="253"/>
      <c r="NBQ1" s="252"/>
      <c r="NBR1" s="253"/>
      <c r="NBS1" s="253"/>
      <c r="NBT1" s="253"/>
      <c r="NBU1" s="252"/>
      <c r="NBV1" s="253"/>
      <c r="NBW1" s="253"/>
      <c r="NBX1" s="253"/>
      <c r="NBY1" s="252"/>
      <c r="NBZ1" s="253"/>
      <c r="NCA1" s="253"/>
      <c r="NCB1" s="253"/>
      <c r="NCC1" s="252"/>
      <c r="NCD1" s="253"/>
      <c r="NCE1" s="253"/>
      <c r="NCF1" s="253"/>
      <c r="NCG1" s="252"/>
      <c r="NCH1" s="253"/>
      <c r="NCI1" s="253"/>
      <c r="NCJ1" s="253"/>
      <c r="NCK1" s="252"/>
      <c r="NCL1" s="253"/>
      <c r="NCM1" s="253"/>
      <c r="NCN1" s="253"/>
      <c r="NCO1" s="252"/>
      <c r="NCP1" s="253"/>
      <c r="NCQ1" s="253"/>
      <c r="NCR1" s="253"/>
      <c r="NCS1" s="252"/>
      <c r="NCT1" s="253"/>
      <c r="NCU1" s="253"/>
      <c r="NCV1" s="253"/>
      <c r="NCW1" s="252"/>
      <c r="NCX1" s="253"/>
      <c r="NCY1" s="253"/>
      <c r="NCZ1" s="253"/>
      <c r="NDA1" s="252"/>
      <c r="NDB1" s="253"/>
      <c r="NDC1" s="253"/>
      <c r="NDD1" s="253"/>
      <c r="NDE1" s="252"/>
      <c r="NDF1" s="253"/>
      <c r="NDG1" s="253"/>
      <c r="NDH1" s="253"/>
      <c r="NDI1" s="252"/>
      <c r="NDJ1" s="253"/>
      <c r="NDK1" s="253"/>
      <c r="NDL1" s="253"/>
      <c r="NDM1" s="252"/>
      <c r="NDN1" s="253"/>
      <c r="NDO1" s="253"/>
      <c r="NDP1" s="253"/>
      <c r="NDQ1" s="252"/>
      <c r="NDR1" s="253"/>
      <c r="NDS1" s="253"/>
      <c r="NDT1" s="253"/>
      <c r="NDU1" s="252"/>
      <c r="NDV1" s="253"/>
      <c r="NDW1" s="253"/>
      <c r="NDX1" s="253"/>
      <c r="NDY1" s="252"/>
      <c r="NDZ1" s="253"/>
      <c r="NEA1" s="253"/>
      <c r="NEB1" s="253"/>
      <c r="NEC1" s="252"/>
      <c r="NED1" s="253"/>
      <c r="NEE1" s="253"/>
      <c r="NEF1" s="253"/>
      <c r="NEG1" s="252"/>
      <c r="NEH1" s="253"/>
      <c r="NEI1" s="253"/>
      <c r="NEJ1" s="253"/>
      <c r="NEK1" s="252"/>
      <c r="NEL1" s="253"/>
      <c r="NEM1" s="253"/>
      <c r="NEN1" s="253"/>
      <c r="NEO1" s="252"/>
      <c r="NEP1" s="253"/>
      <c r="NEQ1" s="253"/>
      <c r="NER1" s="253"/>
      <c r="NES1" s="252"/>
      <c r="NET1" s="253"/>
      <c r="NEU1" s="253"/>
      <c r="NEV1" s="253"/>
      <c r="NEW1" s="252"/>
      <c r="NEX1" s="253"/>
      <c r="NEY1" s="253"/>
      <c r="NEZ1" s="253"/>
      <c r="NFA1" s="252"/>
      <c r="NFB1" s="253"/>
      <c r="NFC1" s="253"/>
      <c r="NFD1" s="253"/>
      <c r="NFE1" s="252"/>
      <c r="NFF1" s="253"/>
      <c r="NFG1" s="253"/>
      <c r="NFH1" s="253"/>
      <c r="NFI1" s="252"/>
      <c r="NFJ1" s="253"/>
      <c r="NFK1" s="253"/>
      <c r="NFL1" s="253"/>
      <c r="NFM1" s="252"/>
      <c r="NFN1" s="253"/>
      <c r="NFO1" s="253"/>
      <c r="NFP1" s="253"/>
      <c r="NFQ1" s="252"/>
      <c r="NFR1" s="253"/>
      <c r="NFS1" s="253"/>
      <c r="NFT1" s="253"/>
      <c r="NFU1" s="252"/>
      <c r="NFV1" s="253"/>
      <c r="NFW1" s="253"/>
      <c r="NFX1" s="253"/>
      <c r="NFY1" s="252"/>
      <c r="NFZ1" s="253"/>
      <c r="NGA1" s="253"/>
      <c r="NGB1" s="253"/>
      <c r="NGC1" s="252"/>
      <c r="NGD1" s="253"/>
      <c r="NGE1" s="253"/>
      <c r="NGF1" s="253"/>
      <c r="NGG1" s="252"/>
      <c r="NGH1" s="253"/>
      <c r="NGI1" s="253"/>
      <c r="NGJ1" s="253"/>
      <c r="NGK1" s="252"/>
      <c r="NGL1" s="253"/>
      <c r="NGM1" s="253"/>
      <c r="NGN1" s="253"/>
      <c r="NGO1" s="252"/>
      <c r="NGP1" s="253"/>
      <c r="NGQ1" s="253"/>
      <c r="NGR1" s="253"/>
      <c r="NGS1" s="252"/>
      <c r="NGT1" s="253"/>
      <c r="NGU1" s="253"/>
      <c r="NGV1" s="253"/>
      <c r="NGW1" s="252"/>
      <c r="NGX1" s="253"/>
      <c r="NGY1" s="253"/>
      <c r="NGZ1" s="253"/>
      <c r="NHA1" s="252"/>
      <c r="NHB1" s="253"/>
      <c r="NHC1" s="253"/>
      <c r="NHD1" s="253"/>
      <c r="NHE1" s="252"/>
      <c r="NHF1" s="253"/>
      <c r="NHG1" s="253"/>
      <c r="NHH1" s="253"/>
      <c r="NHI1" s="252"/>
      <c r="NHJ1" s="253"/>
      <c r="NHK1" s="253"/>
      <c r="NHL1" s="253"/>
      <c r="NHM1" s="252"/>
      <c r="NHN1" s="253"/>
      <c r="NHO1" s="253"/>
      <c r="NHP1" s="253"/>
      <c r="NHQ1" s="252"/>
      <c r="NHR1" s="253"/>
      <c r="NHS1" s="253"/>
      <c r="NHT1" s="253"/>
      <c r="NHU1" s="252"/>
      <c r="NHV1" s="253"/>
      <c r="NHW1" s="253"/>
      <c r="NHX1" s="253"/>
      <c r="NHY1" s="252"/>
      <c r="NHZ1" s="253"/>
      <c r="NIA1" s="253"/>
      <c r="NIB1" s="253"/>
      <c r="NIC1" s="252"/>
      <c r="NID1" s="253"/>
      <c r="NIE1" s="253"/>
      <c r="NIF1" s="253"/>
      <c r="NIG1" s="252"/>
      <c r="NIH1" s="253"/>
      <c r="NII1" s="253"/>
      <c r="NIJ1" s="253"/>
      <c r="NIK1" s="252"/>
      <c r="NIL1" s="253"/>
      <c r="NIM1" s="253"/>
      <c r="NIN1" s="253"/>
      <c r="NIO1" s="252"/>
      <c r="NIP1" s="253"/>
      <c r="NIQ1" s="253"/>
      <c r="NIR1" s="253"/>
      <c r="NIS1" s="252"/>
      <c r="NIT1" s="253"/>
      <c r="NIU1" s="253"/>
      <c r="NIV1" s="253"/>
      <c r="NIW1" s="252"/>
      <c r="NIX1" s="253"/>
      <c r="NIY1" s="253"/>
      <c r="NIZ1" s="253"/>
      <c r="NJA1" s="252"/>
      <c r="NJB1" s="253"/>
      <c r="NJC1" s="253"/>
      <c r="NJD1" s="253"/>
      <c r="NJE1" s="252"/>
      <c r="NJF1" s="253"/>
      <c r="NJG1" s="253"/>
      <c r="NJH1" s="253"/>
      <c r="NJI1" s="252"/>
      <c r="NJJ1" s="253"/>
      <c r="NJK1" s="253"/>
      <c r="NJL1" s="253"/>
      <c r="NJM1" s="252"/>
      <c r="NJN1" s="253"/>
      <c r="NJO1" s="253"/>
      <c r="NJP1" s="253"/>
      <c r="NJQ1" s="252"/>
      <c r="NJR1" s="253"/>
      <c r="NJS1" s="253"/>
      <c r="NJT1" s="253"/>
      <c r="NJU1" s="252"/>
      <c r="NJV1" s="253"/>
      <c r="NJW1" s="253"/>
      <c r="NJX1" s="253"/>
      <c r="NJY1" s="252"/>
      <c r="NJZ1" s="253"/>
      <c r="NKA1" s="253"/>
      <c r="NKB1" s="253"/>
      <c r="NKC1" s="252"/>
      <c r="NKD1" s="253"/>
      <c r="NKE1" s="253"/>
      <c r="NKF1" s="253"/>
      <c r="NKG1" s="252"/>
      <c r="NKH1" s="253"/>
      <c r="NKI1" s="253"/>
      <c r="NKJ1" s="253"/>
      <c r="NKK1" s="252"/>
      <c r="NKL1" s="253"/>
      <c r="NKM1" s="253"/>
      <c r="NKN1" s="253"/>
      <c r="NKO1" s="252"/>
      <c r="NKP1" s="253"/>
      <c r="NKQ1" s="253"/>
      <c r="NKR1" s="253"/>
      <c r="NKS1" s="252"/>
      <c r="NKT1" s="253"/>
      <c r="NKU1" s="253"/>
      <c r="NKV1" s="253"/>
      <c r="NKW1" s="252"/>
      <c r="NKX1" s="253"/>
      <c r="NKY1" s="253"/>
      <c r="NKZ1" s="253"/>
      <c r="NLA1" s="252"/>
      <c r="NLB1" s="253"/>
      <c r="NLC1" s="253"/>
      <c r="NLD1" s="253"/>
      <c r="NLE1" s="252"/>
      <c r="NLF1" s="253"/>
      <c r="NLG1" s="253"/>
      <c r="NLH1" s="253"/>
      <c r="NLI1" s="252"/>
      <c r="NLJ1" s="253"/>
      <c r="NLK1" s="253"/>
      <c r="NLL1" s="253"/>
      <c r="NLM1" s="252"/>
      <c r="NLN1" s="253"/>
      <c r="NLO1" s="253"/>
      <c r="NLP1" s="253"/>
      <c r="NLQ1" s="252"/>
      <c r="NLR1" s="253"/>
      <c r="NLS1" s="253"/>
      <c r="NLT1" s="253"/>
      <c r="NLU1" s="252"/>
      <c r="NLV1" s="253"/>
      <c r="NLW1" s="253"/>
      <c r="NLX1" s="253"/>
      <c r="NLY1" s="252"/>
      <c r="NLZ1" s="253"/>
      <c r="NMA1" s="253"/>
      <c r="NMB1" s="253"/>
      <c r="NMC1" s="252"/>
      <c r="NMD1" s="253"/>
      <c r="NME1" s="253"/>
      <c r="NMF1" s="253"/>
      <c r="NMG1" s="252"/>
      <c r="NMH1" s="253"/>
      <c r="NMI1" s="253"/>
      <c r="NMJ1" s="253"/>
      <c r="NMK1" s="252"/>
      <c r="NML1" s="253"/>
      <c r="NMM1" s="253"/>
      <c r="NMN1" s="253"/>
      <c r="NMO1" s="252"/>
      <c r="NMP1" s="253"/>
      <c r="NMQ1" s="253"/>
      <c r="NMR1" s="253"/>
      <c r="NMS1" s="252"/>
      <c r="NMT1" s="253"/>
      <c r="NMU1" s="253"/>
      <c r="NMV1" s="253"/>
      <c r="NMW1" s="252"/>
      <c r="NMX1" s="253"/>
      <c r="NMY1" s="253"/>
      <c r="NMZ1" s="253"/>
      <c r="NNA1" s="252"/>
      <c r="NNB1" s="253"/>
      <c r="NNC1" s="253"/>
      <c r="NND1" s="253"/>
      <c r="NNE1" s="252"/>
      <c r="NNF1" s="253"/>
      <c r="NNG1" s="253"/>
      <c r="NNH1" s="253"/>
      <c r="NNI1" s="252"/>
      <c r="NNJ1" s="253"/>
      <c r="NNK1" s="253"/>
      <c r="NNL1" s="253"/>
      <c r="NNM1" s="252"/>
      <c r="NNN1" s="253"/>
      <c r="NNO1" s="253"/>
      <c r="NNP1" s="253"/>
      <c r="NNQ1" s="252"/>
      <c r="NNR1" s="253"/>
      <c r="NNS1" s="253"/>
      <c r="NNT1" s="253"/>
      <c r="NNU1" s="252"/>
      <c r="NNV1" s="253"/>
      <c r="NNW1" s="253"/>
      <c r="NNX1" s="253"/>
      <c r="NNY1" s="252"/>
      <c r="NNZ1" s="253"/>
      <c r="NOA1" s="253"/>
      <c r="NOB1" s="253"/>
      <c r="NOC1" s="252"/>
      <c r="NOD1" s="253"/>
      <c r="NOE1" s="253"/>
      <c r="NOF1" s="253"/>
      <c r="NOG1" s="252"/>
      <c r="NOH1" s="253"/>
      <c r="NOI1" s="253"/>
      <c r="NOJ1" s="253"/>
      <c r="NOK1" s="252"/>
      <c r="NOL1" s="253"/>
      <c r="NOM1" s="253"/>
      <c r="NON1" s="253"/>
      <c r="NOO1" s="252"/>
      <c r="NOP1" s="253"/>
      <c r="NOQ1" s="253"/>
      <c r="NOR1" s="253"/>
      <c r="NOS1" s="252"/>
      <c r="NOT1" s="253"/>
      <c r="NOU1" s="253"/>
      <c r="NOV1" s="253"/>
      <c r="NOW1" s="252"/>
      <c r="NOX1" s="253"/>
      <c r="NOY1" s="253"/>
      <c r="NOZ1" s="253"/>
      <c r="NPA1" s="252"/>
      <c r="NPB1" s="253"/>
      <c r="NPC1" s="253"/>
      <c r="NPD1" s="253"/>
      <c r="NPE1" s="252"/>
      <c r="NPF1" s="253"/>
      <c r="NPG1" s="253"/>
      <c r="NPH1" s="253"/>
      <c r="NPI1" s="252"/>
      <c r="NPJ1" s="253"/>
      <c r="NPK1" s="253"/>
      <c r="NPL1" s="253"/>
      <c r="NPM1" s="252"/>
      <c r="NPN1" s="253"/>
      <c r="NPO1" s="253"/>
      <c r="NPP1" s="253"/>
      <c r="NPQ1" s="252"/>
      <c r="NPR1" s="253"/>
      <c r="NPS1" s="253"/>
      <c r="NPT1" s="253"/>
      <c r="NPU1" s="252"/>
      <c r="NPV1" s="253"/>
      <c r="NPW1" s="253"/>
      <c r="NPX1" s="253"/>
      <c r="NPY1" s="252"/>
      <c r="NPZ1" s="253"/>
      <c r="NQA1" s="253"/>
      <c r="NQB1" s="253"/>
      <c r="NQC1" s="252"/>
      <c r="NQD1" s="253"/>
      <c r="NQE1" s="253"/>
      <c r="NQF1" s="253"/>
      <c r="NQG1" s="252"/>
      <c r="NQH1" s="253"/>
      <c r="NQI1" s="253"/>
      <c r="NQJ1" s="253"/>
      <c r="NQK1" s="252"/>
      <c r="NQL1" s="253"/>
      <c r="NQM1" s="253"/>
      <c r="NQN1" s="253"/>
      <c r="NQO1" s="252"/>
      <c r="NQP1" s="253"/>
      <c r="NQQ1" s="253"/>
      <c r="NQR1" s="253"/>
      <c r="NQS1" s="252"/>
      <c r="NQT1" s="253"/>
      <c r="NQU1" s="253"/>
      <c r="NQV1" s="253"/>
      <c r="NQW1" s="252"/>
      <c r="NQX1" s="253"/>
      <c r="NQY1" s="253"/>
      <c r="NQZ1" s="253"/>
      <c r="NRA1" s="252"/>
      <c r="NRB1" s="253"/>
      <c r="NRC1" s="253"/>
      <c r="NRD1" s="253"/>
      <c r="NRE1" s="252"/>
      <c r="NRF1" s="253"/>
      <c r="NRG1" s="253"/>
      <c r="NRH1" s="253"/>
      <c r="NRI1" s="252"/>
      <c r="NRJ1" s="253"/>
      <c r="NRK1" s="253"/>
      <c r="NRL1" s="253"/>
      <c r="NRM1" s="252"/>
      <c r="NRN1" s="253"/>
      <c r="NRO1" s="253"/>
      <c r="NRP1" s="253"/>
      <c r="NRQ1" s="252"/>
      <c r="NRR1" s="253"/>
      <c r="NRS1" s="253"/>
      <c r="NRT1" s="253"/>
      <c r="NRU1" s="252"/>
      <c r="NRV1" s="253"/>
      <c r="NRW1" s="253"/>
      <c r="NRX1" s="253"/>
      <c r="NRY1" s="252"/>
      <c r="NRZ1" s="253"/>
      <c r="NSA1" s="253"/>
      <c r="NSB1" s="253"/>
      <c r="NSC1" s="252"/>
      <c r="NSD1" s="253"/>
      <c r="NSE1" s="253"/>
      <c r="NSF1" s="253"/>
      <c r="NSG1" s="252"/>
      <c r="NSH1" s="253"/>
      <c r="NSI1" s="253"/>
      <c r="NSJ1" s="253"/>
      <c r="NSK1" s="252"/>
      <c r="NSL1" s="253"/>
      <c r="NSM1" s="253"/>
      <c r="NSN1" s="253"/>
      <c r="NSO1" s="252"/>
      <c r="NSP1" s="253"/>
      <c r="NSQ1" s="253"/>
      <c r="NSR1" s="253"/>
      <c r="NSS1" s="252"/>
      <c r="NST1" s="253"/>
      <c r="NSU1" s="253"/>
      <c r="NSV1" s="253"/>
      <c r="NSW1" s="252"/>
      <c r="NSX1" s="253"/>
      <c r="NSY1" s="253"/>
      <c r="NSZ1" s="253"/>
      <c r="NTA1" s="252"/>
      <c r="NTB1" s="253"/>
      <c r="NTC1" s="253"/>
      <c r="NTD1" s="253"/>
      <c r="NTE1" s="252"/>
      <c r="NTF1" s="253"/>
      <c r="NTG1" s="253"/>
      <c r="NTH1" s="253"/>
      <c r="NTI1" s="252"/>
      <c r="NTJ1" s="253"/>
      <c r="NTK1" s="253"/>
      <c r="NTL1" s="253"/>
      <c r="NTM1" s="252"/>
      <c r="NTN1" s="253"/>
      <c r="NTO1" s="253"/>
      <c r="NTP1" s="253"/>
      <c r="NTQ1" s="252"/>
      <c r="NTR1" s="253"/>
      <c r="NTS1" s="253"/>
      <c r="NTT1" s="253"/>
      <c r="NTU1" s="252"/>
      <c r="NTV1" s="253"/>
      <c r="NTW1" s="253"/>
      <c r="NTX1" s="253"/>
      <c r="NTY1" s="252"/>
      <c r="NTZ1" s="253"/>
      <c r="NUA1" s="253"/>
      <c r="NUB1" s="253"/>
      <c r="NUC1" s="252"/>
      <c r="NUD1" s="253"/>
      <c r="NUE1" s="253"/>
      <c r="NUF1" s="253"/>
      <c r="NUG1" s="252"/>
      <c r="NUH1" s="253"/>
      <c r="NUI1" s="253"/>
      <c r="NUJ1" s="253"/>
      <c r="NUK1" s="252"/>
      <c r="NUL1" s="253"/>
      <c r="NUM1" s="253"/>
      <c r="NUN1" s="253"/>
      <c r="NUO1" s="252"/>
      <c r="NUP1" s="253"/>
      <c r="NUQ1" s="253"/>
      <c r="NUR1" s="253"/>
      <c r="NUS1" s="252"/>
      <c r="NUT1" s="253"/>
      <c r="NUU1" s="253"/>
      <c r="NUV1" s="253"/>
      <c r="NUW1" s="252"/>
      <c r="NUX1" s="253"/>
      <c r="NUY1" s="253"/>
      <c r="NUZ1" s="253"/>
      <c r="NVA1" s="252"/>
      <c r="NVB1" s="253"/>
      <c r="NVC1" s="253"/>
      <c r="NVD1" s="253"/>
      <c r="NVE1" s="252"/>
      <c r="NVF1" s="253"/>
      <c r="NVG1" s="253"/>
      <c r="NVH1" s="253"/>
      <c r="NVI1" s="252"/>
      <c r="NVJ1" s="253"/>
      <c r="NVK1" s="253"/>
      <c r="NVL1" s="253"/>
      <c r="NVM1" s="252"/>
      <c r="NVN1" s="253"/>
      <c r="NVO1" s="253"/>
      <c r="NVP1" s="253"/>
      <c r="NVQ1" s="252"/>
      <c r="NVR1" s="253"/>
      <c r="NVS1" s="253"/>
      <c r="NVT1" s="253"/>
      <c r="NVU1" s="252"/>
      <c r="NVV1" s="253"/>
      <c r="NVW1" s="253"/>
      <c r="NVX1" s="253"/>
      <c r="NVY1" s="252"/>
      <c r="NVZ1" s="253"/>
      <c r="NWA1" s="253"/>
      <c r="NWB1" s="253"/>
      <c r="NWC1" s="252"/>
      <c r="NWD1" s="253"/>
      <c r="NWE1" s="253"/>
      <c r="NWF1" s="253"/>
      <c r="NWG1" s="252"/>
      <c r="NWH1" s="253"/>
      <c r="NWI1" s="253"/>
      <c r="NWJ1" s="253"/>
      <c r="NWK1" s="252"/>
      <c r="NWL1" s="253"/>
      <c r="NWM1" s="253"/>
      <c r="NWN1" s="253"/>
      <c r="NWO1" s="252"/>
      <c r="NWP1" s="253"/>
      <c r="NWQ1" s="253"/>
      <c r="NWR1" s="253"/>
      <c r="NWS1" s="252"/>
      <c r="NWT1" s="253"/>
      <c r="NWU1" s="253"/>
      <c r="NWV1" s="253"/>
      <c r="NWW1" s="252"/>
      <c r="NWX1" s="253"/>
      <c r="NWY1" s="253"/>
      <c r="NWZ1" s="253"/>
      <c r="NXA1" s="252"/>
      <c r="NXB1" s="253"/>
      <c r="NXC1" s="253"/>
      <c r="NXD1" s="253"/>
      <c r="NXE1" s="252"/>
      <c r="NXF1" s="253"/>
      <c r="NXG1" s="253"/>
      <c r="NXH1" s="253"/>
      <c r="NXI1" s="252"/>
      <c r="NXJ1" s="253"/>
      <c r="NXK1" s="253"/>
      <c r="NXL1" s="253"/>
      <c r="NXM1" s="252"/>
      <c r="NXN1" s="253"/>
      <c r="NXO1" s="253"/>
      <c r="NXP1" s="253"/>
      <c r="NXQ1" s="252"/>
      <c r="NXR1" s="253"/>
      <c r="NXS1" s="253"/>
      <c r="NXT1" s="253"/>
      <c r="NXU1" s="252"/>
      <c r="NXV1" s="253"/>
      <c r="NXW1" s="253"/>
      <c r="NXX1" s="253"/>
      <c r="NXY1" s="252"/>
      <c r="NXZ1" s="253"/>
      <c r="NYA1" s="253"/>
      <c r="NYB1" s="253"/>
      <c r="NYC1" s="252"/>
      <c r="NYD1" s="253"/>
      <c r="NYE1" s="253"/>
      <c r="NYF1" s="253"/>
      <c r="NYG1" s="252"/>
      <c r="NYH1" s="253"/>
      <c r="NYI1" s="253"/>
      <c r="NYJ1" s="253"/>
      <c r="NYK1" s="252"/>
      <c r="NYL1" s="253"/>
      <c r="NYM1" s="253"/>
      <c r="NYN1" s="253"/>
      <c r="NYO1" s="252"/>
      <c r="NYP1" s="253"/>
      <c r="NYQ1" s="253"/>
      <c r="NYR1" s="253"/>
      <c r="NYS1" s="252"/>
      <c r="NYT1" s="253"/>
      <c r="NYU1" s="253"/>
      <c r="NYV1" s="253"/>
      <c r="NYW1" s="252"/>
      <c r="NYX1" s="253"/>
      <c r="NYY1" s="253"/>
      <c r="NYZ1" s="253"/>
      <c r="NZA1" s="252"/>
      <c r="NZB1" s="253"/>
      <c r="NZC1" s="253"/>
      <c r="NZD1" s="253"/>
      <c r="NZE1" s="252"/>
      <c r="NZF1" s="253"/>
      <c r="NZG1" s="253"/>
      <c r="NZH1" s="253"/>
      <c r="NZI1" s="252"/>
      <c r="NZJ1" s="253"/>
      <c r="NZK1" s="253"/>
      <c r="NZL1" s="253"/>
      <c r="NZM1" s="252"/>
      <c r="NZN1" s="253"/>
      <c r="NZO1" s="253"/>
      <c r="NZP1" s="253"/>
      <c r="NZQ1" s="252"/>
      <c r="NZR1" s="253"/>
      <c r="NZS1" s="253"/>
      <c r="NZT1" s="253"/>
      <c r="NZU1" s="252"/>
      <c r="NZV1" s="253"/>
      <c r="NZW1" s="253"/>
      <c r="NZX1" s="253"/>
      <c r="NZY1" s="252"/>
      <c r="NZZ1" s="253"/>
      <c r="OAA1" s="253"/>
      <c r="OAB1" s="253"/>
      <c r="OAC1" s="252"/>
      <c r="OAD1" s="253"/>
      <c r="OAE1" s="253"/>
      <c r="OAF1" s="253"/>
      <c r="OAG1" s="252"/>
      <c r="OAH1" s="253"/>
      <c r="OAI1" s="253"/>
      <c r="OAJ1" s="253"/>
      <c r="OAK1" s="252"/>
      <c r="OAL1" s="253"/>
      <c r="OAM1" s="253"/>
      <c r="OAN1" s="253"/>
      <c r="OAO1" s="252"/>
      <c r="OAP1" s="253"/>
      <c r="OAQ1" s="253"/>
      <c r="OAR1" s="253"/>
      <c r="OAS1" s="252"/>
      <c r="OAT1" s="253"/>
      <c r="OAU1" s="253"/>
      <c r="OAV1" s="253"/>
      <c r="OAW1" s="252"/>
      <c r="OAX1" s="253"/>
      <c r="OAY1" s="253"/>
      <c r="OAZ1" s="253"/>
      <c r="OBA1" s="252"/>
      <c r="OBB1" s="253"/>
      <c r="OBC1" s="253"/>
      <c r="OBD1" s="253"/>
      <c r="OBE1" s="252"/>
      <c r="OBF1" s="253"/>
      <c r="OBG1" s="253"/>
      <c r="OBH1" s="253"/>
      <c r="OBI1" s="252"/>
      <c r="OBJ1" s="253"/>
      <c r="OBK1" s="253"/>
      <c r="OBL1" s="253"/>
      <c r="OBM1" s="252"/>
      <c r="OBN1" s="253"/>
      <c r="OBO1" s="253"/>
      <c r="OBP1" s="253"/>
      <c r="OBQ1" s="252"/>
      <c r="OBR1" s="253"/>
      <c r="OBS1" s="253"/>
      <c r="OBT1" s="253"/>
      <c r="OBU1" s="252"/>
      <c r="OBV1" s="253"/>
      <c r="OBW1" s="253"/>
      <c r="OBX1" s="253"/>
      <c r="OBY1" s="252"/>
      <c r="OBZ1" s="253"/>
      <c r="OCA1" s="253"/>
      <c r="OCB1" s="253"/>
      <c r="OCC1" s="252"/>
      <c r="OCD1" s="253"/>
      <c r="OCE1" s="253"/>
      <c r="OCF1" s="253"/>
      <c r="OCG1" s="252"/>
      <c r="OCH1" s="253"/>
      <c r="OCI1" s="253"/>
      <c r="OCJ1" s="253"/>
      <c r="OCK1" s="252"/>
      <c r="OCL1" s="253"/>
      <c r="OCM1" s="253"/>
      <c r="OCN1" s="253"/>
      <c r="OCO1" s="252"/>
      <c r="OCP1" s="253"/>
      <c r="OCQ1" s="253"/>
      <c r="OCR1" s="253"/>
      <c r="OCS1" s="252"/>
      <c r="OCT1" s="253"/>
      <c r="OCU1" s="253"/>
      <c r="OCV1" s="253"/>
      <c r="OCW1" s="252"/>
      <c r="OCX1" s="253"/>
      <c r="OCY1" s="253"/>
      <c r="OCZ1" s="253"/>
      <c r="ODA1" s="252"/>
      <c r="ODB1" s="253"/>
      <c r="ODC1" s="253"/>
      <c r="ODD1" s="253"/>
      <c r="ODE1" s="252"/>
      <c r="ODF1" s="253"/>
      <c r="ODG1" s="253"/>
      <c r="ODH1" s="253"/>
      <c r="ODI1" s="252"/>
      <c r="ODJ1" s="253"/>
      <c r="ODK1" s="253"/>
      <c r="ODL1" s="253"/>
      <c r="ODM1" s="252"/>
      <c r="ODN1" s="253"/>
      <c r="ODO1" s="253"/>
      <c r="ODP1" s="253"/>
      <c r="ODQ1" s="252"/>
      <c r="ODR1" s="253"/>
      <c r="ODS1" s="253"/>
      <c r="ODT1" s="253"/>
      <c r="ODU1" s="252"/>
      <c r="ODV1" s="253"/>
      <c r="ODW1" s="253"/>
      <c r="ODX1" s="253"/>
      <c r="ODY1" s="252"/>
      <c r="ODZ1" s="253"/>
      <c r="OEA1" s="253"/>
      <c r="OEB1" s="253"/>
      <c r="OEC1" s="252"/>
      <c r="OED1" s="253"/>
      <c r="OEE1" s="253"/>
      <c r="OEF1" s="253"/>
      <c r="OEG1" s="252"/>
      <c r="OEH1" s="253"/>
      <c r="OEI1" s="253"/>
      <c r="OEJ1" s="253"/>
      <c r="OEK1" s="252"/>
      <c r="OEL1" s="253"/>
      <c r="OEM1" s="253"/>
      <c r="OEN1" s="253"/>
      <c r="OEO1" s="252"/>
      <c r="OEP1" s="253"/>
      <c r="OEQ1" s="253"/>
      <c r="OER1" s="253"/>
      <c r="OES1" s="252"/>
      <c r="OET1" s="253"/>
      <c r="OEU1" s="253"/>
      <c r="OEV1" s="253"/>
      <c r="OEW1" s="252"/>
      <c r="OEX1" s="253"/>
      <c r="OEY1" s="253"/>
      <c r="OEZ1" s="253"/>
      <c r="OFA1" s="252"/>
      <c r="OFB1" s="253"/>
      <c r="OFC1" s="253"/>
      <c r="OFD1" s="253"/>
      <c r="OFE1" s="252"/>
      <c r="OFF1" s="253"/>
      <c r="OFG1" s="253"/>
      <c r="OFH1" s="253"/>
      <c r="OFI1" s="252"/>
      <c r="OFJ1" s="253"/>
      <c r="OFK1" s="253"/>
      <c r="OFL1" s="253"/>
      <c r="OFM1" s="252"/>
      <c r="OFN1" s="253"/>
      <c r="OFO1" s="253"/>
      <c r="OFP1" s="253"/>
      <c r="OFQ1" s="252"/>
      <c r="OFR1" s="253"/>
      <c r="OFS1" s="253"/>
      <c r="OFT1" s="253"/>
      <c r="OFU1" s="252"/>
      <c r="OFV1" s="253"/>
      <c r="OFW1" s="253"/>
      <c r="OFX1" s="253"/>
      <c r="OFY1" s="252"/>
      <c r="OFZ1" s="253"/>
      <c r="OGA1" s="253"/>
      <c r="OGB1" s="253"/>
      <c r="OGC1" s="252"/>
      <c r="OGD1" s="253"/>
      <c r="OGE1" s="253"/>
      <c r="OGF1" s="253"/>
      <c r="OGG1" s="252"/>
      <c r="OGH1" s="253"/>
      <c r="OGI1" s="253"/>
      <c r="OGJ1" s="253"/>
      <c r="OGK1" s="252"/>
      <c r="OGL1" s="253"/>
      <c r="OGM1" s="253"/>
      <c r="OGN1" s="253"/>
      <c r="OGO1" s="252"/>
      <c r="OGP1" s="253"/>
      <c r="OGQ1" s="253"/>
      <c r="OGR1" s="253"/>
      <c r="OGS1" s="252"/>
      <c r="OGT1" s="253"/>
      <c r="OGU1" s="253"/>
      <c r="OGV1" s="253"/>
      <c r="OGW1" s="252"/>
      <c r="OGX1" s="253"/>
      <c r="OGY1" s="253"/>
      <c r="OGZ1" s="253"/>
      <c r="OHA1" s="252"/>
      <c r="OHB1" s="253"/>
      <c r="OHC1" s="253"/>
      <c r="OHD1" s="253"/>
      <c r="OHE1" s="252"/>
      <c r="OHF1" s="253"/>
      <c r="OHG1" s="253"/>
      <c r="OHH1" s="253"/>
      <c r="OHI1" s="252"/>
      <c r="OHJ1" s="253"/>
      <c r="OHK1" s="253"/>
      <c r="OHL1" s="253"/>
      <c r="OHM1" s="252"/>
      <c r="OHN1" s="253"/>
      <c r="OHO1" s="253"/>
      <c r="OHP1" s="253"/>
      <c r="OHQ1" s="252"/>
      <c r="OHR1" s="253"/>
      <c r="OHS1" s="253"/>
      <c r="OHT1" s="253"/>
      <c r="OHU1" s="252"/>
      <c r="OHV1" s="253"/>
      <c r="OHW1" s="253"/>
      <c r="OHX1" s="253"/>
      <c r="OHY1" s="252"/>
      <c r="OHZ1" s="253"/>
      <c r="OIA1" s="253"/>
      <c r="OIB1" s="253"/>
      <c r="OIC1" s="252"/>
      <c r="OID1" s="253"/>
      <c r="OIE1" s="253"/>
      <c r="OIF1" s="253"/>
      <c r="OIG1" s="252"/>
      <c r="OIH1" s="253"/>
      <c r="OII1" s="253"/>
      <c r="OIJ1" s="253"/>
      <c r="OIK1" s="252"/>
      <c r="OIL1" s="253"/>
      <c r="OIM1" s="253"/>
      <c r="OIN1" s="253"/>
      <c r="OIO1" s="252"/>
      <c r="OIP1" s="253"/>
      <c r="OIQ1" s="253"/>
      <c r="OIR1" s="253"/>
      <c r="OIS1" s="252"/>
      <c r="OIT1" s="253"/>
      <c r="OIU1" s="253"/>
      <c r="OIV1" s="253"/>
      <c r="OIW1" s="252"/>
      <c r="OIX1" s="253"/>
      <c r="OIY1" s="253"/>
      <c r="OIZ1" s="253"/>
      <c r="OJA1" s="252"/>
      <c r="OJB1" s="253"/>
      <c r="OJC1" s="253"/>
      <c r="OJD1" s="253"/>
      <c r="OJE1" s="252"/>
      <c r="OJF1" s="253"/>
      <c r="OJG1" s="253"/>
      <c r="OJH1" s="253"/>
      <c r="OJI1" s="252"/>
      <c r="OJJ1" s="253"/>
      <c r="OJK1" s="253"/>
      <c r="OJL1" s="253"/>
      <c r="OJM1" s="252"/>
      <c r="OJN1" s="253"/>
      <c r="OJO1" s="253"/>
      <c r="OJP1" s="253"/>
      <c r="OJQ1" s="252"/>
      <c r="OJR1" s="253"/>
      <c r="OJS1" s="253"/>
      <c r="OJT1" s="253"/>
      <c r="OJU1" s="252"/>
      <c r="OJV1" s="253"/>
      <c r="OJW1" s="253"/>
      <c r="OJX1" s="253"/>
      <c r="OJY1" s="252"/>
      <c r="OJZ1" s="253"/>
      <c r="OKA1" s="253"/>
      <c r="OKB1" s="253"/>
      <c r="OKC1" s="252"/>
      <c r="OKD1" s="253"/>
      <c r="OKE1" s="253"/>
      <c r="OKF1" s="253"/>
      <c r="OKG1" s="252"/>
      <c r="OKH1" s="253"/>
      <c r="OKI1" s="253"/>
      <c r="OKJ1" s="253"/>
      <c r="OKK1" s="252"/>
      <c r="OKL1" s="253"/>
      <c r="OKM1" s="253"/>
      <c r="OKN1" s="253"/>
      <c r="OKO1" s="252"/>
      <c r="OKP1" s="253"/>
      <c r="OKQ1" s="253"/>
      <c r="OKR1" s="253"/>
      <c r="OKS1" s="252"/>
      <c r="OKT1" s="253"/>
      <c r="OKU1" s="253"/>
      <c r="OKV1" s="253"/>
      <c r="OKW1" s="252"/>
      <c r="OKX1" s="253"/>
      <c r="OKY1" s="253"/>
      <c r="OKZ1" s="253"/>
      <c r="OLA1" s="252"/>
      <c r="OLB1" s="253"/>
      <c r="OLC1" s="253"/>
      <c r="OLD1" s="253"/>
      <c r="OLE1" s="252"/>
      <c r="OLF1" s="253"/>
      <c r="OLG1" s="253"/>
      <c r="OLH1" s="253"/>
      <c r="OLI1" s="252"/>
      <c r="OLJ1" s="253"/>
      <c r="OLK1" s="253"/>
      <c r="OLL1" s="253"/>
      <c r="OLM1" s="252"/>
      <c r="OLN1" s="253"/>
      <c r="OLO1" s="253"/>
      <c r="OLP1" s="253"/>
      <c r="OLQ1" s="252"/>
      <c r="OLR1" s="253"/>
      <c r="OLS1" s="253"/>
      <c r="OLT1" s="253"/>
      <c r="OLU1" s="252"/>
      <c r="OLV1" s="253"/>
      <c r="OLW1" s="253"/>
      <c r="OLX1" s="253"/>
      <c r="OLY1" s="252"/>
      <c r="OLZ1" s="253"/>
      <c r="OMA1" s="253"/>
      <c r="OMB1" s="253"/>
      <c r="OMC1" s="252"/>
      <c r="OMD1" s="253"/>
      <c r="OME1" s="253"/>
      <c r="OMF1" s="253"/>
      <c r="OMG1" s="252"/>
      <c r="OMH1" s="253"/>
      <c r="OMI1" s="253"/>
      <c r="OMJ1" s="253"/>
      <c r="OMK1" s="252"/>
      <c r="OML1" s="253"/>
      <c r="OMM1" s="253"/>
      <c r="OMN1" s="253"/>
      <c r="OMO1" s="252"/>
      <c r="OMP1" s="253"/>
      <c r="OMQ1" s="253"/>
      <c r="OMR1" s="253"/>
      <c r="OMS1" s="252"/>
      <c r="OMT1" s="253"/>
      <c r="OMU1" s="253"/>
      <c r="OMV1" s="253"/>
      <c r="OMW1" s="252"/>
      <c r="OMX1" s="253"/>
      <c r="OMY1" s="253"/>
      <c r="OMZ1" s="253"/>
      <c r="ONA1" s="252"/>
      <c r="ONB1" s="253"/>
      <c r="ONC1" s="253"/>
      <c r="OND1" s="253"/>
      <c r="ONE1" s="252"/>
      <c r="ONF1" s="253"/>
      <c r="ONG1" s="253"/>
      <c r="ONH1" s="253"/>
      <c r="ONI1" s="252"/>
      <c r="ONJ1" s="253"/>
      <c r="ONK1" s="253"/>
      <c r="ONL1" s="253"/>
      <c r="ONM1" s="252"/>
      <c r="ONN1" s="253"/>
      <c r="ONO1" s="253"/>
      <c r="ONP1" s="253"/>
      <c r="ONQ1" s="252"/>
      <c r="ONR1" s="253"/>
      <c r="ONS1" s="253"/>
      <c r="ONT1" s="253"/>
      <c r="ONU1" s="252"/>
      <c r="ONV1" s="253"/>
      <c r="ONW1" s="253"/>
      <c r="ONX1" s="253"/>
      <c r="ONY1" s="252"/>
      <c r="ONZ1" s="253"/>
      <c r="OOA1" s="253"/>
      <c r="OOB1" s="253"/>
      <c r="OOC1" s="252"/>
      <c r="OOD1" s="253"/>
      <c r="OOE1" s="253"/>
      <c r="OOF1" s="253"/>
      <c r="OOG1" s="252"/>
      <c r="OOH1" s="253"/>
      <c r="OOI1" s="253"/>
      <c r="OOJ1" s="253"/>
      <c r="OOK1" s="252"/>
      <c r="OOL1" s="253"/>
      <c r="OOM1" s="253"/>
      <c r="OON1" s="253"/>
      <c r="OOO1" s="252"/>
      <c r="OOP1" s="253"/>
      <c r="OOQ1" s="253"/>
      <c r="OOR1" s="253"/>
      <c r="OOS1" s="252"/>
      <c r="OOT1" s="253"/>
      <c r="OOU1" s="253"/>
      <c r="OOV1" s="253"/>
      <c r="OOW1" s="252"/>
      <c r="OOX1" s="253"/>
      <c r="OOY1" s="253"/>
      <c r="OOZ1" s="253"/>
      <c r="OPA1" s="252"/>
      <c r="OPB1" s="253"/>
      <c r="OPC1" s="253"/>
      <c r="OPD1" s="253"/>
      <c r="OPE1" s="252"/>
      <c r="OPF1" s="253"/>
      <c r="OPG1" s="253"/>
      <c r="OPH1" s="253"/>
      <c r="OPI1" s="252"/>
      <c r="OPJ1" s="253"/>
      <c r="OPK1" s="253"/>
      <c r="OPL1" s="253"/>
      <c r="OPM1" s="252"/>
      <c r="OPN1" s="253"/>
      <c r="OPO1" s="253"/>
      <c r="OPP1" s="253"/>
      <c r="OPQ1" s="252"/>
      <c r="OPR1" s="253"/>
      <c r="OPS1" s="253"/>
      <c r="OPT1" s="253"/>
      <c r="OPU1" s="252"/>
      <c r="OPV1" s="253"/>
      <c r="OPW1" s="253"/>
      <c r="OPX1" s="253"/>
      <c r="OPY1" s="252"/>
      <c r="OPZ1" s="253"/>
      <c r="OQA1" s="253"/>
      <c r="OQB1" s="253"/>
      <c r="OQC1" s="252"/>
      <c r="OQD1" s="253"/>
      <c r="OQE1" s="253"/>
      <c r="OQF1" s="253"/>
      <c r="OQG1" s="252"/>
      <c r="OQH1" s="253"/>
      <c r="OQI1" s="253"/>
      <c r="OQJ1" s="253"/>
      <c r="OQK1" s="252"/>
      <c r="OQL1" s="253"/>
      <c r="OQM1" s="253"/>
      <c r="OQN1" s="253"/>
      <c r="OQO1" s="252"/>
      <c r="OQP1" s="253"/>
      <c r="OQQ1" s="253"/>
      <c r="OQR1" s="253"/>
      <c r="OQS1" s="252"/>
      <c r="OQT1" s="253"/>
      <c r="OQU1" s="253"/>
      <c r="OQV1" s="253"/>
      <c r="OQW1" s="252"/>
      <c r="OQX1" s="253"/>
      <c r="OQY1" s="253"/>
      <c r="OQZ1" s="253"/>
      <c r="ORA1" s="252"/>
      <c r="ORB1" s="253"/>
      <c r="ORC1" s="253"/>
      <c r="ORD1" s="253"/>
      <c r="ORE1" s="252"/>
      <c r="ORF1" s="253"/>
      <c r="ORG1" s="253"/>
      <c r="ORH1" s="253"/>
      <c r="ORI1" s="252"/>
      <c r="ORJ1" s="253"/>
      <c r="ORK1" s="253"/>
      <c r="ORL1" s="253"/>
      <c r="ORM1" s="252"/>
      <c r="ORN1" s="253"/>
      <c r="ORO1" s="253"/>
      <c r="ORP1" s="253"/>
      <c r="ORQ1" s="252"/>
      <c r="ORR1" s="253"/>
      <c r="ORS1" s="253"/>
      <c r="ORT1" s="253"/>
      <c r="ORU1" s="252"/>
      <c r="ORV1" s="253"/>
      <c r="ORW1" s="253"/>
      <c r="ORX1" s="253"/>
      <c r="ORY1" s="252"/>
      <c r="ORZ1" s="253"/>
      <c r="OSA1" s="253"/>
      <c r="OSB1" s="253"/>
      <c r="OSC1" s="252"/>
      <c r="OSD1" s="253"/>
      <c r="OSE1" s="253"/>
      <c r="OSF1" s="253"/>
      <c r="OSG1" s="252"/>
      <c r="OSH1" s="253"/>
      <c r="OSI1" s="253"/>
      <c r="OSJ1" s="253"/>
      <c r="OSK1" s="252"/>
      <c r="OSL1" s="253"/>
      <c r="OSM1" s="253"/>
      <c r="OSN1" s="253"/>
      <c r="OSO1" s="252"/>
      <c r="OSP1" s="253"/>
      <c r="OSQ1" s="253"/>
      <c r="OSR1" s="253"/>
      <c r="OSS1" s="252"/>
      <c r="OST1" s="253"/>
      <c r="OSU1" s="253"/>
      <c r="OSV1" s="253"/>
      <c r="OSW1" s="252"/>
      <c r="OSX1" s="253"/>
      <c r="OSY1" s="253"/>
      <c r="OSZ1" s="253"/>
      <c r="OTA1" s="252"/>
      <c r="OTB1" s="253"/>
      <c r="OTC1" s="253"/>
      <c r="OTD1" s="253"/>
      <c r="OTE1" s="252"/>
      <c r="OTF1" s="253"/>
      <c r="OTG1" s="253"/>
      <c r="OTH1" s="253"/>
      <c r="OTI1" s="252"/>
      <c r="OTJ1" s="253"/>
      <c r="OTK1" s="253"/>
      <c r="OTL1" s="253"/>
      <c r="OTM1" s="252"/>
      <c r="OTN1" s="253"/>
      <c r="OTO1" s="253"/>
      <c r="OTP1" s="253"/>
      <c r="OTQ1" s="252"/>
      <c r="OTR1" s="253"/>
      <c r="OTS1" s="253"/>
      <c r="OTT1" s="253"/>
      <c r="OTU1" s="252"/>
      <c r="OTV1" s="253"/>
      <c r="OTW1" s="253"/>
      <c r="OTX1" s="253"/>
      <c r="OTY1" s="252"/>
      <c r="OTZ1" s="253"/>
      <c r="OUA1" s="253"/>
      <c r="OUB1" s="253"/>
      <c r="OUC1" s="252"/>
      <c r="OUD1" s="253"/>
      <c r="OUE1" s="253"/>
      <c r="OUF1" s="253"/>
      <c r="OUG1" s="252"/>
      <c r="OUH1" s="253"/>
      <c r="OUI1" s="253"/>
      <c r="OUJ1" s="253"/>
      <c r="OUK1" s="252"/>
      <c r="OUL1" s="253"/>
      <c r="OUM1" s="253"/>
      <c r="OUN1" s="253"/>
      <c r="OUO1" s="252"/>
      <c r="OUP1" s="253"/>
      <c r="OUQ1" s="253"/>
      <c r="OUR1" s="253"/>
      <c r="OUS1" s="252"/>
      <c r="OUT1" s="253"/>
      <c r="OUU1" s="253"/>
      <c r="OUV1" s="253"/>
      <c r="OUW1" s="252"/>
      <c r="OUX1" s="253"/>
      <c r="OUY1" s="253"/>
      <c r="OUZ1" s="253"/>
      <c r="OVA1" s="252"/>
      <c r="OVB1" s="253"/>
      <c r="OVC1" s="253"/>
      <c r="OVD1" s="253"/>
      <c r="OVE1" s="252"/>
      <c r="OVF1" s="253"/>
      <c r="OVG1" s="253"/>
      <c r="OVH1" s="253"/>
      <c r="OVI1" s="252"/>
      <c r="OVJ1" s="253"/>
      <c r="OVK1" s="253"/>
      <c r="OVL1" s="253"/>
      <c r="OVM1" s="252"/>
      <c r="OVN1" s="253"/>
      <c r="OVO1" s="253"/>
      <c r="OVP1" s="253"/>
      <c r="OVQ1" s="252"/>
      <c r="OVR1" s="253"/>
      <c r="OVS1" s="253"/>
      <c r="OVT1" s="253"/>
      <c r="OVU1" s="252"/>
      <c r="OVV1" s="253"/>
      <c r="OVW1" s="253"/>
      <c r="OVX1" s="253"/>
      <c r="OVY1" s="252"/>
      <c r="OVZ1" s="253"/>
      <c r="OWA1" s="253"/>
      <c r="OWB1" s="253"/>
      <c r="OWC1" s="252"/>
      <c r="OWD1" s="253"/>
      <c r="OWE1" s="253"/>
      <c r="OWF1" s="253"/>
      <c r="OWG1" s="252"/>
      <c r="OWH1" s="253"/>
      <c r="OWI1" s="253"/>
      <c r="OWJ1" s="253"/>
      <c r="OWK1" s="252"/>
      <c r="OWL1" s="253"/>
      <c r="OWM1" s="253"/>
      <c r="OWN1" s="253"/>
      <c r="OWO1" s="252"/>
      <c r="OWP1" s="253"/>
      <c r="OWQ1" s="253"/>
      <c r="OWR1" s="253"/>
      <c r="OWS1" s="252"/>
      <c r="OWT1" s="253"/>
      <c r="OWU1" s="253"/>
      <c r="OWV1" s="253"/>
      <c r="OWW1" s="252"/>
      <c r="OWX1" s="253"/>
      <c r="OWY1" s="253"/>
      <c r="OWZ1" s="253"/>
      <c r="OXA1" s="252"/>
      <c r="OXB1" s="253"/>
      <c r="OXC1" s="253"/>
      <c r="OXD1" s="253"/>
      <c r="OXE1" s="252"/>
      <c r="OXF1" s="253"/>
      <c r="OXG1" s="253"/>
      <c r="OXH1" s="253"/>
      <c r="OXI1" s="252"/>
      <c r="OXJ1" s="253"/>
      <c r="OXK1" s="253"/>
      <c r="OXL1" s="253"/>
      <c r="OXM1" s="252"/>
      <c r="OXN1" s="253"/>
      <c r="OXO1" s="253"/>
      <c r="OXP1" s="253"/>
      <c r="OXQ1" s="252"/>
      <c r="OXR1" s="253"/>
      <c r="OXS1" s="253"/>
      <c r="OXT1" s="253"/>
      <c r="OXU1" s="252"/>
      <c r="OXV1" s="253"/>
      <c r="OXW1" s="253"/>
      <c r="OXX1" s="253"/>
      <c r="OXY1" s="252"/>
      <c r="OXZ1" s="253"/>
      <c r="OYA1" s="253"/>
      <c r="OYB1" s="253"/>
      <c r="OYC1" s="252"/>
      <c r="OYD1" s="253"/>
      <c r="OYE1" s="253"/>
      <c r="OYF1" s="253"/>
      <c r="OYG1" s="252"/>
      <c r="OYH1" s="253"/>
      <c r="OYI1" s="253"/>
      <c r="OYJ1" s="253"/>
      <c r="OYK1" s="252"/>
      <c r="OYL1" s="253"/>
      <c r="OYM1" s="253"/>
      <c r="OYN1" s="253"/>
      <c r="OYO1" s="252"/>
      <c r="OYP1" s="253"/>
      <c r="OYQ1" s="253"/>
      <c r="OYR1" s="253"/>
      <c r="OYS1" s="252"/>
      <c r="OYT1" s="253"/>
      <c r="OYU1" s="253"/>
      <c r="OYV1" s="253"/>
      <c r="OYW1" s="252"/>
      <c r="OYX1" s="253"/>
      <c r="OYY1" s="253"/>
      <c r="OYZ1" s="253"/>
      <c r="OZA1" s="252"/>
      <c r="OZB1" s="253"/>
      <c r="OZC1" s="253"/>
      <c r="OZD1" s="253"/>
      <c r="OZE1" s="252"/>
      <c r="OZF1" s="253"/>
      <c r="OZG1" s="253"/>
      <c r="OZH1" s="253"/>
      <c r="OZI1" s="252"/>
      <c r="OZJ1" s="253"/>
      <c r="OZK1" s="253"/>
      <c r="OZL1" s="253"/>
      <c r="OZM1" s="252"/>
      <c r="OZN1" s="253"/>
      <c r="OZO1" s="253"/>
      <c r="OZP1" s="253"/>
      <c r="OZQ1" s="252"/>
      <c r="OZR1" s="253"/>
      <c r="OZS1" s="253"/>
      <c r="OZT1" s="253"/>
      <c r="OZU1" s="252"/>
      <c r="OZV1" s="253"/>
      <c r="OZW1" s="253"/>
      <c r="OZX1" s="253"/>
      <c r="OZY1" s="252"/>
      <c r="OZZ1" s="253"/>
      <c r="PAA1" s="253"/>
      <c r="PAB1" s="253"/>
      <c r="PAC1" s="252"/>
      <c r="PAD1" s="253"/>
      <c r="PAE1" s="253"/>
      <c r="PAF1" s="253"/>
      <c r="PAG1" s="252"/>
      <c r="PAH1" s="253"/>
      <c r="PAI1" s="253"/>
      <c r="PAJ1" s="253"/>
      <c r="PAK1" s="252"/>
      <c r="PAL1" s="253"/>
      <c r="PAM1" s="253"/>
      <c r="PAN1" s="253"/>
      <c r="PAO1" s="252"/>
      <c r="PAP1" s="253"/>
      <c r="PAQ1" s="253"/>
      <c r="PAR1" s="253"/>
      <c r="PAS1" s="252"/>
      <c r="PAT1" s="253"/>
      <c r="PAU1" s="253"/>
      <c r="PAV1" s="253"/>
      <c r="PAW1" s="252"/>
      <c r="PAX1" s="253"/>
      <c r="PAY1" s="253"/>
      <c r="PAZ1" s="253"/>
      <c r="PBA1" s="252"/>
      <c r="PBB1" s="253"/>
      <c r="PBC1" s="253"/>
      <c r="PBD1" s="253"/>
      <c r="PBE1" s="252"/>
      <c r="PBF1" s="253"/>
      <c r="PBG1" s="253"/>
      <c r="PBH1" s="253"/>
      <c r="PBI1" s="252"/>
      <c r="PBJ1" s="253"/>
      <c r="PBK1" s="253"/>
      <c r="PBL1" s="253"/>
      <c r="PBM1" s="252"/>
      <c r="PBN1" s="253"/>
      <c r="PBO1" s="253"/>
      <c r="PBP1" s="253"/>
      <c r="PBQ1" s="252"/>
      <c r="PBR1" s="253"/>
      <c r="PBS1" s="253"/>
      <c r="PBT1" s="253"/>
      <c r="PBU1" s="252"/>
      <c r="PBV1" s="253"/>
      <c r="PBW1" s="253"/>
      <c r="PBX1" s="253"/>
      <c r="PBY1" s="252"/>
      <c r="PBZ1" s="253"/>
      <c r="PCA1" s="253"/>
      <c r="PCB1" s="253"/>
      <c r="PCC1" s="252"/>
      <c r="PCD1" s="253"/>
      <c r="PCE1" s="253"/>
      <c r="PCF1" s="253"/>
      <c r="PCG1" s="252"/>
      <c r="PCH1" s="253"/>
      <c r="PCI1" s="253"/>
      <c r="PCJ1" s="253"/>
      <c r="PCK1" s="252"/>
      <c r="PCL1" s="253"/>
      <c r="PCM1" s="253"/>
      <c r="PCN1" s="253"/>
      <c r="PCO1" s="252"/>
      <c r="PCP1" s="253"/>
      <c r="PCQ1" s="253"/>
      <c r="PCR1" s="253"/>
      <c r="PCS1" s="252"/>
      <c r="PCT1" s="253"/>
      <c r="PCU1" s="253"/>
      <c r="PCV1" s="253"/>
      <c r="PCW1" s="252"/>
      <c r="PCX1" s="253"/>
      <c r="PCY1" s="253"/>
      <c r="PCZ1" s="253"/>
      <c r="PDA1" s="252"/>
      <c r="PDB1" s="253"/>
      <c r="PDC1" s="253"/>
      <c r="PDD1" s="253"/>
      <c r="PDE1" s="252"/>
      <c r="PDF1" s="253"/>
      <c r="PDG1" s="253"/>
      <c r="PDH1" s="253"/>
      <c r="PDI1" s="252"/>
      <c r="PDJ1" s="253"/>
      <c r="PDK1" s="253"/>
      <c r="PDL1" s="253"/>
      <c r="PDM1" s="252"/>
      <c r="PDN1" s="253"/>
      <c r="PDO1" s="253"/>
      <c r="PDP1" s="253"/>
      <c r="PDQ1" s="252"/>
      <c r="PDR1" s="253"/>
      <c r="PDS1" s="253"/>
      <c r="PDT1" s="253"/>
      <c r="PDU1" s="252"/>
      <c r="PDV1" s="253"/>
      <c r="PDW1" s="253"/>
      <c r="PDX1" s="253"/>
      <c r="PDY1" s="252"/>
      <c r="PDZ1" s="253"/>
      <c r="PEA1" s="253"/>
      <c r="PEB1" s="253"/>
      <c r="PEC1" s="252"/>
      <c r="PED1" s="253"/>
      <c r="PEE1" s="253"/>
      <c r="PEF1" s="253"/>
      <c r="PEG1" s="252"/>
      <c r="PEH1" s="253"/>
      <c r="PEI1" s="253"/>
      <c r="PEJ1" s="253"/>
      <c r="PEK1" s="252"/>
      <c r="PEL1" s="253"/>
      <c r="PEM1" s="253"/>
      <c r="PEN1" s="253"/>
      <c r="PEO1" s="252"/>
      <c r="PEP1" s="253"/>
      <c r="PEQ1" s="253"/>
      <c r="PER1" s="253"/>
      <c r="PES1" s="252"/>
      <c r="PET1" s="253"/>
      <c r="PEU1" s="253"/>
      <c r="PEV1" s="253"/>
      <c r="PEW1" s="252"/>
      <c r="PEX1" s="253"/>
      <c r="PEY1" s="253"/>
      <c r="PEZ1" s="253"/>
      <c r="PFA1" s="252"/>
      <c r="PFB1" s="253"/>
      <c r="PFC1" s="253"/>
      <c r="PFD1" s="253"/>
      <c r="PFE1" s="252"/>
      <c r="PFF1" s="253"/>
      <c r="PFG1" s="253"/>
      <c r="PFH1" s="253"/>
      <c r="PFI1" s="252"/>
      <c r="PFJ1" s="253"/>
      <c r="PFK1" s="253"/>
      <c r="PFL1" s="253"/>
      <c r="PFM1" s="252"/>
      <c r="PFN1" s="253"/>
      <c r="PFO1" s="253"/>
      <c r="PFP1" s="253"/>
      <c r="PFQ1" s="252"/>
      <c r="PFR1" s="253"/>
      <c r="PFS1" s="253"/>
      <c r="PFT1" s="253"/>
      <c r="PFU1" s="252"/>
      <c r="PFV1" s="253"/>
      <c r="PFW1" s="253"/>
      <c r="PFX1" s="253"/>
      <c r="PFY1" s="252"/>
      <c r="PFZ1" s="253"/>
      <c r="PGA1" s="253"/>
      <c r="PGB1" s="253"/>
      <c r="PGC1" s="252"/>
      <c r="PGD1" s="253"/>
      <c r="PGE1" s="253"/>
      <c r="PGF1" s="253"/>
      <c r="PGG1" s="252"/>
      <c r="PGH1" s="253"/>
      <c r="PGI1" s="253"/>
      <c r="PGJ1" s="253"/>
      <c r="PGK1" s="252"/>
      <c r="PGL1" s="253"/>
      <c r="PGM1" s="253"/>
      <c r="PGN1" s="253"/>
      <c r="PGO1" s="252"/>
      <c r="PGP1" s="253"/>
      <c r="PGQ1" s="253"/>
      <c r="PGR1" s="253"/>
      <c r="PGS1" s="252"/>
      <c r="PGT1" s="253"/>
      <c r="PGU1" s="253"/>
      <c r="PGV1" s="253"/>
      <c r="PGW1" s="252"/>
      <c r="PGX1" s="253"/>
      <c r="PGY1" s="253"/>
      <c r="PGZ1" s="253"/>
      <c r="PHA1" s="252"/>
      <c r="PHB1" s="253"/>
      <c r="PHC1" s="253"/>
      <c r="PHD1" s="253"/>
      <c r="PHE1" s="252"/>
      <c r="PHF1" s="253"/>
      <c r="PHG1" s="253"/>
      <c r="PHH1" s="253"/>
      <c r="PHI1" s="252"/>
      <c r="PHJ1" s="253"/>
      <c r="PHK1" s="253"/>
      <c r="PHL1" s="253"/>
      <c r="PHM1" s="252"/>
      <c r="PHN1" s="253"/>
      <c r="PHO1" s="253"/>
      <c r="PHP1" s="253"/>
      <c r="PHQ1" s="252"/>
      <c r="PHR1" s="253"/>
      <c r="PHS1" s="253"/>
      <c r="PHT1" s="253"/>
      <c r="PHU1" s="252"/>
      <c r="PHV1" s="253"/>
      <c r="PHW1" s="253"/>
      <c r="PHX1" s="253"/>
      <c r="PHY1" s="252"/>
      <c r="PHZ1" s="253"/>
      <c r="PIA1" s="253"/>
      <c r="PIB1" s="253"/>
      <c r="PIC1" s="252"/>
      <c r="PID1" s="253"/>
      <c r="PIE1" s="253"/>
      <c r="PIF1" s="253"/>
      <c r="PIG1" s="252"/>
      <c r="PIH1" s="253"/>
      <c r="PII1" s="253"/>
      <c r="PIJ1" s="253"/>
      <c r="PIK1" s="252"/>
      <c r="PIL1" s="253"/>
      <c r="PIM1" s="253"/>
      <c r="PIN1" s="253"/>
      <c r="PIO1" s="252"/>
      <c r="PIP1" s="253"/>
      <c r="PIQ1" s="253"/>
      <c r="PIR1" s="253"/>
      <c r="PIS1" s="252"/>
      <c r="PIT1" s="253"/>
      <c r="PIU1" s="253"/>
      <c r="PIV1" s="253"/>
      <c r="PIW1" s="252"/>
      <c r="PIX1" s="253"/>
      <c r="PIY1" s="253"/>
      <c r="PIZ1" s="253"/>
      <c r="PJA1" s="252"/>
      <c r="PJB1" s="253"/>
      <c r="PJC1" s="253"/>
      <c r="PJD1" s="253"/>
      <c r="PJE1" s="252"/>
      <c r="PJF1" s="253"/>
      <c r="PJG1" s="253"/>
      <c r="PJH1" s="253"/>
      <c r="PJI1" s="252"/>
      <c r="PJJ1" s="253"/>
      <c r="PJK1" s="253"/>
      <c r="PJL1" s="253"/>
      <c r="PJM1" s="252"/>
      <c r="PJN1" s="253"/>
      <c r="PJO1" s="253"/>
      <c r="PJP1" s="253"/>
      <c r="PJQ1" s="252"/>
      <c r="PJR1" s="253"/>
      <c r="PJS1" s="253"/>
      <c r="PJT1" s="253"/>
      <c r="PJU1" s="252"/>
      <c r="PJV1" s="253"/>
      <c r="PJW1" s="253"/>
      <c r="PJX1" s="253"/>
      <c r="PJY1" s="252"/>
      <c r="PJZ1" s="253"/>
      <c r="PKA1" s="253"/>
      <c r="PKB1" s="253"/>
      <c r="PKC1" s="252"/>
      <c r="PKD1" s="253"/>
      <c r="PKE1" s="253"/>
      <c r="PKF1" s="253"/>
      <c r="PKG1" s="252"/>
      <c r="PKH1" s="253"/>
      <c r="PKI1" s="253"/>
      <c r="PKJ1" s="253"/>
      <c r="PKK1" s="252"/>
      <c r="PKL1" s="253"/>
      <c r="PKM1" s="253"/>
      <c r="PKN1" s="253"/>
      <c r="PKO1" s="252"/>
      <c r="PKP1" s="253"/>
      <c r="PKQ1" s="253"/>
      <c r="PKR1" s="253"/>
      <c r="PKS1" s="252"/>
      <c r="PKT1" s="253"/>
      <c r="PKU1" s="253"/>
      <c r="PKV1" s="253"/>
      <c r="PKW1" s="252"/>
      <c r="PKX1" s="253"/>
      <c r="PKY1" s="253"/>
      <c r="PKZ1" s="253"/>
      <c r="PLA1" s="252"/>
      <c r="PLB1" s="253"/>
      <c r="PLC1" s="253"/>
      <c r="PLD1" s="253"/>
      <c r="PLE1" s="252"/>
      <c r="PLF1" s="253"/>
      <c r="PLG1" s="253"/>
      <c r="PLH1" s="253"/>
      <c r="PLI1" s="252"/>
      <c r="PLJ1" s="253"/>
      <c r="PLK1" s="253"/>
      <c r="PLL1" s="253"/>
      <c r="PLM1" s="252"/>
      <c r="PLN1" s="253"/>
      <c r="PLO1" s="253"/>
      <c r="PLP1" s="253"/>
      <c r="PLQ1" s="252"/>
      <c r="PLR1" s="253"/>
      <c r="PLS1" s="253"/>
      <c r="PLT1" s="253"/>
      <c r="PLU1" s="252"/>
      <c r="PLV1" s="253"/>
      <c r="PLW1" s="253"/>
      <c r="PLX1" s="253"/>
      <c r="PLY1" s="252"/>
      <c r="PLZ1" s="253"/>
      <c r="PMA1" s="253"/>
      <c r="PMB1" s="253"/>
      <c r="PMC1" s="252"/>
      <c r="PMD1" s="253"/>
      <c r="PME1" s="253"/>
      <c r="PMF1" s="253"/>
      <c r="PMG1" s="252"/>
      <c r="PMH1" s="253"/>
      <c r="PMI1" s="253"/>
      <c r="PMJ1" s="253"/>
      <c r="PMK1" s="252"/>
      <c r="PML1" s="253"/>
      <c r="PMM1" s="253"/>
      <c r="PMN1" s="253"/>
      <c r="PMO1" s="252"/>
      <c r="PMP1" s="253"/>
      <c r="PMQ1" s="253"/>
      <c r="PMR1" s="253"/>
      <c r="PMS1" s="252"/>
      <c r="PMT1" s="253"/>
      <c r="PMU1" s="253"/>
      <c r="PMV1" s="253"/>
      <c r="PMW1" s="252"/>
      <c r="PMX1" s="253"/>
      <c r="PMY1" s="253"/>
      <c r="PMZ1" s="253"/>
      <c r="PNA1" s="252"/>
      <c r="PNB1" s="253"/>
      <c r="PNC1" s="253"/>
      <c r="PND1" s="253"/>
      <c r="PNE1" s="252"/>
      <c r="PNF1" s="253"/>
      <c r="PNG1" s="253"/>
      <c r="PNH1" s="253"/>
      <c r="PNI1" s="252"/>
      <c r="PNJ1" s="253"/>
      <c r="PNK1" s="253"/>
      <c r="PNL1" s="253"/>
      <c r="PNM1" s="252"/>
      <c r="PNN1" s="253"/>
      <c r="PNO1" s="253"/>
      <c r="PNP1" s="253"/>
      <c r="PNQ1" s="252"/>
      <c r="PNR1" s="253"/>
      <c r="PNS1" s="253"/>
      <c r="PNT1" s="253"/>
      <c r="PNU1" s="252"/>
      <c r="PNV1" s="253"/>
      <c r="PNW1" s="253"/>
      <c r="PNX1" s="253"/>
      <c r="PNY1" s="252"/>
      <c r="PNZ1" s="253"/>
      <c r="POA1" s="253"/>
      <c r="POB1" s="253"/>
      <c r="POC1" s="252"/>
      <c r="POD1" s="253"/>
      <c r="POE1" s="253"/>
      <c r="POF1" s="253"/>
      <c r="POG1" s="252"/>
      <c r="POH1" s="253"/>
      <c r="POI1" s="253"/>
      <c r="POJ1" s="253"/>
      <c r="POK1" s="252"/>
      <c r="POL1" s="253"/>
      <c r="POM1" s="253"/>
      <c r="PON1" s="253"/>
      <c r="POO1" s="252"/>
      <c r="POP1" s="253"/>
      <c r="POQ1" s="253"/>
      <c r="POR1" s="253"/>
      <c r="POS1" s="252"/>
      <c r="POT1" s="253"/>
      <c r="POU1" s="253"/>
      <c r="POV1" s="253"/>
      <c r="POW1" s="252"/>
      <c r="POX1" s="253"/>
      <c r="POY1" s="253"/>
      <c r="POZ1" s="253"/>
      <c r="PPA1" s="252"/>
      <c r="PPB1" s="253"/>
      <c r="PPC1" s="253"/>
      <c r="PPD1" s="253"/>
      <c r="PPE1" s="252"/>
      <c r="PPF1" s="253"/>
      <c r="PPG1" s="253"/>
      <c r="PPH1" s="253"/>
      <c r="PPI1" s="252"/>
      <c r="PPJ1" s="253"/>
      <c r="PPK1" s="253"/>
      <c r="PPL1" s="253"/>
      <c r="PPM1" s="252"/>
      <c r="PPN1" s="253"/>
      <c r="PPO1" s="253"/>
      <c r="PPP1" s="253"/>
      <c r="PPQ1" s="252"/>
      <c r="PPR1" s="253"/>
      <c r="PPS1" s="253"/>
      <c r="PPT1" s="253"/>
      <c r="PPU1" s="252"/>
      <c r="PPV1" s="253"/>
      <c r="PPW1" s="253"/>
      <c r="PPX1" s="253"/>
      <c r="PPY1" s="252"/>
      <c r="PPZ1" s="253"/>
      <c r="PQA1" s="253"/>
      <c r="PQB1" s="253"/>
      <c r="PQC1" s="252"/>
      <c r="PQD1" s="253"/>
      <c r="PQE1" s="253"/>
      <c r="PQF1" s="253"/>
      <c r="PQG1" s="252"/>
      <c r="PQH1" s="253"/>
      <c r="PQI1" s="253"/>
      <c r="PQJ1" s="253"/>
      <c r="PQK1" s="252"/>
      <c r="PQL1" s="253"/>
      <c r="PQM1" s="253"/>
      <c r="PQN1" s="253"/>
      <c r="PQO1" s="252"/>
      <c r="PQP1" s="253"/>
      <c r="PQQ1" s="253"/>
      <c r="PQR1" s="253"/>
      <c r="PQS1" s="252"/>
      <c r="PQT1" s="253"/>
      <c r="PQU1" s="253"/>
      <c r="PQV1" s="253"/>
      <c r="PQW1" s="252"/>
      <c r="PQX1" s="253"/>
      <c r="PQY1" s="253"/>
      <c r="PQZ1" s="253"/>
      <c r="PRA1" s="252"/>
      <c r="PRB1" s="253"/>
      <c r="PRC1" s="253"/>
      <c r="PRD1" s="253"/>
      <c r="PRE1" s="252"/>
      <c r="PRF1" s="253"/>
      <c r="PRG1" s="253"/>
      <c r="PRH1" s="253"/>
      <c r="PRI1" s="252"/>
      <c r="PRJ1" s="253"/>
      <c r="PRK1" s="253"/>
      <c r="PRL1" s="253"/>
      <c r="PRM1" s="252"/>
      <c r="PRN1" s="253"/>
      <c r="PRO1" s="253"/>
      <c r="PRP1" s="253"/>
      <c r="PRQ1" s="252"/>
      <c r="PRR1" s="253"/>
      <c r="PRS1" s="253"/>
      <c r="PRT1" s="253"/>
      <c r="PRU1" s="252"/>
      <c r="PRV1" s="253"/>
      <c r="PRW1" s="253"/>
      <c r="PRX1" s="253"/>
      <c r="PRY1" s="252"/>
      <c r="PRZ1" s="253"/>
      <c r="PSA1" s="253"/>
      <c r="PSB1" s="253"/>
      <c r="PSC1" s="252"/>
      <c r="PSD1" s="253"/>
      <c r="PSE1" s="253"/>
      <c r="PSF1" s="253"/>
      <c r="PSG1" s="252"/>
      <c r="PSH1" s="253"/>
      <c r="PSI1" s="253"/>
      <c r="PSJ1" s="253"/>
      <c r="PSK1" s="252"/>
      <c r="PSL1" s="253"/>
      <c r="PSM1" s="253"/>
      <c r="PSN1" s="253"/>
      <c r="PSO1" s="252"/>
      <c r="PSP1" s="253"/>
      <c r="PSQ1" s="253"/>
      <c r="PSR1" s="253"/>
      <c r="PSS1" s="252"/>
      <c r="PST1" s="253"/>
      <c r="PSU1" s="253"/>
      <c r="PSV1" s="253"/>
      <c r="PSW1" s="252"/>
      <c r="PSX1" s="253"/>
      <c r="PSY1" s="253"/>
      <c r="PSZ1" s="253"/>
      <c r="PTA1" s="252"/>
      <c r="PTB1" s="253"/>
      <c r="PTC1" s="253"/>
      <c r="PTD1" s="253"/>
      <c r="PTE1" s="252"/>
      <c r="PTF1" s="253"/>
      <c r="PTG1" s="253"/>
      <c r="PTH1" s="253"/>
      <c r="PTI1" s="252"/>
      <c r="PTJ1" s="253"/>
      <c r="PTK1" s="253"/>
      <c r="PTL1" s="253"/>
      <c r="PTM1" s="252"/>
      <c r="PTN1" s="253"/>
      <c r="PTO1" s="253"/>
      <c r="PTP1" s="253"/>
      <c r="PTQ1" s="252"/>
      <c r="PTR1" s="253"/>
      <c r="PTS1" s="253"/>
      <c r="PTT1" s="253"/>
      <c r="PTU1" s="252"/>
      <c r="PTV1" s="253"/>
      <c r="PTW1" s="253"/>
      <c r="PTX1" s="253"/>
      <c r="PTY1" s="252"/>
      <c r="PTZ1" s="253"/>
      <c r="PUA1" s="253"/>
      <c r="PUB1" s="253"/>
      <c r="PUC1" s="252"/>
      <c r="PUD1" s="253"/>
      <c r="PUE1" s="253"/>
      <c r="PUF1" s="253"/>
      <c r="PUG1" s="252"/>
      <c r="PUH1" s="253"/>
      <c r="PUI1" s="253"/>
      <c r="PUJ1" s="253"/>
      <c r="PUK1" s="252"/>
      <c r="PUL1" s="253"/>
      <c r="PUM1" s="253"/>
      <c r="PUN1" s="253"/>
      <c r="PUO1" s="252"/>
      <c r="PUP1" s="253"/>
      <c r="PUQ1" s="253"/>
      <c r="PUR1" s="253"/>
      <c r="PUS1" s="252"/>
      <c r="PUT1" s="253"/>
      <c r="PUU1" s="253"/>
      <c r="PUV1" s="253"/>
      <c r="PUW1" s="252"/>
      <c r="PUX1" s="253"/>
      <c r="PUY1" s="253"/>
      <c r="PUZ1" s="253"/>
      <c r="PVA1" s="252"/>
      <c r="PVB1" s="253"/>
      <c r="PVC1" s="253"/>
      <c r="PVD1" s="253"/>
      <c r="PVE1" s="252"/>
      <c r="PVF1" s="253"/>
      <c r="PVG1" s="253"/>
      <c r="PVH1" s="253"/>
      <c r="PVI1" s="252"/>
      <c r="PVJ1" s="253"/>
      <c r="PVK1" s="253"/>
      <c r="PVL1" s="253"/>
      <c r="PVM1" s="252"/>
      <c r="PVN1" s="253"/>
      <c r="PVO1" s="253"/>
      <c r="PVP1" s="253"/>
      <c r="PVQ1" s="252"/>
      <c r="PVR1" s="253"/>
      <c r="PVS1" s="253"/>
      <c r="PVT1" s="253"/>
      <c r="PVU1" s="252"/>
      <c r="PVV1" s="253"/>
      <c r="PVW1" s="253"/>
      <c r="PVX1" s="253"/>
      <c r="PVY1" s="252"/>
      <c r="PVZ1" s="253"/>
      <c r="PWA1" s="253"/>
      <c r="PWB1" s="253"/>
      <c r="PWC1" s="252"/>
      <c r="PWD1" s="253"/>
      <c r="PWE1" s="253"/>
      <c r="PWF1" s="253"/>
      <c r="PWG1" s="252"/>
      <c r="PWH1" s="253"/>
      <c r="PWI1" s="253"/>
      <c r="PWJ1" s="253"/>
      <c r="PWK1" s="252"/>
      <c r="PWL1" s="253"/>
      <c r="PWM1" s="253"/>
      <c r="PWN1" s="253"/>
      <c r="PWO1" s="252"/>
      <c r="PWP1" s="253"/>
      <c r="PWQ1" s="253"/>
      <c r="PWR1" s="253"/>
      <c r="PWS1" s="252"/>
      <c r="PWT1" s="253"/>
      <c r="PWU1" s="253"/>
      <c r="PWV1" s="253"/>
      <c r="PWW1" s="252"/>
      <c r="PWX1" s="253"/>
      <c r="PWY1" s="253"/>
      <c r="PWZ1" s="253"/>
      <c r="PXA1" s="252"/>
      <c r="PXB1" s="253"/>
      <c r="PXC1" s="253"/>
      <c r="PXD1" s="253"/>
      <c r="PXE1" s="252"/>
      <c r="PXF1" s="253"/>
      <c r="PXG1" s="253"/>
      <c r="PXH1" s="253"/>
      <c r="PXI1" s="252"/>
      <c r="PXJ1" s="253"/>
      <c r="PXK1" s="253"/>
      <c r="PXL1" s="253"/>
      <c r="PXM1" s="252"/>
      <c r="PXN1" s="253"/>
      <c r="PXO1" s="253"/>
      <c r="PXP1" s="253"/>
      <c r="PXQ1" s="252"/>
      <c r="PXR1" s="253"/>
      <c r="PXS1" s="253"/>
      <c r="PXT1" s="253"/>
      <c r="PXU1" s="252"/>
      <c r="PXV1" s="253"/>
      <c r="PXW1" s="253"/>
      <c r="PXX1" s="253"/>
      <c r="PXY1" s="252"/>
      <c r="PXZ1" s="253"/>
      <c r="PYA1" s="253"/>
      <c r="PYB1" s="253"/>
      <c r="PYC1" s="252"/>
      <c r="PYD1" s="253"/>
      <c r="PYE1" s="253"/>
      <c r="PYF1" s="253"/>
      <c r="PYG1" s="252"/>
      <c r="PYH1" s="253"/>
      <c r="PYI1" s="253"/>
      <c r="PYJ1" s="253"/>
      <c r="PYK1" s="252"/>
      <c r="PYL1" s="253"/>
      <c r="PYM1" s="253"/>
      <c r="PYN1" s="253"/>
      <c r="PYO1" s="252"/>
      <c r="PYP1" s="253"/>
      <c r="PYQ1" s="253"/>
      <c r="PYR1" s="253"/>
      <c r="PYS1" s="252"/>
      <c r="PYT1" s="253"/>
      <c r="PYU1" s="253"/>
      <c r="PYV1" s="253"/>
      <c r="PYW1" s="252"/>
      <c r="PYX1" s="253"/>
      <c r="PYY1" s="253"/>
      <c r="PYZ1" s="253"/>
      <c r="PZA1" s="252"/>
      <c r="PZB1" s="253"/>
      <c r="PZC1" s="253"/>
      <c r="PZD1" s="253"/>
      <c r="PZE1" s="252"/>
      <c r="PZF1" s="253"/>
      <c r="PZG1" s="253"/>
      <c r="PZH1" s="253"/>
      <c r="PZI1" s="252"/>
      <c r="PZJ1" s="253"/>
      <c r="PZK1" s="253"/>
      <c r="PZL1" s="253"/>
      <c r="PZM1" s="252"/>
      <c r="PZN1" s="253"/>
      <c r="PZO1" s="253"/>
      <c r="PZP1" s="253"/>
      <c r="PZQ1" s="252"/>
      <c r="PZR1" s="253"/>
      <c r="PZS1" s="253"/>
      <c r="PZT1" s="253"/>
      <c r="PZU1" s="252"/>
      <c r="PZV1" s="253"/>
      <c r="PZW1" s="253"/>
      <c r="PZX1" s="253"/>
      <c r="PZY1" s="252"/>
      <c r="PZZ1" s="253"/>
      <c r="QAA1" s="253"/>
      <c r="QAB1" s="253"/>
      <c r="QAC1" s="252"/>
      <c r="QAD1" s="253"/>
      <c r="QAE1" s="253"/>
      <c r="QAF1" s="253"/>
      <c r="QAG1" s="252"/>
      <c r="QAH1" s="253"/>
      <c r="QAI1" s="253"/>
      <c r="QAJ1" s="253"/>
      <c r="QAK1" s="252"/>
      <c r="QAL1" s="253"/>
      <c r="QAM1" s="253"/>
      <c r="QAN1" s="253"/>
      <c r="QAO1" s="252"/>
      <c r="QAP1" s="253"/>
      <c r="QAQ1" s="253"/>
      <c r="QAR1" s="253"/>
      <c r="QAS1" s="252"/>
      <c r="QAT1" s="253"/>
      <c r="QAU1" s="253"/>
      <c r="QAV1" s="253"/>
      <c r="QAW1" s="252"/>
      <c r="QAX1" s="253"/>
      <c r="QAY1" s="253"/>
      <c r="QAZ1" s="253"/>
      <c r="QBA1" s="252"/>
      <c r="QBB1" s="253"/>
      <c r="QBC1" s="253"/>
      <c r="QBD1" s="253"/>
      <c r="QBE1" s="252"/>
      <c r="QBF1" s="253"/>
      <c r="QBG1" s="253"/>
      <c r="QBH1" s="253"/>
      <c r="QBI1" s="252"/>
      <c r="QBJ1" s="253"/>
      <c r="QBK1" s="253"/>
      <c r="QBL1" s="253"/>
      <c r="QBM1" s="252"/>
      <c r="QBN1" s="253"/>
      <c r="QBO1" s="253"/>
      <c r="QBP1" s="253"/>
      <c r="QBQ1" s="252"/>
      <c r="QBR1" s="253"/>
      <c r="QBS1" s="253"/>
      <c r="QBT1" s="253"/>
      <c r="QBU1" s="252"/>
      <c r="QBV1" s="253"/>
      <c r="QBW1" s="253"/>
      <c r="QBX1" s="253"/>
      <c r="QBY1" s="252"/>
      <c r="QBZ1" s="253"/>
      <c r="QCA1" s="253"/>
      <c r="QCB1" s="253"/>
      <c r="QCC1" s="252"/>
      <c r="QCD1" s="253"/>
      <c r="QCE1" s="253"/>
      <c r="QCF1" s="253"/>
      <c r="QCG1" s="252"/>
      <c r="QCH1" s="253"/>
      <c r="QCI1" s="253"/>
      <c r="QCJ1" s="253"/>
      <c r="QCK1" s="252"/>
      <c r="QCL1" s="253"/>
      <c r="QCM1" s="253"/>
      <c r="QCN1" s="253"/>
      <c r="QCO1" s="252"/>
      <c r="QCP1" s="253"/>
      <c r="QCQ1" s="253"/>
      <c r="QCR1" s="253"/>
      <c r="QCS1" s="252"/>
      <c r="QCT1" s="253"/>
      <c r="QCU1" s="253"/>
      <c r="QCV1" s="253"/>
      <c r="QCW1" s="252"/>
      <c r="QCX1" s="253"/>
      <c r="QCY1" s="253"/>
      <c r="QCZ1" s="253"/>
      <c r="QDA1" s="252"/>
      <c r="QDB1" s="253"/>
      <c r="QDC1" s="253"/>
      <c r="QDD1" s="253"/>
      <c r="QDE1" s="252"/>
      <c r="QDF1" s="253"/>
      <c r="QDG1" s="253"/>
      <c r="QDH1" s="253"/>
      <c r="QDI1" s="252"/>
      <c r="QDJ1" s="253"/>
      <c r="QDK1" s="253"/>
      <c r="QDL1" s="253"/>
      <c r="QDM1" s="252"/>
      <c r="QDN1" s="253"/>
      <c r="QDO1" s="253"/>
      <c r="QDP1" s="253"/>
      <c r="QDQ1" s="252"/>
      <c r="QDR1" s="253"/>
      <c r="QDS1" s="253"/>
      <c r="QDT1" s="253"/>
      <c r="QDU1" s="252"/>
      <c r="QDV1" s="253"/>
      <c r="QDW1" s="253"/>
      <c r="QDX1" s="253"/>
      <c r="QDY1" s="252"/>
      <c r="QDZ1" s="253"/>
      <c r="QEA1" s="253"/>
      <c r="QEB1" s="253"/>
      <c r="QEC1" s="252"/>
      <c r="QED1" s="253"/>
      <c r="QEE1" s="253"/>
      <c r="QEF1" s="253"/>
      <c r="QEG1" s="252"/>
      <c r="QEH1" s="253"/>
      <c r="QEI1" s="253"/>
      <c r="QEJ1" s="253"/>
      <c r="QEK1" s="252"/>
      <c r="QEL1" s="253"/>
      <c r="QEM1" s="253"/>
      <c r="QEN1" s="253"/>
      <c r="QEO1" s="252"/>
      <c r="QEP1" s="253"/>
      <c r="QEQ1" s="253"/>
      <c r="QER1" s="253"/>
      <c r="QES1" s="252"/>
      <c r="QET1" s="253"/>
      <c r="QEU1" s="253"/>
      <c r="QEV1" s="253"/>
      <c r="QEW1" s="252"/>
      <c r="QEX1" s="253"/>
      <c r="QEY1" s="253"/>
      <c r="QEZ1" s="253"/>
      <c r="QFA1" s="252"/>
      <c r="QFB1" s="253"/>
      <c r="QFC1" s="253"/>
      <c r="QFD1" s="253"/>
      <c r="QFE1" s="252"/>
      <c r="QFF1" s="253"/>
      <c r="QFG1" s="253"/>
      <c r="QFH1" s="253"/>
      <c r="QFI1" s="252"/>
      <c r="QFJ1" s="253"/>
      <c r="QFK1" s="253"/>
      <c r="QFL1" s="253"/>
      <c r="QFM1" s="252"/>
      <c r="QFN1" s="253"/>
      <c r="QFO1" s="253"/>
      <c r="QFP1" s="253"/>
      <c r="QFQ1" s="252"/>
      <c r="QFR1" s="253"/>
      <c r="QFS1" s="253"/>
      <c r="QFT1" s="253"/>
      <c r="QFU1" s="252"/>
      <c r="QFV1" s="253"/>
      <c r="QFW1" s="253"/>
      <c r="QFX1" s="253"/>
      <c r="QFY1" s="252"/>
      <c r="QFZ1" s="253"/>
      <c r="QGA1" s="253"/>
      <c r="QGB1" s="253"/>
      <c r="QGC1" s="252"/>
      <c r="QGD1" s="253"/>
      <c r="QGE1" s="253"/>
      <c r="QGF1" s="253"/>
      <c r="QGG1" s="252"/>
      <c r="QGH1" s="253"/>
      <c r="QGI1" s="253"/>
      <c r="QGJ1" s="253"/>
      <c r="QGK1" s="252"/>
      <c r="QGL1" s="253"/>
      <c r="QGM1" s="253"/>
      <c r="QGN1" s="253"/>
      <c r="QGO1" s="252"/>
      <c r="QGP1" s="253"/>
      <c r="QGQ1" s="253"/>
      <c r="QGR1" s="253"/>
      <c r="QGS1" s="252"/>
      <c r="QGT1" s="253"/>
      <c r="QGU1" s="253"/>
      <c r="QGV1" s="253"/>
      <c r="QGW1" s="252"/>
      <c r="QGX1" s="253"/>
      <c r="QGY1" s="253"/>
      <c r="QGZ1" s="253"/>
      <c r="QHA1" s="252"/>
      <c r="QHB1" s="253"/>
      <c r="QHC1" s="253"/>
      <c r="QHD1" s="253"/>
      <c r="QHE1" s="252"/>
      <c r="QHF1" s="253"/>
      <c r="QHG1" s="253"/>
      <c r="QHH1" s="253"/>
      <c r="QHI1" s="252"/>
      <c r="QHJ1" s="253"/>
      <c r="QHK1" s="253"/>
      <c r="QHL1" s="253"/>
      <c r="QHM1" s="252"/>
      <c r="QHN1" s="253"/>
      <c r="QHO1" s="253"/>
      <c r="QHP1" s="253"/>
      <c r="QHQ1" s="252"/>
      <c r="QHR1" s="253"/>
      <c r="QHS1" s="253"/>
      <c r="QHT1" s="253"/>
      <c r="QHU1" s="252"/>
      <c r="QHV1" s="253"/>
      <c r="QHW1" s="253"/>
      <c r="QHX1" s="253"/>
      <c r="QHY1" s="252"/>
      <c r="QHZ1" s="253"/>
      <c r="QIA1" s="253"/>
      <c r="QIB1" s="253"/>
      <c r="QIC1" s="252"/>
      <c r="QID1" s="253"/>
      <c r="QIE1" s="253"/>
      <c r="QIF1" s="253"/>
      <c r="QIG1" s="252"/>
      <c r="QIH1" s="253"/>
      <c r="QII1" s="253"/>
      <c r="QIJ1" s="253"/>
      <c r="QIK1" s="252"/>
      <c r="QIL1" s="253"/>
      <c r="QIM1" s="253"/>
      <c r="QIN1" s="253"/>
      <c r="QIO1" s="252"/>
      <c r="QIP1" s="253"/>
      <c r="QIQ1" s="253"/>
      <c r="QIR1" s="253"/>
      <c r="QIS1" s="252"/>
      <c r="QIT1" s="253"/>
      <c r="QIU1" s="253"/>
      <c r="QIV1" s="253"/>
      <c r="QIW1" s="252"/>
      <c r="QIX1" s="253"/>
      <c r="QIY1" s="253"/>
      <c r="QIZ1" s="253"/>
      <c r="QJA1" s="252"/>
      <c r="QJB1" s="253"/>
      <c r="QJC1" s="253"/>
      <c r="QJD1" s="253"/>
      <c r="QJE1" s="252"/>
      <c r="QJF1" s="253"/>
      <c r="QJG1" s="253"/>
      <c r="QJH1" s="253"/>
      <c r="QJI1" s="252"/>
      <c r="QJJ1" s="253"/>
      <c r="QJK1" s="253"/>
      <c r="QJL1" s="253"/>
      <c r="QJM1" s="252"/>
      <c r="QJN1" s="253"/>
      <c r="QJO1" s="253"/>
      <c r="QJP1" s="253"/>
      <c r="QJQ1" s="252"/>
      <c r="QJR1" s="253"/>
      <c r="QJS1" s="253"/>
      <c r="QJT1" s="253"/>
      <c r="QJU1" s="252"/>
      <c r="QJV1" s="253"/>
      <c r="QJW1" s="253"/>
      <c r="QJX1" s="253"/>
      <c r="QJY1" s="252"/>
      <c r="QJZ1" s="253"/>
      <c r="QKA1" s="253"/>
      <c r="QKB1" s="253"/>
      <c r="QKC1" s="252"/>
      <c r="QKD1" s="253"/>
      <c r="QKE1" s="253"/>
      <c r="QKF1" s="253"/>
      <c r="QKG1" s="252"/>
      <c r="QKH1" s="253"/>
      <c r="QKI1" s="253"/>
      <c r="QKJ1" s="253"/>
      <c r="QKK1" s="252"/>
      <c r="QKL1" s="253"/>
      <c r="QKM1" s="253"/>
      <c r="QKN1" s="253"/>
      <c r="QKO1" s="252"/>
      <c r="QKP1" s="253"/>
      <c r="QKQ1" s="253"/>
      <c r="QKR1" s="253"/>
      <c r="QKS1" s="252"/>
      <c r="QKT1" s="253"/>
      <c r="QKU1" s="253"/>
      <c r="QKV1" s="253"/>
      <c r="QKW1" s="252"/>
      <c r="QKX1" s="253"/>
      <c r="QKY1" s="253"/>
      <c r="QKZ1" s="253"/>
      <c r="QLA1" s="252"/>
      <c r="QLB1" s="253"/>
      <c r="QLC1" s="253"/>
      <c r="QLD1" s="253"/>
      <c r="QLE1" s="252"/>
      <c r="QLF1" s="253"/>
      <c r="QLG1" s="253"/>
      <c r="QLH1" s="253"/>
      <c r="QLI1" s="252"/>
      <c r="QLJ1" s="253"/>
      <c r="QLK1" s="253"/>
      <c r="QLL1" s="253"/>
      <c r="QLM1" s="252"/>
      <c r="QLN1" s="253"/>
      <c r="QLO1" s="253"/>
      <c r="QLP1" s="253"/>
      <c r="QLQ1" s="252"/>
      <c r="QLR1" s="253"/>
      <c r="QLS1" s="253"/>
      <c r="QLT1" s="253"/>
      <c r="QLU1" s="252"/>
      <c r="QLV1" s="253"/>
      <c r="QLW1" s="253"/>
      <c r="QLX1" s="253"/>
      <c r="QLY1" s="252"/>
      <c r="QLZ1" s="253"/>
      <c r="QMA1" s="253"/>
      <c r="QMB1" s="253"/>
      <c r="QMC1" s="252"/>
      <c r="QMD1" s="253"/>
      <c r="QME1" s="253"/>
      <c r="QMF1" s="253"/>
      <c r="QMG1" s="252"/>
      <c r="QMH1" s="253"/>
      <c r="QMI1" s="253"/>
      <c r="QMJ1" s="253"/>
      <c r="QMK1" s="252"/>
      <c r="QML1" s="253"/>
      <c r="QMM1" s="253"/>
      <c r="QMN1" s="253"/>
      <c r="QMO1" s="252"/>
      <c r="QMP1" s="253"/>
      <c r="QMQ1" s="253"/>
      <c r="QMR1" s="253"/>
      <c r="QMS1" s="252"/>
      <c r="QMT1" s="253"/>
      <c r="QMU1" s="253"/>
      <c r="QMV1" s="253"/>
      <c r="QMW1" s="252"/>
      <c r="QMX1" s="253"/>
      <c r="QMY1" s="253"/>
      <c r="QMZ1" s="253"/>
      <c r="QNA1" s="252"/>
      <c r="QNB1" s="253"/>
      <c r="QNC1" s="253"/>
      <c r="QND1" s="253"/>
      <c r="QNE1" s="252"/>
      <c r="QNF1" s="253"/>
      <c r="QNG1" s="253"/>
      <c r="QNH1" s="253"/>
      <c r="QNI1" s="252"/>
      <c r="QNJ1" s="253"/>
      <c r="QNK1" s="253"/>
      <c r="QNL1" s="253"/>
      <c r="QNM1" s="252"/>
      <c r="QNN1" s="253"/>
      <c r="QNO1" s="253"/>
      <c r="QNP1" s="253"/>
      <c r="QNQ1" s="252"/>
      <c r="QNR1" s="253"/>
      <c r="QNS1" s="253"/>
      <c r="QNT1" s="253"/>
      <c r="QNU1" s="252"/>
      <c r="QNV1" s="253"/>
      <c r="QNW1" s="253"/>
      <c r="QNX1" s="253"/>
      <c r="QNY1" s="252"/>
      <c r="QNZ1" s="253"/>
      <c r="QOA1" s="253"/>
      <c r="QOB1" s="253"/>
      <c r="QOC1" s="252"/>
      <c r="QOD1" s="253"/>
      <c r="QOE1" s="253"/>
      <c r="QOF1" s="253"/>
      <c r="QOG1" s="252"/>
      <c r="QOH1" s="253"/>
      <c r="QOI1" s="253"/>
      <c r="QOJ1" s="253"/>
      <c r="QOK1" s="252"/>
      <c r="QOL1" s="253"/>
      <c r="QOM1" s="253"/>
      <c r="QON1" s="253"/>
      <c r="QOO1" s="252"/>
      <c r="QOP1" s="253"/>
      <c r="QOQ1" s="253"/>
      <c r="QOR1" s="253"/>
      <c r="QOS1" s="252"/>
      <c r="QOT1" s="253"/>
      <c r="QOU1" s="253"/>
      <c r="QOV1" s="253"/>
      <c r="QOW1" s="252"/>
      <c r="QOX1" s="253"/>
      <c r="QOY1" s="253"/>
      <c r="QOZ1" s="253"/>
      <c r="QPA1" s="252"/>
      <c r="QPB1" s="253"/>
      <c r="QPC1" s="253"/>
      <c r="QPD1" s="253"/>
      <c r="QPE1" s="252"/>
      <c r="QPF1" s="253"/>
      <c r="QPG1" s="253"/>
      <c r="QPH1" s="253"/>
      <c r="QPI1" s="252"/>
      <c r="QPJ1" s="253"/>
      <c r="QPK1" s="253"/>
      <c r="QPL1" s="253"/>
      <c r="QPM1" s="252"/>
      <c r="QPN1" s="253"/>
      <c r="QPO1" s="253"/>
      <c r="QPP1" s="253"/>
      <c r="QPQ1" s="252"/>
      <c r="QPR1" s="253"/>
      <c r="QPS1" s="253"/>
      <c r="QPT1" s="253"/>
      <c r="QPU1" s="252"/>
      <c r="QPV1" s="253"/>
      <c r="QPW1" s="253"/>
      <c r="QPX1" s="253"/>
      <c r="QPY1" s="252"/>
      <c r="QPZ1" s="253"/>
      <c r="QQA1" s="253"/>
      <c r="QQB1" s="253"/>
      <c r="QQC1" s="252"/>
      <c r="QQD1" s="253"/>
      <c r="QQE1" s="253"/>
      <c r="QQF1" s="253"/>
      <c r="QQG1" s="252"/>
      <c r="QQH1" s="253"/>
      <c r="QQI1" s="253"/>
      <c r="QQJ1" s="253"/>
      <c r="QQK1" s="252"/>
      <c r="QQL1" s="253"/>
      <c r="QQM1" s="253"/>
      <c r="QQN1" s="253"/>
      <c r="QQO1" s="252"/>
      <c r="QQP1" s="253"/>
      <c r="QQQ1" s="253"/>
      <c r="QQR1" s="253"/>
      <c r="QQS1" s="252"/>
      <c r="QQT1" s="253"/>
      <c r="QQU1" s="253"/>
      <c r="QQV1" s="253"/>
      <c r="QQW1" s="252"/>
      <c r="QQX1" s="253"/>
      <c r="QQY1" s="253"/>
      <c r="QQZ1" s="253"/>
      <c r="QRA1" s="252"/>
      <c r="QRB1" s="253"/>
      <c r="QRC1" s="253"/>
      <c r="QRD1" s="253"/>
      <c r="QRE1" s="252"/>
      <c r="QRF1" s="253"/>
      <c r="QRG1" s="253"/>
      <c r="QRH1" s="253"/>
      <c r="QRI1" s="252"/>
      <c r="QRJ1" s="253"/>
      <c r="QRK1" s="253"/>
      <c r="QRL1" s="253"/>
      <c r="QRM1" s="252"/>
      <c r="QRN1" s="253"/>
      <c r="QRO1" s="253"/>
      <c r="QRP1" s="253"/>
      <c r="QRQ1" s="252"/>
      <c r="QRR1" s="253"/>
      <c r="QRS1" s="253"/>
      <c r="QRT1" s="253"/>
      <c r="QRU1" s="252"/>
      <c r="QRV1" s="253"/>
      <c r="QRW1" s="253"/>
      <c r="QRX1" s="253"/>
      <c r="QRY1" s="252"/>
      <c r="QRZ1" s="253"/>
      <c r="QSA1" s="253"/>
      <c r="QSB1" s="253"/>
      <c r="QSC1" s="252"/>
      <c r="QSD1" s="253"/>
      <c r="QSE1" s="253"/>
      <c r="QSF1" s="253"/>
      <c r="QSG1" s="252"/>
      <c r="QSH1" s="253"/>
      <c r="QSI1" s="253"/>
      <c r="QSJ1" s="253"/>
      <c r="QSK1" s="252"/>
      <c r="QSL1" s="253"/>
      <c r="QSM1" s="253"/>
      <c r="QSN1" s="253"/>
      <c r="QSO1" s="252"/>
      <c r="QSP1" s="253"/>
      <c r="QSQ1" s="253"/>
      <c r="QSR1" s="253"/>
      <c r="QSS1" s="252"/>
      <c r="QST1" s="253"/>
      <c r="QSU1" s="253"/>
      <c r="QSV1" s="253"/>
      <c r="QSW1" s="252"/>
      <c r="QSX1" s="253"/>
      <c r="QSY1" s="253"/>
      <c r="QSZ1" s="253"/>
      <c r="QTA1" s="252"/>
      <c r="QTB1" s="253"/>
      <c r="QTC1" s="253"/>
      <c r="QTD1" s="253"/>
      <c r="QTE1" s="252"/>
      <c r="QTF1" s="253"/>
      <c r="QTG1" s="253"/>
      <c r="QTH1" s="253"/>
      <c r="QTI1" s="252"/>
      <c r="QTJ1" s="253"/>
      <c r="QTK1" s="253"/>
      <c r="QTL1" s="253"/>
      <c r="QTM1" s="252"/>
      <c r="QTN1" s="253"/>
      <c r="QTO1" s="253"/>
      <c r="QTP1" s="253"/>
      <c r="QTQ1" s="252"/>
      <c r="QTR1" s="253"/>
      <c r="QTS1" s="253"/>
      <c r="QTT1" s="253"/>
      <c r="QTU1" s="252"/>
      <c r="QTV1" s="253"/>
      <c r="QTW1" s="253"/>
      <c r="QTX1" s="253"/>
      <c r="QTY1" s="252"/>
      <c r="QTZ1" s="253"/>
      <c r="QUA1" s="253"/>
      <c r="QUB1" s="253"/>
      <c r="QUC1" s="252"/>
      <c r="QUD1" s="253"/>
      <c r="QUE1" s="253"/>
      <c r="QUF1" s="253"/>
      <c r="QUG1" s="252"/>
      <c r="QUH1" s="253"/>
      <c r="QUI1" s="253"/>
      <c r="QUJ1" s="253"/>
      <c r="QUK1" s="252"/>
      <c r="QUL1" s="253"/>
      <c r="QUM1" s="253"/>
      <c r="QUN1" s="253"/>
      <c r="QUO1" s="252"/>
      <c r="QUP1" s="253"/>
      <c r="QUQ1" s="253"/>
      <c r="QUR1" s="253"/>
      <c r="QUS1" s="252"/>
      <c r="QUT1" s="253"/>
      <c r="QUU1" s="253"/>
      <c r="QUV1" s="253"/>
      <c r="QUW1" s="252"/>
      <c r="QUX1" s="253"/>
      <c r="QUY1" s="253"/>
      <c r="QUZ1" s="253"/>
      <c r="QVA1" s="252"/>
      <c r="QVB1" s="253"/>
      <c r="QVC1" s="253"/>
      <c r="QVD1" s="253"/>
      <c r="QVE1" s="252"/>
      <c r="QVF1" s="253"/>
      <c r="QVG1" s="253"/>
      <c r="QVH1" s="253"/>
      <c r="QVI1" s="252"/>
      <c r="QVJ1" s="253"/>
      <c r="QVK1" s="253"/>
      <c r="QVL1" s="253"/>
      <c r="QVM1" s="252"/>
      <c r="QVN1" s="253"/>
      <c r="QVO1" s="253"/>
      <c r="QVP1" s="253"/>
      <c r="QVQ1" s="252"/>
      <c r="QVR1" s="253"/>
      <c r="QVS1" s="253"/>
      <c r="QVT1" s="253"/>
      <c r="QVU1" s="252"/>
      <c r="QVV1" s="253"/>
      <c r="QVW1" s="253"/>
      <c r="QVX1" s="253"/>
      <c r="QVY1" s="252"/>
      <c r="QVZ1" s="253"/>
      <c r="QWA1" s="253"/>
      <c r="QWB1" s="253"/>
      <c r="QWC1" s="252"/>
      <c r="QWD1" s="253"/>
      <c r="QWE1" s="253"/>
      <c r="QWF1" s="253"/>
      <c r="QWG1" s="252"/>
      <c r="QWH1" s="253"/>
      <c r="QWI1" s="253"/>
      <c r="QWJ1" s="253"/>
      <c r="QWK1" s="252"/>
      <c r="QWL1" s="253"/>
      <c r="QWM1" s="253"/>
      <c r="QWN1" s="253"/>
      <c r="QWO1" s="252"/>
      <c r="QWP1" s="253"/>
      <c r="QWQ1" s="253"/>
      <c r="QWR1" s="253"/>
      <c r="QWS1" s="252"/>
      <c r="QWT1" s="253"/>
      <c r="QWU1" s="253"/>
      <c r="QWV1" s="253"/>
      <c r="QWW1" s="252"/>
      <c r="QWX1" s="253"/>
      <c r="QWY1" s="253"/>
      <c r="QWZ1" s="253"/>
      <c r="QXA1" s="252"/>
      <c r="QXB1" s="253"/>
      <c r="QXC1" s="253"/>
      <c r="QXD1" s="253"/>
      <c r="QXE1" s="252"/>
      <c r="QXF1" s="253"/>
      <c r="QXG1" s="253"/>
      <c r="QXH1" s="253"/>
      <c r="QXI1" s="252"/>
      <c r="QXJ1" s="253"/>
      <c r="QXK1" s="253"/>
      <c r="QXL1" s="253"/>
      <c r="QXM1" s="252"/>
      <c r="QXN1" s="253"/>
      <c r="QXO1" s="253"/>
      <c r="QXP1" s="253"/>
      <c r="QXQ1" s="252"/>
      <c r="QXR1" s="253"/>
      <c r="QXS1" s="253"/>
      <c r="QXT1" s="253"/>
      <c r="QXU1" s="252"/>
      <c r="QXV1" s="253"/>
      <c r="QXW1" s="253"/>
      <c r="QXX1" s="253"/>
      <c r="QXY1" s="252"/>
      <c r="QXZ1" s="253"/>
      <c r="QYA1" s="253"/>
      <c r="QYB1" s="253"/>
      <c r="QYC1" s="252"/>
      <c r="QYD1" s="253"/>
      <c r="QYE1" s="253"/>
      <c r="QYF1" s="253"/>
      <c r="QYG1" s="252"/>
      <c r="QYH1" s="253"/>
      <c r="QYI1" s="253"/>
      <c r="QYJ1" s="253"/>
      <c r="QYK1" s="252"/>
      <c r="QYL1" s="253"/>
      <c r="QYM1" s="253"/>
      <c r="QYN1" s="253"/>
      <c r="QYO1" s="252"/>
      <c r="QYP1" s="253"/>
      <c r="QYQ1" s="253"/>
      <c r="QYR1" s="253"/>
      <c r="QYS1" s="252"/>
      <c r="QYT1" s="253"/>
      <c r="QYU1" s="253"/>
      <c r="QYV1" s="253"/>
      <c r="QYW1" s="252"/>
      <c r="QYX1" s="253"/>
      <c r="QYY1" s="253"/>
      <c r="QYZ1" s="253"/>
      <c r="QZA1" s="252"/>
      <c r="QZB1" s="253"/>
      <c r="QZC1" s="253"/>
      <c r="QZD1" s="253"/>
      <c r="QZE1" s="252"/>
      <c r="QZF1" s="253"/>
      <c r="QZG1" s="253"/>
      <c r="QZH1" s="253"/>
      <c r="QZI1" s="252"/>
      <c r="QZJ1" s="253"/>
      <c r="QZK1" s="253"/>
      <c r="QZL1" s="253"/>
      <c r="QZM1" s="252"/>
      <c r="QZN1" s="253"/>
      <c r="QZO1" s="253"/>
      <c r="QZP1" s="253"/>
      <c r="QZQ1" s="252"/>
      <c r="QZR1" s="253"/>
      <c r="QZS1" s="253"/>
      <c r="QZT1" s="253"/>
      <c r="QZU1" s="252"/>
      <c r="QZV1" s="253"/>
      <c r="QZW1" s="253"/>
      <c r="QZX1" s="253"/>
      <c r="QZY1" s="252"/>
      <c r="QZZ1" s="253"/>
      <c r="RAA1" s="253"/>
      <c r="RAB1" s="253"/>
      <c r="RAC1" s="252"/>
      <c r="RAD1" s="253"/>
      <c r="RAE1" s="253"/>
      <c r="RAF1" s="253"/>
      <c r="RAG1" s="252"/>
      <c r="RAH1" s="253"/>
      <c r="RAI1" s="253"/>
      <c r="RAJ1" s="253"/>
      <c r="RAK1" s="252"/>
      <c r="RAL1" s="253"/>
      <c r="RAM1" s="253"/>
      <c r="RAN1" s="253"/>
      <c r="RAO1" s="252"/>
      <c r="RAP1" s="253"/>
      <c r="RAQ1" s="253"/>
      <c r="RAR1" s="253"/>
      <c r="RAS1" s="252"/>
      <c r="RAT1" s="253"/>
      <c r="RAU1" s="253"/>
      <c r="RAV1" s="253"/>
      <c r="RAW1" s="252"/>
      <c r="RAX1" s="253"/>
      <c r="RAY1" s="253"/>
      <c r="RAZ1" s="253"/>
      <c r="RBA1" s="252"/>
      <c r="RBB1" s="253"/>
      <c r="RBC1" s="253"/>
      <c r="RBD1" s="253"/>
      <c r="RBE1" s="252"/>
      <c r="RBF1" s="253"/>
      <c r="RBG1" s="253"/>
      <c r="RBH1" s="253"/>
      <c r="RBI1" s="252"/>
      <c r="RBJ1" s="253"/>
      <c r="RBK1" s="253"/>
      <c r="RBL1" s="253"/>
      <c r="RBM1" s="252"/>
      <c r="RBN1" s="253"/>
      <c r="RBO1" s="253"/>
      <c r="RBP1" s="253"/>
      <c r="RBQ1" s="252"/>
      <c r="RBR1" s="253"/>
      <c r="RBS1" s="253"/>
      <c r="RBT1" s="253"/>
      <c r="RBU1" s="252"/>
      <c r="RBV1" s="253"/>
      <c r="RBW1" s="253"/>
      <c r="RBX1" s="253"/>
      <c r="RBY1" s="252"/>
      <c r="RBZ1" s="253"/>
      <c r="RCA1" s="253"/>
      <c r="RCB1" s="253"/>
      <c r="RCC1" s="252"/>
      <c r="RCD1" s="253"/>
      <c r="RCE1" s="253"/>
      <c r="RCF1" s="253"/>
      <c r="RCG1" s="252"/>
      <c r="RCH1" s="253"/>
      <c r="RCI1" s="253"/>
      <c r="RCJ1" s="253"/>
      <c r="RCK1" s="252"/>
      <c r="RCL1" s="253"/>
      <c r="RCM1" s="253"/>
      <c r="RCN1" s="253"/>
      <c r="RCO1" s="252"/>
      <c r="RCP1" s="253"/>
      <c r="RCQ1" s="253"/>
      <c r="RCR1" s="253"/>
      <c r="RCS1" s="252"/>
      <c r="RCT1" s="253"/>
      <c r="RCU1" s="253"/>
      <c r="RCV1" s="253"/>
      <c r="RCW1" s="252"/>
      <c r="RCX1" s="253"/>
      <c r="RCY1" s="253"/>
      <c r="RCZ1" s="253"/>
      <c r="RDA1" s="252"/>
      <c r="RDB1" s="253"/>
      <c r="RDC1" s="253"/>
      <c r="RDD1" s="253"/>
      <c r="RDE1" s="252"/>
      <c r="RDF1" s="253"/>
      <c r="RDG1" s="253"/>
      <c r="RDH1" s="253"/>
      <c r="RDI1" s="252"/>
      <c r="RDJ1" s="253"/>
      <c r="RDK1" s="253"/>
      <c r="RDL1" s="253"/>
      <c r="RDM1" s="252"/>
      <c r="RDN1" s="253"/>
      <c r="RDO1" s="253"/>
      <c r="RDP1" s="253"/>
      <c r="RDQ1" s="252"/>
      <c r="RDR1" s="253"/>
      <c r="RDS1" s="253"/>
      <c r="RDT1" s="253"/>
      <c r="RDU1" s="252"/>
      <c r="RDV1" s="253"/>
      <c r="RDW1" s="253"/>
      <c r="RDX1" s="253"/>
      <c r="RDY1" s="252"/>
      <c r="RDZ1" s="253"/>
      <c r="REA1" s="253"/>
      <c r="REB1" s="253"/>
      <c r="REC1" s="252"/>
      <c r="RED1" s="253"/>
      <c r="REE1" s="253"/>
      <c r="REF1" s="253"/>
      <c r="REG1" s="252"/>
      <c r="REH1" s="253"/>
      <c r="REI1" s="253"/>
      <c r="REJ1" s="253"/>
      <c r="REK1" s="252"/>
      <c r="REL1" s="253"/>
      <c r="REM1" s="253"/>
      <c r="REN1" s="253"/>
      <c r="REO1" s="252"/>
      <c r="REP1" s="253"/>
      <c r="REQ1" s="253"/>
      <c r="RER1" s="253"/>
      <c r="RES1" s="252"/>
      <c r="RET1" s="253"/>
      <c r="REU1" s="253"/>
      <c r="REV1" s="253"/>
      <c r="REW1" s="252"/>
      <c r="REX1" s="253"/>
      <c r="REY1" s="253"/>
      <c r="REZ1" s="253"/>
      <c r="RFA1" s="252"/>
      <c r="RFB1" s="253"/>
      <c r="RFC1" s="253"/>
      <c r="RFD1" s="253"/>
      <c r="RFE1" s="252"/>
      <c r="RFF1" s="253"/>
      <c r="RFG1" s="253"/>
      <c r="RFH1" s="253"/>
      <c r="RFI1" s="252"/>
      <c r="RFJ1" s="253"/>
      <c r="RFK1" s="253"/>
      <c r="RFL1" s="253"/>
      <c r="RFM1" s="252"/>
      <c r="RFN1" s="253"/>
      <c r="RFO1" s="253"/>
      <c r="RFP1" s="253"/>
      <c r="RFQ1" s="252"/>
      <c r="RFR1" s="253"/>
      <c r="RFS1" s="253"/>
      <c r="RFT1" s="253"/>
      <c r="RFU1" s="252"/>
      <c r="RFV1" s="253"/>
      <c r="RFW1" s="253"/>
      <c r="RFX1" s="253"/>
      <c r="RFY1" s="252"/>
      <c r="RFZ1" s="253"/>
      <c r="RGA1" s="253"/>
      <c r="RGB1" s="253"/>
      <c r="RGC1" s="252"/>
      <c r="RGD1" s="253"/>
      <c r="RGE1" s="253"/>
      <c r="RGF1" s="253"/>
      <c r="RGG1" s="252"/>
      <c r="RGH1" s="253"/>
      <c r="RGI1" s="253"/>
      <c r="RGJ1" s="253"/>
      <c r="RGK1" s="252"/>
      <c r="RGL1" s="253"/>
      <c r="RGM1" s="253"/>
      <c r="RGN1" s="253"/>
      <c r="RGO1" s="252"/>
      <c r="RGP1" s="253"/>
      <c r="RGQ1" s="253"/>
      <c r="RGR1" s="253"/>
      <c r="RGS1" s="252"/>
      <c r="RGT1" s="253"/>
      <c r="RGU1" s="253"/>
      <c r="RGV1" s="253"/>
      <c r="RGW1" s="252"/>
      <c r="RGX1" s="253"/>
      <c r="RGY1" s="253"/>
      <c r="RGZ1" s="253"/>
      <c r="RHA1" s="252"/>
      <c r="RHB1" s="253"/>
      <c r="RHC1" s="253"/>
      <c r="RHD1" s="253"/>
      <c r="RHE1" s="252"/>
      <c r="RHF1" s="253"/>
      <c r="RHG1" s="253"/>
      <c r="RHH1" s="253"/>
      <c r="RHI1" s="252"/>
      <c r="RHJ1" s="253"/>
      <c r="RHK1" s="253"/>
      <c r="RHL1" s="253"/>
      <c r="RHM1" s="252"/>
      <c r="RHN1" s="253"/>
      <c r="RHO1" s="253"/>
      <c r="RHP1" s="253"/>
      <c r="RHQ1" s="252"/>
      <c r="RHR1" s="253"/>
      <c r="RHS1" s="253"/>
      <c r="RHT1" s="253"/>
      <c r="RHU1" s="252"/>
      <c r="RHV1" s="253"/>
      <c r="RHW1" s="253"/>
      <c r="RHX1" s="253"/>
      <c r="RHY1" s="252"/>
      <c r="RHZ1" s="253"/>
      <c r="RIA1" s="253"/>
      <c r="RIB1" s="253"/>
      <c r="RIC1" s="252"/>
      <c r="RID1" s="253"/>
      <c r="RIE1" s="253"/>
      <c r="RIF1" s="253"/>
      <c r="RIG1" s="252"/>
      <c r="RIH1" s="253"/>
      <c r="RII1" s="253"/>
      <c r="RIJ1" s="253"/>
      <c r="RIK1" s="252"/>
      <c r="RIL1" s="253"/>
      <c r="RIM1" s="253"/>
      <c r="RIN1" s="253"/>
      <c r="RIO1" s="252"/>
      <c r="RIP1" s="253"/>
      <c r="RIQ1" s="253"/>
      <c r="RIR1" s="253"/>
      <c r="RIS1" s="252"/>
      <c r="RIT1" s="253"/>
      <c r="RIU1" s="253"/>
      <c r="RIV1" s="253"/>
      <c r="RIW1" s="252"/>
      <c r="RIX1" s="253"/>
      <c r="RIY1" s="253"/>
      <c r="RIZ1" s="253"/>
      <c r="RJA1" s="252"/>
      <c r="RJB1" s="253"/>
      <c r="RJC1" s="253"/>
      <c r="RJD1" s="253"/>
      <c r="RJE1" s="252"/>
      <c r="RJF1" s="253"/>
      <c r="RJG1" s="253"/>
      <c r="RJH1" s="253"/>
      <c r="RJI1" s="252"/>
      <c r="RJJ1" s="253"/>
      <c r="RJK1" s="253"/>
      <c r="RJL1" s="253"/>
      <c r="RJM1" s="252"/>
      <c r="RJN1" s="253"/>
      <c r="RJO1" s="253"/>
      <c r="RJP1" s="253"/>
      <c r="RJQ1" s="252"/>
      <c r="RJR1" s="253"/>
      <c r="RJS1" s="253"/>
      <c r="RJT1" s="253"/>
      <c r="RJU1" s="252"/>
      <c r="RJV1" s="253"/>
      <c r="RJW1" s="253"/>
      <c r="RJX1" s="253"/>
      <c r="RJY1" s="252"/>
      <c r="RJZ1" s="253"/>
      <c r="RKA1" s="253"/>
      <c r="RKB1" s="253"/>
      <c r="RKC1" s="252"/>
      <c r="RKD1" s="253"/>
      <c r="RKE1" s="253"/>
      <c r="RKF1" s="253"/>
      <c r="RKG1" s="252"/>
      <c r="RKH1" s="253"/>
      <c r="RKI1" s="253"/>
      <c r="RKJ1" s="253"/>
      <c r="RKK1" s="252"/>
      <c r="RKL1" s="253"/>
      <c r="RKM1" s="253"/>
      <c r="RKN1" s="253"/>
      <c r="RKO1" s="252"/>
      <c r="RKP1" s="253"/>
      <c r="RKQ1" s="253"/>
      <c r="RKR1" s="253"/>
      <c r="RKS1" s="252"/>
      <c r="RKT1" s="253"/>
      <c r="RKU1" s="253"/>
      <c r="RKV1" s="253"/>
      <c r="RKW1" s="252"/>
      <c r="RKX1" s="253"/>
      <c r="RKY1" s="253"/>
      <c r="RKZ1" s="253"/>
      <c r="RLA1" s="252"/>
      <c r="RLB1" s="253"/>
      <c r="RLC1" s="253"/>
      <c r="RLD1" s="253"/>
      <c r="RLE1" s="252"/>
      <c r="RLF1" s="253"/>
      <c r="RLG1" s="253"/>
      <c r="RLH1" s="253"/>
      <c r="RLI1" s="252"/>
      <c r="RLJ1" s="253"/>
      <c r="RLK1" s="253"/>
      <c r="RLL1" s="253"/>
      <c r="RLM1" s="252"/>
      <c r="RLN1" s="253"/>
      <c r="RLO1" s="253"/>
      <c r="RLP1" s="253"/>
      <c r="RLQ1" s="252"/>
      <c r="RLR1" s="253"/>
      <c r="RLS1" s="253"/>
      <c r="RLT1" s="253"/>
      <c r="RLU1" s="252"/>
      <c r="RLV1" s="253"/>
      <c r="RLW1" s="253"/>
      <c r="RLX1" s="253"/>
      <c r="RLY1" s="252"/>
      <c r="RLZ1" s="253"/>
      <c r="RMA1" s="253"/>
      <c r="RMB1" s="253"/>
      <c r="RMC1" s="252"/>
      <c r="RMD1" s="253"/>
      <c r="RME1" s="253"/>
      <c r="RMF1" s="253"/>
      <c r="RMG1" s="252"/>
      <c r="RMH1" s="253"/>
      <c r="RMI1" s="253"/>
      <c r="RMJ1" s="253"/>
      <c r="RMK1" s="252"/>
      <c r="RML1" s="253"/>
      <c r="RMM1" s="253"/>
      <c r="RMN1" s="253"/>
      <c r="RMO1" s="252"/>
      <c r="RMP1" s="253"/>
      <c r="RMQ1" s="253"/>
      <c r="RMR1" s="253"/>
      <c r="RMS1" s="252"/>
      <c r="RMT1" s="253"/>
      <c r="RMU1" s="253"/>
      <c r="RMV1" s="253"/>
      <c r="RMW1" s="252"/>
      <c r="RMX1" s="253"/>
      <c r="RMY1" s="253"/>
      <c r="RMZ1" s="253"/>
      <c r="RNA1" s="252"/>
      <c r="RNB1" s="253"/>
      <c r="RNC1" s="253"/>
      <c r="RND1" s="253"/>
      <c r="RNE1" s="252"/>
      <c r="RNF1" s="253"/>
      <c r="RNG1" s="253"/>
      <c r="RNH1" s="253"/>
      <c r="RNI1" s="252"/>
      <c r="RNJ1" s="253"/>
      <c r="RNK1" s="253"/>
      <c r="RNL1" s="253"/>
      <c r="RNM1" s="252"/>
      <c r="RNN1" s="253"/>
      <c r="RNO1" s="253"/>
      <c r="RNP1" s="253"/>
      <c r="RNQ1" s="252"/>
      <c r="RNR1" s="253"/>
      <c r="RNS1" s="253"/>
      <c r="RNT1" s="253"/>
      <c r="RNU1" s="252"/>
      <c r="RNV1" s="253"/>
      <c r="RNW1" s="253"/>
      <c r="RNX1" s="253"/>
      <c r="RNY1" s="252"/>
      <c r="RNZ1" s="253"/>
      <c r="ROA1" s="253"/>
      <c r="ROB1" s="253"/>
      <c r="ROC1" s="252"/>
      <c r="ROD1" s="253"/>
      <c r="ROE1" s="253"/>
      <c r="ROF1" s="253"/>
      <c r="ROG1" s="252"/>
      <c r="ROH1" s="253"/>
      <c r="ROI1" s="253"/>
      <c r="ROJ1" s="253"/>
      <c r="ROK1" s="252"/>
      <c r="ROL1" s="253"/>
      <c r="ROM1" s="253"/>
      <c r="RON1" s="253"/>
      <c r="ROO1" s="252"/>
      <c r="ROP1" s="253"/>
      <c r="ROQ1" s="253"/>
      <c r="ROR1" s="253"/>
      <c r="ROS1" s="252"/>
      <c r="ROT1" s="253"/>
      <c r="ROU1" s="253"/>
      <c r="ROV1" s="253"/>
      <c r="ROW1" s="252"/>
      <c r="ROX1" s="253"/>
      <c r="ROY1" s="253"/>
      <c r="ROZ1" s="253"/>
      <c r="RPA1" s="252"/>
      <c r="RPB1" s="253"/>
      <c r="RPC1" s="253"/>
      <c r="RPD1" s="253"/>
      <c r="RPE1" s="252"/>
      <c r="RPF1" s="253"/>
      <c r="RPG1" s="253"/>
      <c r="RPH1" s="253"/>
      <c r="RPI1" s="252"/>
      <c r="RPJ1" s="253"/>
      <c r="RPK1" s="253"/>
      <c r="RPL1" s="253"/>
      <c r="RPM1" s="252"/>
      <c r="RPN1" s="253"/>
      <c r="RPO1" s="253"/>
      <c r="RPP1" s="253"/>
      <c r="RPQ1" s="252"/>
      <c r="RPR1" s="253"/>
      <c r="RPS1" s="253"/>
      <c r="RPT1" s="253"/>
      <c r="RPU1" s="252"/>
      <c r="RPV1" s="253"/>
      <c r="RPW1" s="253"/>
      <c r="RPX1" s="253"/>
      <c r="RPY1" s="252"/>
      <c r="RPZ1" s="253"/>
      <c r="RQA1" s="253"/>
      <c r="RQB1" s="253"/>
      <c r="RQC1" s="252"/>
      <c r="RQD1" s="253"/>
      <c r="RQE1" s="253"/>
      <c r="RQF1" s="253"/>
      <c r="RQG1" s="252"/>
      <c r="RQH1" s="253"/>
      <c r="RQI1" s="253"/>
      <c r="RQJ1" s="253"/>
      <c r="RQK1" s="252"/>
      <c r="RQL1" s="253"/>
      <c r="RQM1" s="253"/>
      <c r="RQN1" s="253"/>
      <c r="RQO1" s="252"/>
      <c r="RQP1" s="253"/>
      <c r="RQQ1" s="253"/>
      <c r="RQR1" s="253"/>
      <c r="RQS1" s="252"/>
      <c r="RQT1" s="253"/>
      <c r="RQU1" s="253"/>
      <c r="RQV1" s="253"/>
      <c r="RQW1" s="252"/>
      <c r="RQX1" s="253"/>
      <c r="RQY1" s="253"/>
      <c r="RQZ1" s="253"/>
      <c r="RRA1" s="252"/>
      <c r="RRB1" s="253"/>
      <c r="RRC1" s="253"/>
      <c r="RRD1" s="253"/>
      <c r="RRE1" s="252"/>
      <c r="RRF1" s="253"/>
      <c r="RRG1" s="253"/>
      <c r="RRH1" s="253"/>
      <c r="RRI1" s="252"/>
      <c r="RRJ1" s="253"/>
      <c r="RRK1" s="253"/>
      <c r="RRL1" s="253"/>
      <c r="RRM1" s="252"/>
      <c r="RRN1" s="253"/>
      <c r="RRO1" s="253"/>
      <c r="RRP1" s="253"/>
      <c r="RRQ1" s="252"/>
      <c r="RRR1" s="253"/>
      <c r="RRS1" s="253"/>
      <c r="RRT1" s="253"/>
      <c r="RRU1" s="252"/>
      <c r="RRV1" s="253"/>
      <c r="RRW1" s="253"/>
      <c r="RRX1" s="253"/>
      <c r="RRY1" s="252"/>
      <c r="RRZ1" s="253"/>
      <c r="RSA1" s="253"/>
      <c r="RSB1" s="253"/>
      <c r="RSC1" s="252"/>
      <c r="RSD1" s="253"/>
      <c r="RSE1" s="253"/>
      <c r="RSF1" s="253"/>
      <c r="RSG1" s="252"/>
      <c r="RSH1" s="253"/>
      <c r="RSI1" s="253"/>
      <c r="RSJ1" s="253"/>
      <c r="RSK1" s="252"/>
      <c r="RSL1" s="253"/>
      <c r="RSM1" s="253"/>
      <c r="RSN1" s="253"/>
      <c r="RSO1" s="252"/>
      <c r="RSP1" s="253"/>
      <c r="RSQ1" s="253"/>
      <c r="RSR1" s="253"/>
      <c r="RSS1" s="252"/>
      <c r="RST1" s="253"/>
      <c r="RSU1" s="253"/>
      <c r="RSV1" s="253"/>
      <c r="RSW1" s="252"/>
      <c r="RSX1" s="253"/>
      <c r="RSY1" s="253"/>
      <c r="RSZ1" s="253"/>
      <c r="RTA1" s="252"/>
      <c r="RTB1" s="253"/>
      <c r="RTC1" s="253"/>
      <c r="RTD1" s="253"/>
      <c r="RTE1" s="252"/>
      <c r="RTF1" s="253"/>
      <c r="RTG1" s="253"/>
      <c r="RTH1" s="253"/>
      <c r="RTI1" s="252"/>
      <c r="RTJ1" s="253"/>
      <c r="RTK1" s="253"/>
      <c r="RTL1" s="253"/>
      <c r="RTM1" s="252"/>
      <c r="RTN1" s="253"/>
      <c r="RTO1" s="253"/>
      <c r="RTP1" s="253"/>
      <c r="RTQ1" s="252"/>
      <c r="RTR1" s="253"/>
      <c r="RTS1" s="253"/>
      <c r="RTT1" s="253"/>
      <c r="RTU1" s="252"/>
      <c r="RTV1" s="253"/>
      <c r="RTW1" s="253"/>
      <c r="RTX1" s="253"/>
      <c r="RTY1" s="252"/>
      <c r="RTZ1" s="253"/>
      <c r="RUA1" s="253"/>
      <c r="RUB1" s="253"/>
      <c r="RUC1" s="252"/>
      <c r="RUD1" s="253"/>
      <c r="RUE1" s="253"/>
      <c r="RUF1" s="253"/>
      <c r="RUG1" s="252"/>
      <c r="RUH1" s="253"/>
      <c r="RUI1" s="253"/>
      <c r="RUJ1" s="253"/>
      <c r="RUK1" s="252"/>
      <c r="RUL1" s="253"/>
      <c r="RUM1" s="253"/>
      <c r="RUN1" s="253"/>
      <c r="RUO1" s="252"/>
      <c r="RUP1" s="253"/>
      <c r="RUQ1" s="253"/>
      <c r="RUR1" s="253"/>
      <c r="RUS1" s="252"/>
      <c r="RUT1" s="253"/>
      <c r="RUU1" s="253"/>
      <c r="RUV1" s="253"/>
      <c r="RUW1" s="252"/>
      <c r="RUX1" s="253"/>
      <c r="RUY1" s="253"/>
      <c r="RUZ1" s="253"/>
      <c r="RVA1" s="252"/>
      <c r="RVB1" s="253"/>
      <c r="RVC1" s="253"/>
      <c r="RVD1" s="253"/>
      <c r="RVE1" s="252"/>
      <c r="RVF1" s="253"/>
      <c r="RVG1" s="253"/>
      <c r="RVH1" s="253"/>
      <c r="RVI1" s="252"/>
      <c r="RVJ1" s="253"/>
      <c r="RVK1" s="253"/>
      <c r="RVL1" s="253"/>
      <c r="RVM1" s="252"/>
      <c r="RVN1" s="253"/>
      <c r="RVO1" s="253"/>
      <c r="RVP1" s="253"/>
      <c r="RVQ1" s="252"/>
      <c r="RVR1" s="253"/>
      <c r="RVS1" s="253"/>
      <c r="RVT1" s="253"/>
      <c r="RVU1" s="252"/>
      <c r="RVV1" s="253"/>
      <c r="RVW1" s="253"/>
      <c r="RVX1" s="253"/>
      <c r="RVY1" s="252"/>
      <c r="RVZ1" s="253"/>
      <c r="RWA1" s="253"/>
      <c r="RWB1" s="253"/>
      <c r="RWC1" s="252"/>
      <c r="RWD1" s="253"/>
      <c r="RWE1" s="253"/>
      <c r="RWF1" s="253"/>
      <c r="RWG1" s="252"/>
      <c r="RWH1" s="253"/>
      <c r="RWI1" s="253"/>
      <c r="RWJ1" s="253"/>
      <c r="RWK1" s="252"/>
      <c r="RWL1" s="253"/>
      <c r="RWM1" s="253"/>
      <c r="RWN1" s="253"/>
      <c r="RWO1" s="252"/>
      <c r="RWP1" s="253"/>
      <c r="RWQ1" s="253"/>
      <c r="RWR1" s="253"/>
      <c r="RWS1" s="252"/>
      <c r="RWT1" s="253"/>
      <c r="RWU1" s="253"/>
      <c r="RWV1" s="253"/>
      <c r="RWW1" s="252"/>
      <c r="RWX1" s="253"/>
      <c r="RWY1" s="253"/>
      <c r="RWZ1" s="253"/>
      <c r="RXA1" s="252"/>
      <c r="RXB1" s="253"/>
      <c r="RXC1" s="253"/>
      <c r="RXD1" s="253"/>
      <c r="RXE1" s="252"/>
      <c r="RXF1" s="253"/>
      <c r="RXG1" s="253"/>
      <c r="RXH1" s="253"/>
      <c r="RXI1" s="252"/>
      <c r="RXJ1" s="253"/>
      <c r="RXK1" s="253"/>
      <c r="RXL1" s="253"/>
      <c r="RXM1" s="252"/>
      <c r="RXN1" s="253"/>
      <c r="RXO1" s="253"/>
      <c r="RXP1" s="253"/>
      <c r="RXQ1" s="252"/>
      <c r="RXR1" s="253"/>
      <c r="RXS1" s="253"/>
      <c r="RXT1" s="253"/>
      <c r="RXU1" s="252"/>
      <c r="RXV1" s="253"/>
      <c r="RXW1" s="253"/>
      <c r="RXX1" s="253"/>
      <c r="RXY1" s="252"/>
      <c r="RXZ1" s="253"/>
      <c r="RYA1" s="253"/>
      <c r="RYB1" s="253"/>
      <c r="RYC1" s="252"/>
      <c r="RYD1" s="253"/>
      <c r="RYE1" s="253"/>
      <c r="RYF1" s="253"/>
      <c r="RYG1" s="252"/>
      <c r="RYH1" s="253"/>
      <c r="RYI1" s="253"/>
      <c r="RYJ1" s="253"/>
      <c r="RYK1" s="252"/>
      <c r="RYL1" s="253"/>
      <c r="RYM1" s="253"/>
      <c r="RYN1" s="253"/>
      <c r="RYO1" s="252"/>
      <c r="RYP1" s="253"/>
      <c r="RYQ1" s="253"/>
      <c r="RYR1" s="253"/>
      <c r="RYS1" s="252"/>
      <c r="RYT1" s="253"/>
      <c r="RYU1" s="253"/>
      <c r="RYV1" s="253"/>
      <c r="RYW1" s="252"/>
      <c r="RYX1" s="253"/>
      <c r="RYY1" s="253"/>
      <c r="RYZ1" s="253"/>
      <c r="RZA1" s="252"/>
      <c r="RZB1" s="253"/>
      <c r="RZC1" s="253"/>
      <c r="RZD1" s="253"/>
      <c r="RZE1" s="252"/>
      <c r="RZF1" s="253"/>
      <c r="RZG1" s="253"/>
      <c r="RZH1" s="253"/>
      <c r="RZI1" s="252"/>
      <c r="RZJ1" s="253"/>
      <c r="RZK1" s="253"/>
      <c r="RZL1" s="253"/>
      <c r="RZM1" s="252"/>
      <c r="RZN1" s="253"/>
      <c r="RZO1" s="253"/>
      <c r="RZP1" s="253"/>
      <c r="RZQ1" s="252"/>
      <c r="RZR1" s="253"/>
      <c r="RZS1" s="253"/>
      <c r="RZT1" s="253"/>
      <c r="RZU1" s="252"/>
      <c r="RZV1" s="253"/>
      <c r="RZW1" s="253"/>
      <c r="RZX1" s="253"/>
      <c r="RZY1" s="252"/>
      <c r="RZZ1" s="253"/>
      <c r="SAA1" s="253"/>
      <c r="SAB1" s="253"/>
      <c r="SAC1" s="252"/>
      <c r="SAD1" s="253"/>
      <c r="SAE1" s="253"/>
      <c r="SAF1" s="253"/>
      <c r="SAG1" s="252"/>
      <c r="SAH1" s="253"/>
      <c r="SAI1" s="253"/>
      <c r="SAJ1" s="253"/>
      <c r="SAK1" s="252"/>
      <c r="SAL1" s="253"/>
      <c r="SAM1" s="253"/>
      <c r="SAN1" s="253"/>
      <c r="SAO1" s="252"/>
      <c r="SAP1" s="253"/>
      <c r="SAQ1" s="253"/>
      <c r="SAR1" s="253"/>
      <c r="SAS1" s="252"/>
      <c r="SAT1" s="253"/>
      <c r="SAU1" s="253"/>
      <c r="SAV1" s="253"/>
      <c r="SAW1" s="252"/>
      <c r="SAX1" s="253"/>
      <c r="SAY1" s="253"/>
      <c r="SAZ1" s="253"/>
      <c r="SBA1" s="252"/>
      <c r="SBB1" s="253"/>
      <c r="SBC1" s="253"/>
      <c r="SBD1" s="253"/>
      <c r="SBE1" s="252"/>
      <c r="SBF1" s="253"/>
      <c r="SBG1" s="253"/>
      <c r="SBH1" s="253"/>
      <c r="SBI1" s="252"/>
      <c r="SBJ1" s="253"/>
      <c r="SBK1" s="253"/>
      <c r="SBL1" s="253"/>
      <c r="SBM1" s="252"/>
      <c r="SBN1" s="253"/>
      <c r="SBO1" s="253"/>
      <c r="SBP1" s="253"/>
      <c r="SBQ1" s="252"/>
      <c r="SBR1" s="253"/>
      <c r="SBS1" s="253"/>
      <c r="SBT1" s="253"/>
      <c r="SBU1" s="252"/>
      <c r="SBV1" s="253"/>
      <c r="SBW1" s="253"/>
      <c r="SBX1" s="253"/>
      <c r="SBY1" s="252"/>
      <c r="SBZ1" s="253"/>
      <c r="SCA1" s="253"/>
      <c r="SCB1" s="253"/>
      <c r="SCC1" s="252"/>
      <c r="SCD1" s="253"/>
      <c r="SCE1" s="253"/>
      <c r="SCF1" s="253"/>
      <c r="SCG1" s="252"/>
      <c r="SCH1" s="253"/>
      <c r="SCI1" s="253"/>
      <c r="SCJ1" s="253"/>
      <c r="SCK1" s="252"/>
      <c r="SCL1" s="253"/>
      <c r="SCM1" s="253"/>
      <c r="SCN1" s="253"/>
      <c r="SCO1" s="252"/>
      <c r="SCP1" s="253"/>
      <c r="SCQ1" s="253"/>
      <c r="SCR1" s="253"/>
      <c r="SCS1" s="252"/>
      <c r="SCT1" s="253"/>
      <c r="SCU1" s="253"/>
      <c r="SCV1" s="253"/>
      <c r="SCW1" s="252"/>
      <c r="SCX1" s="253"/>
      <c r="SCY1" s="253"/>
      <c r="SCZ1" s="253"/>
      <c r="SDA1" s="252"/>
      <c r="SDB1" s="253"/>
      <c r="SDC1" s="253"/>
      <c r="SDD1" s="253"/>
      <c r="SDE1" s="252"/>
      <c r="SDF1" s="253"/>
      <c r="SDG1" s="253"/>
      <c r="SDH1" s="253"/>
      <c r="SDI1" s="252"/>
      <c r="SDJ1" s="253"/>
      <c r="SDK1" s="253"/>
      <c r="SDL1" s="253"/>
      <c r="SDM1" s="252"/>
      <c r="SDN1" s="253"/>
      <c r="SDO1" s="253"/>
      <c r="SDP1" s="253"/>
      <c r="SDQ1" s="252"/>
      <c r="SDR1" s="253"/>
      <c r="SDS1" s="253"/>
      <c r="SDT1" s="253"/>
      <c r="SDU1" s="252"/>
      <c r="SDV1" s="253"/>
      <c r="SDW1" s="253"/>
      <c r="SDX1" s="253"/>
      <c r="SDY1" s="252"/>
      <c r="SDZ1" s="253"/>
      <c r="SEA1" s="253"/>
      <c r="SEB1" s="253"/>
      <c r="SEC1" s="252"/>
      <c r="SED1" s="253"/>
      <c r="SEE1" s="253"/>
      <c r="SEF1" s="253"/>
      <c r="SEG1" s="252"/>
      <c r="SEH1" s="253"/>
      <c r="SEI1" s="253"/>
      <c r="SEJ1" s="253"/>
      <c r="SEK1" s="252"/>
      <c r="SEL1" s="253"/>
      <c r="SEM1" s="253"/>
      <c r="SEN1" s="253"/>
      <c r="SEO1" s="252"/>
      <c r="SEP1" s="253"/>
      <c r="SEQ1" s="253"/>
      <c r="SER1" s="253"/>
      <c r="SES1" s="252"/>
      <c r="SET1" s="253"/>
      <c r="SEU1" s="253"/>
      <c r="SEV1" s="253"/>
      <c r="SEW1" s="252"/>
      <c r="SEX1" s="253"/>
      <c r="SEY1" s="253"/>
      <c r="SEZ1" s="253"/>
      <c r="SFA1" s="252"/>
      <c r="SFB1" s="253"/>
      <c r="SFC1" s="253"/>
      <c r="SFD1" s="253"/>
      <c r="SFE1" s="252"/>
      <c r="SFF1" s="253"/>
      <c r="SFG1" s="253"/>
      <c r="SFH1" s="253"/>
      <c r="SFI1" s="252"/>
      <c r="SFJ1" s="253"/>
      <c r="SFK1" s="253"/>
      <c r="SFL1" s="253"/>
      <c r="SFM1" s="252"/>
      <c r="SFN1" s="253"/>
      <c r="SFO1" s="253"/>
      <c r="SFP1" s="253"/>
      <c r="SFQ1" s="252"/>
      <c r="SFR1" s="253"/>
      <c r="SFS1" s="253"/>
      <c r="SFT1" s="253"/>
      <c r="SFU1" s="252"/>
      <c r="SFV1" s="253"/>
      <c r="SFW1" s="253"/>
      <c r="SFX1" s="253"/>
      <c r="SFY1" s="252"/>
      <c r="SFZ1" s="253"/>
      <c r="SGA1" s="253"/>
      <c r="SGB1" s="253"/>
      <c r="SGC1" s="252"/>
      <c r="SGD1" s="253"/>
      <c r="SGE1" s="253"/>
      <c r="SGF1" s="253"/>
      <c r="SGG1" s="252"/>
      <c r="SGH1" s="253"/>
      <c r="SGI1" s="253"/>
      <c r="SGJ1" s="253"/>
      <c r="SGK1" s="252"/>
      <c r="SGL1" s="253"/>
      <c r="SGM1" s="253"/>
      <c r="SGN1" s="253"/>
      <c r="SGO1" s="252"/>
      <c r="SGP1" s="253"/>
      <c r="SGQ1" s="253"/>
      <c r="SGR1" s="253"/>
      <c r="SGS1" s="252"/>
      <c r="SGT1" s="253"/>
      <c r="SGU1" s="253"/>
      <c r="SGV1" s="253"/>
      <c r="SGW1" s="252"/>
      <c r="SGX1" s="253"/>
      <c r="SGY1" s="253"/>
      <c r="SGZ1" s="253"/>
      <c r="SHA1" s="252"/>
      <c r="SHB1" s="253"/>
      <c r="SHC1" s="253"/>
      <c r="SHD1" s="253"/>
      <c r="SHE1" s="252"/>
      <c r="SHF1" s="253"/>
      <c r="SHG1" s="253"/>
      <c r="SHH1" s="253"/>
      <c r="SHI1" s="252"/>
      <c r="SHJ1" s="253"/>
      <c r="SHK1" s="253"/>
      <c r="SHL1" s="253"/>
      <c r="SHM1" s="252"/>
      <c r="SHN1" s="253"/>
      <c r="SHO1" s="253"/>
      <c r="SHP1" s="253"/>
      <c r="SHQ1" s="252"/>
      <c r="SHR1" s="253"/>
      <c r="SHS1" s="253"/>
      <c r="SHT1" s="253"/>
      <c r="SHU1" s="252"/>
      <c r="SHV1" s="253"/>
      <c r="SHW1" s="253"/>
      <c r="SHX1" s="253"/>
      <c r="SHY1" s="252"/>
      <c r="SHZ1" s="253"/>
      <c r="SIA1" s="253"/>
      <c r="SIB1" s="253"/>
      <c r="SIC1" s="252"/>
      <c r="SID1" s="253"/>
      <c r="SIE1" s="253"/>
      <c r="SIF1" s="253"/>
      <c r="SIG1" s="252"/>
      <c r="SIH1" s="253"/>
      <c r="SII1" s="253"/>
      <c r="SIJ1" s="253"/>
      <c r="SIK1" s="252"/>
      <c r="SIL1" s="253"/>
      <c r="SIM1" s="253"/>
      <c r="SIN1" s="253"/>
      <c r="SIO1" s="252"/>
      <c r="SIP1" s="253"/>
      <c r="SIQ1" s="253"/>
      <c r="SIR1" s="253"/>
      <c r="SIS1" s="252"/>
      <c r="SIT1" s="253"/>
      <c r="SIU1" s="253"/>
      <c r="SIV1" s="253"/>
      <c r="SIW1" s="252"/>
      <c r="SIX1" s="253"/>
      <c r="SIY1" s="253"/>
      <c r="SIZ1" s="253"/>
      <c r="SJA1" s="252"/>
      <c r="SJB1" s="253"/>
      <c r="SJC1" s="253"/>
      <c r="SJD1" s="253"/>
      <c r="SJE1" s="252"/>
      <c r="SJF1" s="253"/>
      <c r="SJG1" s="253"/>
      <c r="SJH1" s="253"/>
      <c r="SJI1" s="252"/>
      <c r="SJJ1" s="253"/>
      <c r="SJK1" s="253"/>
      <c r="SJL1" s="253"/>
      <c r="SJM1" s="252"/>
      <c r="SJN1" s="253"/>
      <c r="SJO1" s="253"/>
      <c r="SJP1" s="253"/>
      <c r="SJQ1" s="252"/>
      <c r="SJR1" s="253"/>
      <c r="SJS1" s="253"/>
      <c r="SJT1" s="253"/>
      <c r="SJU1" s="252"/>
      <c r="SJV1" s="253"/>
      <c r="SJW1" s="253"/>
      <c r="SJX1" s="253"/>
      <c r="SJY1" s="252"/>
      <c r="SJZ1" s="253"/>
      <c r="SKA1" s="253"/>
      <c r="SKB1" s="253"/>
      <c r="SKC1" s="252"/>
      <c r="SKD1" s="253"/>
      <c r="SKE1" s="253"/>
      <c r="SKF1" s="253"/>
      <c r="SKG1" s="252"/>
      <c r="SKH1" s="253"/>
      <c r="SKI1" s="253"/>
      <c r="SKJ1" s="253"/>
      <c r="SKK1" s="252"/>
      <c r="SKL1" s="253"/>
      <c r="SKM1" s="253"/>
      <c r="SKN1" s="253"/>
      <c r="SKO1" s="252"/>
      <c r="SKP1" s="253"/>
      <c r="SKQ1" s="253"/>
      <c r="SKR1" s="253"/>
      <c r="SKS1" s="252"/>
      <c r="SKT1" s="253"/>
      <c r="SKU1" s="253"/>
      <c r="SKV1" s="253"/>
      <c r="SKW1" s="252"/>
      <c r="SKX1" s="253"/>
      <c r="SKY1" s="253"/>
      <c r="SKZ1" s="253"/>
      <c r="SLA1" s="252"/>
      <c r="SLB1" s="253"/>
      <c r="SLC1" s="253"/>
      <c r="SLD1" s="253"/>
      <c r="SLE1" s="252"/>
      <c r="SLF1" s="253"/>
      <c r="SLG1" s="253"/>
      <c r="SLH1" s="253"/>
      <c r="SLI1" s="252"/>
      <c r="SLJ1" s="253"/>
      <c r="SLK1" s="253"/>
      <c r="SLL1" s="253"/>
      <c r="SLM1" s="252"/>
      <c r="SLN1" s="253"/>
      <c r="SLO1" s="253"/>
      <c r="SLP1" s="253"/>
      <c r="SLQ1" s="252"/>
      <c r="SLR1" s="253"/>
      <c r="SLS1" s="253"/>
      <c r="SLT1" s="253"/>
      <c r="SLU1" s="252"/>
      <c r="SLV1" s="253"/>
      <c r="SLW1" s="253"/>
      <c r="SLX1" s="253"/>
      <c r="SLY1" s="252"/>
      <c r="SLZ1" s="253"/>
      <c r="SMA1" s="253"/>
      <c r="SMB1" s="253"/>
      <c r="SMC1" s="252"/>
      <c r="SMD1" s="253"/>
      <c r="SME1" s="253"/>
      <c r="SMF1" s="253"/>
      <c r="SMG1" s="252"/>
      <c r="SMH1" s="253"/>
      <c r="SMI1" s="253"/>
      <c r="SMJ1" s="253"/>
      <c r="SMK1" s="252"/>
      <c r="SML1" s="253"/>
      <c r="SMM1" s="253"/>
      <c r="SMN1" s="253"/>
      <c r="SMO1" s="252"/>
      <c r="SMP1" s="253"/>
      <c r="SMQ1" s="253"/>
      <c r="SMR1" s="253"/>
      <c r="SMS1" s="252"/>
      <c r="SMT1" s="253"/>
      <c r="SMU1" s="253"/>
      <c r="SMV1" s="253"/>
      <c r="SMW1" s="252"/>
      <c r="SMX1" s="253"/>
      <c r="SMY1" s="253"/>
      <c r="SMZ1" s="253"/>
      <c r="SNA1" s="252"/>
      <c r="SNB1" s="253"/>
      <c r="SNC1" s="253"/>
      <c r="SND1" s="253"/>
      <c r="SNE1" s="252"/>
      <c r="SNF1" s="253"/>
      <c r="SNG1" s="253"/>
      <c r="SNH1" s="253"/>
      <c r="SNI1" s="252"/>
      <c r="SNJ1" s="253"/>
      <c r="SNK1" s="253"/>
      <c r="SNL1" s="253"/>
      <c r="SNM1" s="252"/>
      <c r="SNN1" s="253"/>
      <c r="SNO1" s="253"/>
      <c r="SNP1" s="253"/>
      <c r="SNQ1" s="252"/>
      <c r="SNR1" s="253"/>
      <c r="SNS1" s="253"/>
      <c r="SNT1" s="253"/>
      <c r="SNU1" s="252"/>
      <c r="SNV1" s="253"/>
      <c r="SNW1" s="253"/>
      <c r="SNX1" s="253"/>
      <c r="SNY1" s="252"/>
      <c r="SNZ1" s="253"/>
      <c r="SOA1" s="253"/>
      <c r="SOB1" s="253"/>
      <c r="SOC1" s="252"/>
      <c r="SOD1" s="253"/>
      <c r="SOE1" s="253"/>
      <c r="SOF1" s="253"/>
      <c r="SOG1" s="252"/>
      <c r="SOH1" s="253"/>
      <c r="SOI1" s="253"/>
      <c r="SOJ1" s="253"/>
      <c r="SOK1" s="252"/>
      <c r="SOL1" s="253"/>
      <c r="SOM1" s="253"/>
      <c r="SON1" s="253"/>
      <c r="SOO1" s="252"/>
      <c r="SOP1" s="253"/>
      <c r="SOQ1" s="253"/>
      <c r="SOR1" s="253"/>
      <c r="SOS1" s="252"/>
      <c r="SOT1" s="253"/>
      <c r="SOU1" s="253"/>
      <c r="SOV1" s="253"/>
      <c r="SOW1" s="252"/>
      <c r="SOX1" s="253"/>
      <c r="SOY1" s="253"/>
      <c r="SOZ1" s="253"/>
      <c r="SPA1" s="252"/>
      <c r="SPB1" s="253"/>
      <c r="SPC1" s="253"/>
      <c r="SPD1" s="253"/>
      <c r="SPE1" s="252"/>
      <c r="SPF1" s="253"/>
      <c r="SPG1" s="253"/>
      <c r="SPH1" s="253"/>
      <c r="SPI1" s="252"/>
      <c r="SPJ1" s="253"/>
      <c r="SPK1" s="253"/>
      <c r="SPL1" s="253"/>
      <c r="SPM1" s="252"/>
      <c r="SPN1" s="253"/>
      <c r="SPO1" s="253"/>
      <c r="SPP1" s="253"/>
      <c r="SPQ1" s="252"/>
      <c r="SPR1" s="253"/>
      <c r="SPS1" s="253"/>
      <c r="SPT1" s="253"/>
      <c r="SPU1" s="252"/>
      <c r="SPV1" s="253"/>
      <c r="SPW1" s="253"/>
      <c r="SPX1" s="253"/>
      <c r="SPY1" s="252"/>
      <c r="SPZ1" s="253"/>
      <c r="SQA1" s="253"/>
      <c r="SQB1" s="253"/>
      <c r="SQC1" s="252"/>
      <c r="SQD1" s="253"/>
      <c r="SQE1" s="253"/>
      <c r="SQF1" s="253"/>
      <c r="SQG1" s="252"/>
      <c r="SQH1" s="253"/>
      <c r="SQI1" s="253"/>
      <c r="SQJ1" s="253"/>
      <c r="SQK1" s="252"/>
      <c r="SQL1" s="253"/>
      <c r="SQM1" s="253"/>
      <c r="SQN1" s="253"/>
      <c r="SQO1" s="252"/>
      <c r="SQP1" s="253"/>
      <c r="SQQ1" s="253"/>
      <c r="SQR1" s="253"/>
      <c r="SQS1" s="252"/>
      <c r="SQT1" s="253"/>
      <c r="SQU1" s="253"/>
      <c r="SQV1" s="253"/>
      <c r="SQW1" s="252"/>
      <c r="SQX1" s="253"/>
      <c r="SQY1" s="253"/>
      <c r="SQZ1" s="253"/>
      <c r="SRA1" s="252"/>
      <c r="SRB1" s="253"/>
      <c r="SRC1" s="253"/>
      <c r="SRD1" s="253"/>
      <c r="SRE1" s="252"/>
      <c r="SRF1" s="253"/>
      <c r="SRG1" s="253"/>
      <c r="SRH1" s="253"/>
      <c r="SRI1" s="252"/>
      <c r="SRJ1" s="253"/>
      <c r="SRK1" s="253"/>
      <c r="SRL1" s="253"/>
      <c r="SRM1" s="252"/>
      <c r="SRN1" s="253"/>
      <c r="SRO1" s="253"/>
      <c r="SRP1" s="253"/>
      <c r="SRQ1" s="252"/>
      <c r="SRR1" s="253"/>
      <c r="SRS1" s="253"/>
      <c r="SRT1" s="253"/>
      <c r="SRU1" s="252"/>
      <c r="SRV1" s="253"/>
      <c r="SRW1" s="253"/>
      <c r="SRX1" s="253"/>
      <c r="SRY1" s="252"/>
      <c r="SRZ1" s="253"/>
      <c r="SSA1" s="253"/>
      <c r="SSB1" s="253"/>
      <c r="SSC1" s="252"/>
      <c r="SSD1" s="253"/>
      <c r="SSE1" s="253"/>
      <c r="SSF1" s="253"/>
      <c r="SSG1" s="252"/>
      <c r="SSH1" s="253"/>
      <c r="SSI1" s="253"/>
      <c r="SSJ1" s="253"/>
      <c r="SSK1" s="252"/>
      <c r="SSL1" s="253"/>
      <c r="SSM1" s="253"/>
      <c r="SSN1" s="253"/>
      <c r="SSO1" s="252"/>
      <c r="SSP1" s="253"/>
      <c r="SSQ1" s="253"/>
      <c r="SSR1" s="253"/>
      <c r="SSS1" s="252"/>
      <c r="SST1" s="253"/>
      <c r="SSU1" s="253"/>
      <c r="SSV1" s="253"/>
      <c r="SSW1" s="252"/>
      <c r="SSX1" s="253"/>
      <c r="SSY1" s="253"/>
      <c r="SSZ1" s="253"/>
      <c r="STA1" s="252"/>
      <c r="STB1" s="253"/>
      <c r="STC1" s="253"/>
      <c r="STD1" s="253"/>
      <c r="STE1" s="252"/>
      <c r="STF1" s="253"/>
      <c r="STG1" s="253"/>
      <c r="STH1" s="253"/>
      <c r="STI1" s="252"/>
      <c r="STJ1" s="253"/>
      <c r="STK1" s="253"/>
      <c r="STL1" s="253"/>
      <c r="STM1" s="252"/>
      <c r="STN1" s="253"/>
      <c r="STO1" s="253"/>
      <c r="STP1" s="253"/>
      <c r="STQ1" s="252"/>
      <c r="STR1" s="253"/>
      <c r="STS1" s="253"/>
      <c r="STT1" s="253"/>
      <c r="STU1" s="252"/>
      <c r="STV1" s="253"/>
      <c r="STW1" s="253"/>
      <c r="STX1" s="253"/>
      <c r="STY1" s="252"/>
      <c r="STZ1" s="253"/>
      <c r="SUA1" s="253"/>
      <c r="SUB1" s="253"/>
      <c r="SUC1" s="252"/>
      <c r="SUD1" s="253"/>
      <c r="SUE1" s="253"/>
      <c r="SUF1" s="253"/>
      <c r="SUG1" s="252"/>
      <c r="SUH1" s="253"/>
      <c r="SUI1" s="253"/>
      <c r="SUJ1" s="253"/>
      <c r="SUK1" s="252"/>
      <c r="SUL1" s="253"/>
      <c r="SUM1" s="253"/>
      <c r="SUN1" s="253"/>
      <c r="SUO1" s="252"/>
      <c r="SUP1" s="253"/>
      <c r="SUQ1" s="253"/>
      <c r="SUR1" s="253"/>
      <c r="SUS1" s="252"/>
      <c r="SUT1" s="253"/>
      <c r="SUU1" s="253"/>
      <c r="SUV1" s="253"/>
      <c r="SUW1" s="252"/>
      <c r="SUX1" s="253"/>
      <c r="SUY1" s="253"/>
      <c r="SUZ1" s="253"/>
      <c r="SVA1" s="252"/>
      <c r="SVB1" s="253"/>
      <c r="SVC1" s="253"/>
      <c r="SVD1" s="253"/>
      <c r="SVE1" s="252"/>
      <c r="SVF1" s="253"/>
      <c r="SVG1" s="253"/>
      <c r="SVH1" s="253"/>
      <c r="SVI1" s="252"/>
      <c r="SVJ1" s="253"/>
      <c r="SVK1" s="253"/>
      <c r="SVL1" s="253"/>
      <c r="SVM1" s="252"/>
      <c r="SVN1" s="253"/>
      <c r="SVO1" s="253"/>
      <c r="SVP1" s="253"/>
      <c r="SVQ1" s="252"/>
      <c r="SVR1" s="253"/>
      <c r="SVS1" s="253"/>
      <c r="SVT1" s="253"/>
      <c r="SVU1" s="252"/>
      <c r="SVV1" s="253"/>
      <c r="SVW1" s="253"/>
      <c r="SVX1" s="253"/>
      <c r="SVY1" s="252"/>
      <c r="SVZ1" s="253"/>
      <c r="SWA1" s="253"/>
      <c r="SWB1" s="253"/>
      <c r="SWC1" s="252"/>
      <c r="SWD1" s="253"/>
      <c r="SWE1" s="253"/>
      <c r="SWF1" s="253"/>
      <c r="SWG1" s="252"/>
      <c r="SWH1" s="253"/>
      <c r="SWI1" s="253"/>
      <c r="SWJ1" s="253"/>
      <c r="SWK1" s="252"/>
      <c r="SWL1" s="253"/>
      <c r="SWM1" s="253"/>
      <c r="SWN1" s="253"/>
      <c r="SWO1" s="252"/>
      <c r="SWP1" s="253"/>
      <c r="SWQ1" s="253"/>
      <c r="SWR1" s="253"/>
      <c r="SWS1" s="252"/>
      <c r="SWT1" s="253"/>
      <c r="SWU1" s="253"/>
      <c r="SWV1" s="253"/>
      <c r="SWW1" s="252"/>
      <c r="SWX1" s="253"/>
      <c r="SWY1" s="253"/>
      <c r="SWZ1" s="253"/>
      <c r="SXA1" s="252"/>
      <c r="SXB1" s="253"/>
      <c r="SXC1" s="253"/>
      <c r="SXD1" s="253"/>
      <c r="SXE1" s="252"/>
      <c r="SXF1" s="253"/>
      <c r="SXG1" s="253"/>
      <c r="SXH1" s="253"/>
      <c r="SXI1" s="252"/>
      <c r="SXJ1" s="253"/>
      <c r="SXK1" s="253"/>
      <c r="SXL1" s="253"/>
      <c r="SXM1" s="252"/>
      <c r="SXN1" s="253"/>
      <c r="SXO1" s="253"/>
      <c r="SXP1" s="253"/>
      <c r="SXQ1" s="252"/>
      <c r="SXR1" s="253"/>
      <c r="SXS1" s="253"/>
      <c r="SXT1" s="253"/>
      <c r="SXU1" s="252"/>
      <c r="SXV1" s="253"/>
      <c r="SXW1" s="253"/>
      <c r="SXX1" s="253"/>
      <c r="SXY1" s="252"/>
      <c r="SXZ1" s="253"/>
      <c r="SYA1" s="253"/>
      <c r="SYB1" s="253"/>
      <c r="SYC1" s="252"/>
      <c r="SYD1" s="253"/>
      <c r="SYE1" s="253"/>
      <c r="SYF1" s="253"/>
      <c r="SYG1" s="252"/>
      <c r="SYH1" s="253"/>
      <c r="SYI1" s="253"/>
      <c r="SYJ1" s="253"/>
      <c r="SYK1" s="252"/>
      <c r="SYL1" s="253"/>
      <c r="SYM1" s="253"/>
      <c r="SYN1" s="253"/>
      <c r="SYO1" s="252"/>
      <c r="SYP1" s="253"/>
      <c r="SYQ1" s="253"/>
      <c r="SYR1" s="253"/>
      <c r="SYS1" s="252"/>
      <c r="SYT1" s="253"/>
      <c r="SYU1" s="253"/>
      <c r="SYV1" s="253"/>
      <c r="SYW1" s="252"/>
      <c r="SYX1" s="253"/>
      <c r="SYY1" s="253"/>
      <c r="SYZ1" s="253"/>
      <c r="SZA1" s="252"/>
      <c r="SZB1" s="253"/>
      <c r="SZC1" s="253"/>
      <c r="SZD1" s="253"/>
      <c r="SZE1" s="252"/>
      <c r="SZF1" s="253"/>
      <c r="SZG1" s="253"/>
      <c r="SZH1" s="253"/>
      <c r="SZI1" s="252"/>
      <c r="SZJ1" s="253"/>
      <c r="SZK1" s="253"/>
      <c r="SZL1" s="253"/>
      <c r="SZM1" s="252"/>
      <c r="SZN1" s="253"/>
      <c r="SZO1" s="253"/>
      <c r="SZP1" s="253"/>
      <c r="SZQ1" s="252"/>
      <c r="SZR1" s="253"/>
      <c r="SZS1" s="253"/>
      <c r="SZT1" s="253"/>
      <c r="SZU1" s="252"/>
      <c r="SZV1" s="253"/>
      <c r="SZW1" s="253"/>
      <c r="SZX1" s="253"/>
      <c r="SZY1" s="252"/>
      <c r="SZZ1" s="253"/>
      <c r="TAA1" s="253"/>
      <c r="TAB1" s="253"/>
      <c r="TAC1" s="252"/>
      <c r="TAD1" s="253"/>
      <c r="TAE1" s="253"/>
      <c r="TAF1" s="253"/>
      <c r="TAG1" s="252"/>
      <c r="TAH1" s="253"/>
      <c r="TAI1" s="253"/>
      <c r="TAJ1" s="253"/>
      <c r="TAK1" s="252"/>
      <c r="TAL1" s="253"/>
      <c r="TAM1" s="253"/>
      <c r="TAN1" s="253"/>
      <c r="TAO1" s="252"/>
      <c r="TAP1" s="253"/>
      <c r="TAQ1" s="253"/>
      <c r="TAR1" s="253"/>
      <c r="TAS1" s="252"/>
      <c r="TAT1" s="253"/>
      <c r="TAU1" s="253"/>
      <c r="TAV1" s="253"/>
      <c r="TAW1" s="252"/>
      <c r="TAX1" s="253"/>
      <c r="TAY1" s="253"/>
      <c r="TAZ1" s="253"/>
      <c r="TBA1" s="252"/>
      <c r="TBB1" s="253"/>
      <c r="TBC1" s="253"/>
      <c r="TBD1" s="253"/>
      <c r="TBE1" s="252"/>
      <c r="TBF1" s="253"/>
      <c r="TBG1" s="253"/>
      <c r="TBH1" s="253"/>
      <c r="TBI1" s="252"/>
      <c r="TBJ1" s="253"/>
      <c r="TBK1" s="253"/>
      <c r="TBL1" s="253"/>
      <c r="TBM1" s="252"/>
      <c r="TBN1" s="253"/>
      <c r="TBO1" s="253"/>
      <c r="TBP1" s="253"/>
      <c r="TBQ1" s="252"/>
      <c r="TBR1" s="253"/>
      <c r="TBS1" s="253"/>
      <c r="TBT1" s="253"/>
      <c r="TBU1" s="252"/>
      <c r="TBV1" s="253"/>
      <c r="TBW1" s="253"/>
      <c r="TBX1" s="253"/>
      <c r="TBY1" s="252"/>
      <c r="TBZ1" s="253"/>
      <c r="TCA1" s="253"/>
      <c r="TCB1" s="253"/>
      <c r="TCC1" s="252"/>
      <c r="TCD1" s="253"/>
      <c r="TCE1" s="253"/>
      <c r="TCF1" s="253"/>
      <c r="TCG1" s="252"/>
      <c r="TCH1" s="253"/>
      <c r="TCI1" s="253"/>
      <c r="TCJ1" s="253"/>
      <c r="TCK1" s="252"/>
      <c r="TCL1" s="253"/>
      <c r="TCM1" s="253"/>
      <c r="TCN1" s="253"/>
      <c r="TCO1" s="252"/>
      <c r="TCP1" s="253"/>
      <c r="TCQ1" s="253"/>
      <c r="TCR1" s="253"/>
      <c r="TCS1" s="252"/>
      <c r="TCT1" s="253"/>
      <c r="TCU1" s="253"/>
      <c r="TCV1" s="253"/>
      <c r="TCW1" s="252"/>
      <c r="TCX1" s="253"/>
      <c r="TCY1" s="253"/>
      <c r="TCZ1" s="253"/>
      <c r="TDA1" s="252"/>
      <c r="TDB1" s="253"/>
      <c r="TDC1" s="253"/>
      <c r="TDD1" s="253"/>
      <c r="TDE1" s="252"/>
      <c r="TDF1" s="253"/>
      <c r="TDG1" s="253"/>
      <c r="TDH1" s="253"/>
      <c r="TDI1" s="252"/>
      <c r="TDJ1" s="253"/>
      <c r="TDK1" s="253"/>
      <c r="TDL1" s="253"/>
      <c r="TDM1" s="252"/>
      <c r="TDN1" s="253"/>
      <c r="TDO1" s="253"/>
      <c r="TDP1" s="253"/>
      <c r="TDQ1" s="252"/>
      <c r="TDR1" s="253"/>
      <c r="TDS1" s="253"/>
      <c r="TDT1" s="253"/>
      <c r="TDU1" s="252"/>
      <c r="TDV1" s="253"/>
      <c r="TDW1" s="253"/>
      <c r="TDX1" s="253"/>
      <c r="TDY1" s="252"/>
      <c r="TDZ1" s="253"/>
      <c r="TEA1" s="253"/>
      <c r="TEB1" s="253"/>
      <c r="TEC1" s="252"/>
      <c r="TED1" s="253"/>
      <c r="TEE1" s="253"/>
      <c r="TEF1" s="253"/>
      <c r="TEG1" s="252"/>
      <c r="TEH1" s="253"/>
      <c r="TEI1" s="253"/>
      <c r="TEJ1" s="253"/>
      <c r="TEK1" s="252"/>
      <c r="TEL1" s="253"/>
      <c r="TEM1" s="253"/>
      <c r="TEN1" s="253"/>
      <c r="TEO1" s="252"/>
      <c r="TEP1" s="253"/>
      <c r="TEQ1" s="253"/>
      <c r="TER1" s="253"/>
      <c r="TES1" s="252"/>
      <c r="TET1" s="253"/>
      <c r="TEU1" s="253"/>
      <c r="TEV1" s="253"/>
      <c r="TEW1" s="252"/>
      <c r="TEX1" s="253"/>
      <c r="TEY1" s="253"/>
      <c r="TEZ1" s="253"/>
      <c r="TFA1" s="252"/>
      <c r="TFB1" s="253"/>
      <c r="TFC1" s="253"/>
      <c r="TFD1" s="253"/>
      <c r="TFE1" s="252"/>
      <c r="TFF1" s="253"/>
      <c r="TFG1" s="253"/>
      <c r="TFH1" s="253"/>
      <c r="TFI1" s="252"/>
      <c r="TFJ1" s="253"/>
      <c r="TFK1" s="253"/>
      <c r="TFL1" s="253"/>
      <c r="TFM1" s="252"/>
      <c r="TFN1" s="253"/>
      <c r="TFO1" s="253"/>
      <c r="TFP1" s="253"/>
      <c r="TFQ1" s="252"/>
      <c r="TFR1" s="253"/>
      <c r="TFS1" s="253"/>
      <c r="TFT1" s="253"/>
      <c r="TFU1" s="252"/>
      <c r="TFV1" s="253"/>
      <c r="TFW1" s="253"/>
      <c r="TFX1" s="253"/>
      <c r="TFY1" s="252"/>
      <c r="TFZ1" s="253"/>
      <c r="TGA1" s="253"/>
      <c r="TGB1" s="253"/>
      <c r="TGC1" s="252"/>
      <c r="TGD1" s="253"/>
      <c r="TGE1" s="253"/>
      <c r="TGF1" s="253"/>
      <c r="TGG1" s="252"/>
      <c r="TGH1" s="253"/>
      <c r="TGI1" s="253"/>
      <c r="TGJ1" s="253"/>
      <c r="TGK1" s="252"/>
      <c r="TGL1" s="253"/>
      <c r="TGM1" s="253"/>
      <c r="TGN1" s="253"/>
      <c r="TGO1" s="252"/>
      <c r="TGP1" s="253"/>
      <c r="TGQ1" s="253"/>
      <c r="TGR1" s="253"/>
      <c r="TGS1" s="252"/>
      <c r="TGT1" s="253"/>
      <c r="TGU1" s="253"/>
      <c r="TGV1" s="253"/>
      <c r="TGW1" s="252"/>
      <c r="TGX1" s="253"/>
      <c r="TGY1" s="253"/>
      <c r="TGZ1" s="253"/>
      <c r="THA1" s="252"/>
      <c r="THB1" s="253"/>
      <c r="THC1" s="253"/>
      <c r="THD1" s="253"/>
      <c r="THE1" s="252"/>
      <c r="THF1" s="253"/>
      <c r="THG1" s="253"/>
      <c r="THH1" s="253"/>
      <c r="THI1" s="252"/>
      <c r="THJ1" s="253"/>
      <c r="THK1" s="253"/>
      <c r="THL1" s="253"/>
      <c r="THM1" s="252"/>
      <c r="THN1" s="253"/>
      <c r="THO1" s="253"/>
      <c r="THP1" s="253"/>
      <c r="THQ1" s="252"/>
      <c r="THR1" s="253"/>
      <c r="THS1" s="253"/>
      <c r="THT1" s="253"/>
      <c r="THU1" s="252"/>
      <c r="THV1" s="253"/>
      <c r="THW1" s="253"/>
      <c r="THX1" s="253"/>
      <c r="THY1" s="252"/>
      <c r="THZ1" s="253"/>
      <c r="TIA1" s="253"/>
      <c r="TIB1" s="253"/>
      <c r="TIC1" s="252"/>
      <c r="TID1" s="253"/>
      <c r="TIE1" s="253"/>
      <c r="TIF1" s="253"/>
      <c r="TIG1" s="252"/>
      <c r="TIH1" s="253"/>
      <c r="TII1" s="253"/>
      <c r="TIJ1" s="253"/>
      <c r="TIK1" s="252"/>
      <c r="TIL1" s="253"/>
      <c r="TIM1" s="253"/>
      <c r="TIN1" s="253"/>
      <c r="TIO1" s="252"/>
      <c r="TIP1" s="253"/>
      <c r="TIQ1" s="253"/>
      <c r="TIR1" s="253"/>
      <c r="TIS1" s="252"/>
      <c r="TIT1" s="253"/>
      <c r="TIU1" s="253"/>
      <c r="TIV1" s="253"/>
      <c r="TIW1" s="252"/>
      <c r="TIX1" s="253"/>
      <c r="TIY1" s="253"/>
      <c r="TIZ1" s="253"/>
      <c r="TJA1" s="252"/>
      <c r="TJB1" s="253"/>
      <c r="TJC1" s="253"/>
      <c r="TJD1" s="253"/>
      <c r="TJE1" s="252"/>
      <c r="TJF1" s="253"/>
      <c r="TJG1" s="253"/>
      <c r="TJH1" s="253"/>
      <c r="TJI1" s="252"/>
      <c r="TJJ1" s="253"/>
      <c r="TJK1" s="253"/>
      <c r="TJL1" s="253"/>
      <c r="TJM1" s="252"/>
      <c r="TJN1" s="253"/>
      <c r="TJO1" s="253"/>
      <c r="TJP1" s="253"/>
      <c r="TJQ1" s="252"/>
      <c r="TJR1" s="253"/>
      <c r="TJS1" s="253"/>
      <c r="TJT1" s="253"/>
      <c r="TJU1" s="252"/>
      <c r="TJV1" s="253"/>
      <c r="TJW1" s="253"/>
      <c r="TJX1" s="253"/>
      <c r="TJY1" s="252"/>
      <c r="TJZ1" s="253"/>
      <c r="TKA1" s="253"/>
      <c r="TKB1" s="253"/>
      <c r="TKC1" s="252"/>
      <c r="TKD1" s="253"/>
      <c r="TKE1" s="253"/>
      <c r="TKF1" s="253"/>
      <c r="TKG1" s="252"/>
      <c r="TKH1" s="253"/>
      <c r="TKI1" s="253"/>
      <c r="TKJ1" s="253"/>
      <c r="TKK1" s="252"/>
      <c r="TKL1" s="253"/>
      <c r="TKM1" s="253"/>
      <c r="TKN1" s="253"/>
      <c r="TKO1" s="252"/>
      <c r="TKP1" s="253"/>
      <c r="TKQ1" s="253"/>
      <c r="TKR1" s="253"/>
      <c r="TKS1" s="252"/>
      <c r="TKT1" s="253"/>
      <c r="TKU1" s="253"/>
      <c r="TKV1" s="253"/>
      <c r="TKW1" s="252"/>
      <c r="TKX1" s="253"/>
      <c r="TKY1" s="253"/>
      <c r="TKZ1" s="253"/>
      <c r="TLA1" s="252"/>
      <c r="TLB1" s="253"/>
      <c r="TLC1" s="253"/>
      <c r="TLD1" s="253"/>
      <c r="TLE1" s="252"/>
      <c r="TLF1" s="253"/>
      <c r="TLG1" s="253"/>
      <c r="TLH1" s="253"/>
      <c r="TLI1" s="252"/>
      <c r="TLJ1" s="253"/>
      <c r="TLK1" s="253"/>
      <c r="TLL1" s="253"/>
      <c r="TLM1" s="252"/>
      <c r="TLN1" s="253"/>
      <c r="TLO1" s="253"/>
      <c r="TLP1" s="253"/>
      <c r="TLQ1" s="252"/>
      <c r="TLR1" s="253"/>
      <c r="TLS1" s="253"/>
      <c r="TLT1" s="253"/>
      <c r="TLU1" s="252"/>
      <c r="TLV1" s="253"/>
      <c r="TLW1" s="253"/>
      <c r="TLX1" s="253"/>
      <c r="TLY1" s="252"/>
      <c r="TLZ1" s="253"/>
      <c r="TMA1" s="253"/>
      <c r="TMB1" s="253"/>
      <c r="TMC1" s="252"/>
      <c r="TMD1" s="253"/>
      <c r="TME1" s="253"/>
      <c r="TMF1" s="253"/>
      <c r="TMG1" s="252"/>
      <c r="TMH1" s="253"/>
      <c r="TMI1" s="253"/>
      <c r="TMJ1" s="253"/>
      <c r="TMK1" s="252"/>
      <c r="TML1" s="253"/>
      <c r="TMM1" s="253"/>
      <c r="TMN1" s="253"/>
      <c r="TMO1" s="252"/>
      <c r="TMP1" s="253"/>
      <c r="TMQ1" s="253"/>
      <c r="TMR1" s="253"/>
      <c r="TMS1" s="252"/>
      <c r="TMT1" s="253"/>
      <c r="TMU1" s="253"/>
      <c r="TMV1" s="253"/>
      <c r="TMW1" s="252"/>
      <c r="TMX1" s="253"/>
      <c r="TMY1" s="253"/>
      <c r="TMZ1" s="253"/>
      <c r="TNA1" s="252"/>
      <c r="TNB1" s="253"/>
      <c r="TNC1" s="253"/>
      <c r="TND1" s="253"/>
      <c r="TNE1" s="252"/>
      <c r="TNF1" s="253"/>
      <c r="TNG1" s="253"/>
      <c r="TNH1" s="253"/>
      <c r="TNI1" s="252"/>
      <c r="TNJ1" s="253"/>
      <c r="TNK1" s="253"/>
      <c r="TNL1" s="253"/>
      <c r="TNM1" s="252"/>
      <c r="TNN1" s="253"/>
      <c r="TNO1" s="253"/>
      <c r="TNP1" s="253"/>
      <c r="TNQ1" s="252"/>
      <c r="TNR1" s="253"/>
      <c r="TNS1" s="253"/>
      <c r="TNT1" s="253"/>
      <c r="TNU1" s="252"/>
      <c r="TNV1" s="253"/>
      <c r="TNW1" s="253"/>
      <c r="TNX1" s="253"/>
      <c r="TNY1" s="252"/>
      <c r="TNZ1" s="253"/>
      <c r="TOA1" s="253"/>
      <c r="TOB1" s="253"/>
      <c r="TOC1" s="252"/>
      <c r="TOD1" s="253"/>
      <c r="TOE1" s="253"/>
      <c r="TOF1" s="253"/>
      <c r="TOG1" s="252"/>
      <c r="TOH1" s="253"/>
      <c r="TOI1" s="253"/>
      <c r="TOJ1" s="253"/>
      <c r="TOK1" s="252"/>
      <c r="TOL1" s="253"/>
      <c r="TOM1" s="253"/>
      <c r="TON1" s="253"/>
      <c r="TOO1" s="252"/>
      <c r="TOP1" s="253"/>
      <c r="TOQ1" s="253"/>
      <c r="TOR1" s="253"/>
      <c r="TOS1" s="252"/>
      <c r="TOT1" s="253"/>
      <c r="TOU1" s="253"/>
      <c r="TOV1" s="253"/>
      <c r="TOW1" s="252"/>
      <c r="TOX1" s="253"/>
      <c r="TOY1" s="253"/>
      <c r="TOZ1" s="253"/>
      <c r="TPA1" s="252"/>
      <c r="TPB1" s="253"/>
      <c r="TPC1" s="253"/>
      <c r="TPD1" s="253"/>
      <c r="TPE1" s="252"/>
      <c r="TPF1" s="253"/>
      <c r="TPG1" s="253"/>
      <c r="TPH1" s="253"/>
      <c r="TPI1" s="252"/>
      <c r="TPJ1" s="253"/>
      <c r="TPK1" s="253"/>
      <c r="TPL1" s="253"/>
      <c r="TPM1" s="252"/>
      <c r="TPN1" s="253"/>
      <c r="TPO1" s="253"/>
      <c r="TPP1" s="253"/>
      <c r="TPQ1" s="252"/>
      <c r="TPR1" s="253"/>
      <c r="TPS1" s="253"/>
      <c r="TPT1" s="253"/>
      <c r="TPU1" s="252"/>
      <c r="TPV1" s="253"/>
      <c r="TPW1" s="253"/>
      <c r="TPX1" s="253"/>
      <c r="TPY1" s="252"/>
      <c r="TPZ1" s="253"/>
      <c r="TQA1" s="253"/>
      <c r="TQB1" s="253"/>
      <c r="TQC1" s="252"/>
      <c r="TQD1" s="253"/>
      <c r="TQE1" s="253"/>
      <c r="TQF1" s="253"/>
      <c r="TQG1" s="252"/>
      <c r="TQH1" s="253"/>
      <c r="TQI1" s="253"/>
      <c r="TQJ1" s="253"/>
      <c r="TQK1" s="252"/>
      <c r="TQL1" s="253"/>
      <c r="TQM1" s="253"/>
      <c r="TQN1" s="253"/>
      <c r="TQO1" s="252"/>
      <c r="TQP1" s="253"/>
      <c r="TQQ1" s="253"/>
      <c r="TQR1" s="253"/>
      <c r="TQS1" s="252"/>
      <c r="TQT1" s="253"/>
      <c r="TQU1" s="253"/>
      <c r="TQV1" s="253"/>
      <c r="TQW1" s="252"/>
      <c r="TQX1" s="253"/>
      <c r="TQY1" s="253"/>
      <c r="TQZ1" s="253"/>
      <c r="TRA1" s="252"/>
      <c r="TRB1" s="253"/>
      <c r="TRC1" s="253"/>
      <c r="TRD1" s="253"/>
      <c r="TRE1" s="252"/>
      <c r="TRF1" s="253"/>
      <c r="TRG1" s="253"/>
      <c r="TRH1" s="253"/>
      <c r="TRI1" s="252"/>
      <c r="TRJ1" s="253"/>
      <c r="TRK1" s="253"/>
      <c r="TRL1" s="253"/>
      <c r="TRM1" s="252"/>
      <c r="TRN1" s="253"/>
      <c r="TRO1" s="253"/>
      <c r="TRP1" s="253"/>
      <c r="TRQ1" s="252"/>
      <c r="TRR1" s="253"/>
      <c r="TRS1" s="253"/>
      <c r="TRT1" s="253"/>
      <c r="TRU1" s="252"/>
      <c r="TRV1" s="253"/>
      <c r="TRW1" s="253"/>
      <c r="TRX1" s="253"/>
      <c r="TRY1" s="252"/>
      <c r="TRZ1" s="253"/>
      <c r="TSA1" s="253"/>
      <c r="TSB1" s="253"/>
      <c r="TSC1" s="252"/>
      <c r="TSD1" s="253"/>
      <c r="TSE1" s="253"/>
      <c r="TSF1" s="253"/>
      <c r="TSG1" s="252"/>
      <c r="TSH1" s="253"/>
      <c r="TSI1" s="253"/>
      <c r="TSJ1" s="253"/>
      <c r="TSK1" s="252"/>
      <c r="TSL1" s="253"/>
      <c r="TSM1" s="253"/>
      <c r="TSN1" s="253"/>
      <c r="TSO1" s="252"/>
      <c r="TSP1" s="253"/>
      <c r="TSQ1" s="253"/>
      <c r="TSR1" s="253"/>
      <c r="TSS1" s="252"/>
      <c r="TST1" s="253"/>
      <c r="TSU1" s="253"/>
      <c r="TSV1" s="253"/>
      <c r="TSW1" s="252"/>
      <c r="TSX1" s="253"/>
      <c r="TSY1" s="253"/>
      <c r="TSZ1" s="253"/>
      <c r="TTA1" s="252"/>
      <c r="TTB1" s="253"/>
      <c r="TTC1" s="253"/>
      <c r="TTD1" s="253"/>
      <c r="TTE1" s="252"/>
      <c r="TTF1" s="253"/>
      <c r="TTG1" s="253"/>
      <c r="TTH1" s="253"/>
      <c r="TTI1" s="252"/>
      <c r="TTJ1" s="253"/>
      <c r="TTK1" s="253"/>
      <c r="TTL1" s="253"/>
      <c r="TTM1" s="252"/>
      <c r="TTN1" s="253"/>
      <c r="TTO1" s="253"/>
      <c r="TTP1" s="253"/>
      <c r="TTQ1" s="252"/>
      <c r="TTR1" s="253"/>
      <c r="TTS1" s="253"/>
      <c r="TTT1" s="253"/>
      <c r="TTU1" s="252"/>
      <c r="TTV1" s="253"/>
      <c r="TTW1" s="253"/>
      <c r="TTX1" s="253"/>
      <c r="TTY1" s="252"/>
      <c r="TTZ1" s="253"/>
      <c r="TUA1" s="253"/>
      <c r="TUB1" s="253"/>
      <c r="TUC1" s="252"/>
      <c r="TUD1" s="253"/>
      <c r="TUE1" s="253"/>
      <c r="TUF1" s="253"/>
      <c r="TUG1" s="252"/>
      <c r="TUH1" s="253"/>
      <c r="TUI1" s="253"/>
      <c r="TUJ1" s="253"/>
      <c r="TUK1" s="252"/>
      <c r="TUL1" s="253"/>
      <c r="TUM1" s="253"/>
      <c r="TUN1" s="253"/>
      <c r="TUO1" s="252"/>
      <c r="TUP1" s="253"/>
      <c r="TUQ1" s="253"/>
      <c r="TUR1" s="253"/>
      <c r="TUS1" s="252"/>
      <c r="TUT1" s="253"/>
      <c r="TUU1" s="253"/>
      <c r="TUV1" s="253"/>
      <c r="TUW1" s="252"/>
      <c r="TUX1" s="253"/>
      <c r="TUY1" s="253"/>
      <c r="TUZ1" s="253"/>
      <c r="TVA1" s="252"/>
      <c r="TVB1" s="253"/>
      <c r="TVC1" s="253"/>
      <c r="TVD1" s="253"/>
      <c r="TVE1" s="252"/>
      <c r="TVF1" s="253"/>
      <c r="TVG1" s="253"/>
      <c r="TVH1" s="253"/>
      <c r="TVI1" s="252"/>
      <c r="TVJ1" s="253"/>
      <c r="TVK1" s="253"/>
      <c r="TVL1" s="253"/>
      <c r="TVM1" s="252"/>
      <c r="TVN1" s="253"/>
      <c r="TVO1" s="253"/>
      <c r="TVP1" s="253"/>
      <c r="TVQ1" s="252"/>
      <c r="TVR1" s="253"/>
      <c r="TVS1" s="253"/>
      <c r="TVT1" s="253"/>
      <c r="TVU1" s="252"/>
      <c r="TVV1" s="253"/>
      <c r="TVW1" s="253"/>
      <c r="TVX1" s="253"/>
      <c r="TVY1" s="252"/>
      <c r="TVZ1" s="253"/>
      <c r="TWA1" s="253"/>
      <c r="TWB1" s="253"/>
      <c r="TWC1" s="252"/>
      <c r="TWD1" s="253"/>
      <c r="TWE1" s="253"/>
      <c r="TWF1" s="253"/>
      <c r="TWG1" s="252"/>
      <c r="TWH1" s="253"/>
      <c r="TWI1" s="253"/>
      <c r="TWJ1" s="253"/>
      <c r="TWK1" s="252"/>
      <c r="TWL1" s="253"/>
      <c r="TWM1" s="253"/>
      <c r="TWN1" s="253"/>
      <c r="TWO1" s="252"/>
      <c r="TWP1" s="253"/>
      <c r="TWQ1" s="253"/>
      <c r="TWR1" s="253"/>
      <c r="TWS1" s="252"/>
      <c r="TWT1" s="253"/>
      <c r="TWU1" s="253"/>
      <c r="TWV1" s="253"/>
      <c r="TWW1" s="252"/>
      <c r="TWX1" s="253"/>
      <c r="TWY1" s="253"/>
      <c r="TWZ1" s="253"/>
      <c r="TXA1" s="252"/>
      <c r="TXB1" s="253"/>
      <c r="TXC1" s="253"/>
      <c r="TXD1" s="253"/>
      <c r="TXE1" s="252"/>
      <c r="TXF1" s="253"/>
      <c r="TXG1" s="253"/>
      <c r="TXH1" s="253"/>
      <c r="TXI1" s="252"/>
      <c r="TXJ1" s="253"/>
      <c r="TXK1" s="253"/>
      <c r="TXL1" s="253"/>
      <c r="TXM1" s="252"/>
      <c r="TXN1" s="253"/>
      <c r="TXO1" s="253"/>
      <c r="TXP1" s="253"/>
      <c r="TXQ1" s="252"/>
      <c r="TXR1" s="253"/>
      <c r="TXS1" s="253"/>
      <c r="TXT1" s="253"/>
      <c r="TXU1" s="252"/>
      <c r="TXV1" s="253"/>
      <c r="TXW1" s="253"/>
      <c r="TXX1" s="253"/>
      <c r="TXY1" s="252"/>
      <c r="TXZ1" s="253"/>
      <c r="TYA1" s="253"/>
      <c r="TYB1" s="253"/>
      <c r="TYC1" s="252"/>
      <c r="TYD1" s="253"/>
      <c r="TYE1" s="253"/>
      <c r="TYF1" s="253"/>
      <c r="TYG1" s="252"/>
      <c r="TYH1" s="253"/>
      <c r="TYI1" s="253"/>
      <c r="TYJ1" s="253"/>
      <c r="TYK1" s="252"/>
      <c r="TYL1" s="253"/>
      <c r="TYM1" s="253"/>
      <c r="TYN1" s="253"/>
      <c r="TYO1" s="252"/>
      <c r="TYP1" s="253"/>
      <c r="TYQ1" s="253"/>
      <c r="TYR1" s="253"/>
      <c r="TYS1" s="252"/>
      <c r="TYT1" s="253"/>
      <c r="TYU1" s="253"/>
      <c r="TYV1" s="253"/>
      <c r="TYW1" s="252"/>
      <c r="TYX1" s="253"/>
      <c r="TYY1" s="253"/>
      <c r="TYZ1" s="253"/>
      <c r="TZA1" s="252"/>
      <c r="TZB1" s="253"/>
      <c r="TZC1" s="253"/>
      <c r="TZD1" s="253"/>
      <c r="TZE1" s="252"/>
      <c r="TZF1" s="253"/>
      <c r="TZG1" s="253"/>
      <c r="TZH1" s="253"/>
      <c r="TZI1" s="252"/>
      <c r="TZJ1" s="253"/>
      <c r="TZK1" s="253"/>
      <c r="TZL1" s="253"/>
      <c r="TZM1" s="252"/>
      <c r="TZN1" s="253"/>
      <c r="TZO1" s="253"/>
      <c r="TZP1" s="253"/>
      <c r="TZQ1" s="252"/>
      <c r="TZR1" s="253"/>
      <c r="TZS1" s="253"/>
      <c r="TZT1" s="253"/>
      <c r="TZU1" s="252"/>
      <c r="TZV1" s="253"/>
      <c r="TZW1" s="253"/>
      <c r="TZX1" s="253"/>
      <c r="TZY1" s="252"/>
      <c r="TZZ1" s="253"/>
      <c r="UAA1" s="253"/>
      <c r="UAB1" s="253"/>
      <c r="UAC1" s="252"/>
      <c r="UAD1" s="253"/>
      <c r="UAE1" s="253"/>
      <c r="UAF1" s="253"/>
      <c r="UAG1" s="252"/>
      <c r="UAH1" s="253"/>
      <c r="UAI1" s="253"/>
      <c r="UAJ1" s="253"/>
      <c r="UAK1" s="252"/>
      <c r="UAL1" s="253"/>
      <c r="UAM1" s="253"/>
      <c r="UAN1" s="253"/>
      <c r="UAO1" s="252"/>
      <c r="UAP1" s="253"/>
      <c r="UAQ1" s="253"/>
      <c r="UAR1" s="253"/>
      <c r="UAS1" s="252"/>
      <c r="UAT1" s="253"/>
      <c r="UAU1" s="253"/>
      <c r="UAV1" s="253"/>
      <c r="UAW1" s="252"/>
      <c r="UAX1" s="253"/>
      <c r="UAY1" s="253"/>
      <c r="UAZ1" s="253"/>
      <c r="UBA1" s="252"/>
      <c r="UBB1" s="253"/>
      <c r="UBC1" s="253"/>
      <c r="UBD1" s="253"/>
      <c r="UBE1" s="252"/>
      <c r="UBF1" s="253"/>
      <c r="UBG1" s="253"/>
      <c r="UBH1" s="253"/>
      <c r="UBI1" s="252"/>
      <c r="UBJ1" s="253"/>
      <c r="UBK1" s="253"/>
      <c r="UBL1" s="253"/>
      <c r="UBM1" s="252"/>
      <c r="UBN1" s="253"/>
      <c r="UBO1" s="253"/>
      <c r="UBP1" s="253"/>
      <c r="UBQ1" s="252"/>
      <c r="UBR1" s="253"/>
      <c r="UBS1" s="253"/>
      <c r="UBT1" s="253"/>
      <c r="UBU1" s="252"/>
      <c r="UBV1" s="253"/>
      <c r="UBW1" s="253"/>
      <c r="UBX1" s="253"/>
      <c r="UBY1" s="252"/>
      <c r="UBZ1" s="253"/>
      <c r="UCA1" s="253"/>
      <c r="UCB1" s="253"/>
      <c r="UCC1" s="252"/>
      <c r="UCD1" s="253"/>
      <c r="UCE1" s="253"/>
      <c r="UCF1" s="253"/>
      <c r="UCG1" s="252"/>
      <c r="UCH1" s="253"/>
      <c r="UCI1" s="253"/>
      <c r="UCJ1" s="253"/>
      <c r="UCK1" s="252"/>
      <c r="UCL1" s="253"/>
      <c r="UCM1" s="253"/>
      <c r="UCN1" s="253"/>
      <c r="UCO1" s="252"/>
      <c r="UCP1" s="253"/>
      <c r="UCQ1" s="253"/>
      <c r="UCR1" s="253"/>
      <c r="UCS1" s="252"/>
      <c r="UCT1" s="253"/>
      <c r="UCU1" s="253"/>
      <c r="UCV1" s="253"/>
      <c r="UCW1" s="252"/>
      <c r="UCX1" s="253"/>
      <c r="UCY1" s="253"/>
      <c r="UCZ1" s="253"/>
      <c r="UDA1" s="252"/>
      <c r="UDB1" s="253"/>
      <c r="UDC1" s="253"/>
      <c r="UDD1" s="253"/>
      <c r="UDE1" s="252"/>
      <c r="UDF1" s="253"/>
      <c r="UDG1" s="253"/>
      <c r="UDH1" s="253"/>
      <c r="UDI1" s="252"/>
      <c r="UDJ1" s="253"/>
      <c r="UDK1" s="253"/>
      <c r="UDL1" s="253"/>
      <c r="UDM1" s="252"/>
      <c r="UDN1" s="253"/>
      <c r="UDO1" s="253"/>
      <c r="UDP1" s="253"/>
      <c r="UDQ1" s="252"/>
      <c r="UDR1" s="253"/>
      <c r="UDS1" s="253"/>
      <c r="UDT1" s="253"/>
      <c r="UDU1" s="252"/>
      <c r="UDV1" s="253"/>
      <c r="UDW1" s="253"/>
      <c r="UDX1" s="253"/>
      <c r="UDY1" s="252"/>
      <c r="UDZ1" s="253"/>
      <c r="UEA1" s="253"/>
      <c r="UEB1" s="253"/>
      <c r="UEC1" s="252"/>
      <c r="UED1" s="253"/>
      <c r="UEE1" s="253"/>
      <c r="UEF1" s="253"/>
      <c r="UEG1" s="252"/>
      <c r="UEH1" s="253"/>
      <c r="UEI1" s="253"/>
      <c r="UEJ1" s="253"/>
      <c r="UEK1" s="252"/>
      <c r="UEL1" s="253"/>
      <c r="UEM1" s="253"/>
      <c r="UEN1" s="253"/>
      <c r="UEO1" s="252"/>
      <c r="UEP1" s="253"/>
      <c r="UEQ1" s="253"/>
      <c r="UER1" s="253"/>
      <c r="UES1" s="252"/>
      <c r="UET1" s="253"/>
      <c r="UEU1" s="253"/>
      <c r="UEV1" s="253"/>
      <c r="UEW1" s="252"/>
      <c r="UEX1" s="253"/>
      <c r="UEY1" s="253"/>
      <c r="UEZ1" s="253"/>
      <c r="UFA1" s="252"/>
      <c r="UFB1" s="253"/>
      <c r="UFC1" s="253"/>
      <c r="UFD1" s="253"/>
      <c r="UFE1" s="252"/>
      <c r="UFF1" s="253"/>
      <c r="UFG1" s="253"/>
      <c r="UFH1" s="253"/>
      <c r="UFI1" s="252"/>
      <c r="UFJ1" s="253"/>
      <c r="UFK1" s="253"/>
      <c r="UFL1" s="253"/>
      <c r="UFM1" s="252"/>
      <c r="UFN1" s="253"/>
      <c r="UFO1" s="253"/>
      <c r="UFP1" s="253"/>
      <c r="UFQ1" s="252"/>
      <c r="UFR1" s="253"/>
      <c r="UFS1" s="253"/>
      <c r="UFT1" s="253"/>
      <c r="UFU1" s="252"/>
      <c r="UFV1" s="253"/>
      <c r="UFW1" s="253"/>
      <c r="UFX1" s="253"/>
      <c r="UFY1" s="252"/>
      <c r="UFZ1" s="253"/>
      <c r="UGA1" s="253"/>
      <c r="UGB1" s="253"/>
      <c r="UGC1" s="252"/>
      <c r="UGD1" s="253"/>
      <c r="UGE1" s="253"/>
      <c r="UGF1" s="253"/>
      <c r="UGG1" s="252"/>
      <c r="UGH1" s="253"/>
      <c r="UGI1" s="253"/>
      <c r="UGJ1" s="253"/>
      <c r="UGK1" s="252"/>
      <c r="UGL1" s="253"/>
      <c r="UGM1" s="253"/>
      <c r="UGN1" s="253"/>
      <c r="UGO1" s="252"/>
      <c r="UGP1" s="253"/>
      <c r="UGQ1" s="253"/>
      <c r="UGR1" s="253"/>
      <c r="UGS1" s="252"/>
      <c r="UGT1" s="253"/>
      <c r="UGU1" s="253"/>
      <c r="UGV1" s="253"/>
      <c r="UGW1" s="252"/>
      <c r="UGX1" s="253"/>
      <c r="UGY1" s="253"/>
      <c r="UGZ1" s="253"/>
      <c r="UHA1" s="252"/>
      <c r="UHB1" s="253"/>
      <c r="UHC1" s="253"/>
      <c r="UHD1" s="253"/>
      <c r="UHE1" s="252"/>
      <c r="UHF1" s="253"/>
      <c r="UHG1" s="253"/>
      <c r="UHH1" s="253"/>
      <c r="UHI1" s="252"/>
      <c r="UHJ1" s="253"/>
      <c r="UHK1" s="253"/>
      <c r="UHL1" s="253"/>
      <c r="UHM1" s="252"/>
      <c r="UHN1" s="253"/>
      <c r="UHO1" s="253"/>
      <c r="UHP1" s="253"/>
      <c r="UHQ1" s="252"/>
      <c r="UHR1" s="253"/>
      <c r="UHS1" s="253"/>
      <c r="UHT1" s="253"/>
      <c r="UHU1" s="252"/>
      <c r="UHV1" s="253"/>
      <c r="UHW1" s="253"/>
      <c r="UHX1" s="253"/>
      <c r="UHY1" s="252"/>
      <c r="UHZ1" s="253"/>
      <c r="UIA1" s="253"/>
      <c r="UIB1" s="253"/>
      <c r="UIC1" s="252"/>
      <c r="UID1" s="253"/>
      <c r="UIE1" s="253"/>
      <c r="UIF1" s="253"/>
      <c r="UIG1" s="252"/>
      <c r="UIH1" s="253"/>
      <c r="UII1" s="253"/>
      <c r="UIJ1" s="253"/>
      <c r="UIK1" s="252"/>
      <c r="UIL1" s="253"/>
      <c r="UIM1" s="253"/>
      <c r="UIN1" s="253"/>
      <c r="UIO1" s="252"/>
      <c r="UIP1" s="253"/>
      <c r="UIQ1" s="253"/>
      <c r="UIR1" s="253"/>
      <c r="UIS1" s="252"/>
      <c r="UIT1" s="253"/>
      <c r="UIU1" s="253"/>
      <c r="UIV1" s="253"/>
      <c r="UIW1" s="252"/>
      <c r="UIX1" s="253"/>
      <c r="UIY1" s="253"/>
      <c r="UIZ1" s="253"/>
      <c r="UJA1" s="252"/>
      <c r="UJB1" s="253"/>
      <c r="UJC1" s="253"/>
      <c r="UJD1" s="253"/>
      <c r="UJE1" s="252"/>
      <c r="UJF1" s="253"/>
      <c r="UJG1" s="253"/>
      <c r="UJH1" s="253"/>
      <c r="UJI1" s="252"/>
      <c r="UJJ1" s="253"/>
      <c r="UJK1" s="253"/>
      <c r="UJL1" s="253"/>
      <c r="UJM1" s="252"/>
      <c r="UJN1" s="253"/>
      <c r="UJO1" s="253"/>
      <c r="UJP1" s="253"/>
      <c r="UJQ1" s="252"/>
      <c r="UJR1" s="253"/>
      <c r="UJS1" s="253"/>
      <c r="UJT1" s="253"/>
      <c r="UJU1" s="252"/>
      <c r="UJV1" s="253"/>
      <c r="UJW1" s="253"/>
      <c r="UJX1" s="253"/>
      <c r="UJY1" s="252"/>
      <c r="UJZ1" s="253"/>
      <c r="UKA1" s="253"/>
      <c r="UKB1" s="253"/>
      <c r="UKC1" s="252"/>
      <c r="UKD1" s="253"/>
      <c r="UKE1" s="253"/>
      <c r="UKF1" s="253"/>
      <c r="UKG1" s="252"/>
      <c r="UKH1" s="253"/>
      <c r="UKI1" s="253"/>
      <c r="UKJ1" s="253"/>
      <c r="UKK1" s="252"/>
      <c r="UKL1" s="253"/>
      <c r="UKM1" s="253"/>
      <c r="UKN1" s="253"/>
      <c r="UKO1" s="252"/>
      <c r="UKP1" s="253"/>
      <c r="UKQ1" s="253"/>
      <c r="UKR1" s="253"/>
      <c r="UKS1" s="252"/>
      <c r="UKT1" s="253"/>
      <c r="UKU1" s="253"/>
      <c r="UKV1" s="253"/>
      <c r="UKW1" s="252"/>
      <c r="UKX1" s="253"/>
      <c r="UKY1" s="253"/>
      <c r="UKZ1" s="253"/>
      <c r="ULA1" s="252"/>
      <c r="ULB1" s="253"/>
      <c r="ULC1" s="253"/>
      <c r="ULD1" s="253"/>
      <c r="ULE1" s="252"/>
      <c r="ULF1" s="253"/>
      <c r="ULG1" s="253"/>
      <c r="ULH1" s="253"/>
      <c r="ULI1" s="252"/>
      <c r="ULJ1" s="253"/>
      <c r="ULK1" s="253"/>
      <c r="ULL1" s="253"/>
      <c r="ULM1" s="252"/>
      <c r="ULN1" s="253"/>
      <c r="ULO1" s="253"/>
      <c r="ULP1" s="253"/>
      <c r="ULQ1" s="252"/>
      <c r="ULR1" s="253"/>
      <c r="ULS1" s="253"/>
      <c r="ULT1" s="253"/>
      <c r="ULU1" s="252"/>
      <c r="ULV1" s="253"/>
      <c r="ULW1" s="253"/>
      <c r="ULX1" s="253"/>
      <c r="ULY1" s="252"/>
      <c r="ULZ1" s="253"/>
      <c r="UMA1" s="253"/>
      <c r="UMB1" s="253"/>
      <c r="UMC1" s="252"/>
      <c r="UMD1" s="253"/>
      <c r="UME1" s="253"/>
      <c r="UMF1" s="253"/>
      <c r="UMG1" s="252"/>
      <c r="UMH1" s="253"/>
      <c r="UMI1" s="253"/>
      <c r="UMJ1" s="253"/>
      <c r="UMK1" s="252"/>
      <c r="UML1" s="253"/>
      <c r="UMM1" s="253"/>
      <c r="UMN1" s="253"/>
      <c r="UMO1" s="252"/>
      <c r="UMP1" s="253"/>
      <c r="UMQ1" s="253"/>
      <c r="UMR1" s="253"/>
      <c r="UMS1" s="252"/>
      <c r="UMT1" s="253"/>
      <c r="UMU1" s="253"/>
      <c r="UMV1" s="253"/>
      <c r="UMW1" s="252"/>
      <c r="UMX1" s="253"/>
      <c r="UMY1" s="253"/>
      <c r="UMZ1" s="253"/>
      <c r="UNA1" s="252"/>
      <c r="UNB1" s="253"/>
      <c r="UNC1" s="253"/>
      <c r="UND1" s="253"/>
      <c r="UNE1" s="252"/>
      <c r="UNF1" s="253"/>
      <c r="UNG1" s="253"/>
      <c r="UNH1" s="253"/>
      <c r="UNI1" s="252"/>
      <c r="UNJ1" s="253"/>
      <c r="UNK1" s="253"/>
      <c r="UNL1" s="253"/>
      <c r="UNM1" s="252"/>
      <c r="UNN1" s="253"/>
      <c r="UNO1" s="253"/>
      <c r="UNP1" s="253"/>
      <c r="UNQ1" s="252"/>
      <c r="UNR1" s="253"/>
      <c r="UNS1" s="253"/>
      <c r="UNT1" s="253"/>
      <c r="UNU1" s="252"/>
      <c r="UNV1" s="253"/>
      <c r="UNW1" s="253"/>
      <c r="UNX1" s="253"/>
      <c r="UNY1" s="252"/>
      <c r="UNZ1" s="253"/>
      <c r="UOA1" s="253"/>
      <c r="UOB1" s="253"/>
      <c r="UOC1" s="252"/>
      <c r="UOD1" s="253"/>
      <c r="UOE1" s="253"/>
      <c r="UOF1" s="253"/>
      <c r="UOG1" s="252"/>
      <c r="UOH1" s="253"/>
      <c r="UOI1" s="253"/>
      <c r="UOJ1" s="253"/>
      <c r="UOK1" s="252"/>
      <c r="UOL1" s="253"/>
      <c r="UOM1" s="253"/>
      <c r="UON1" s="253"/>
      <c r="UOO1" s="252"/>
      <c r="UOP1" s="253"/>
      <c r="UOQ1" s="253"/>
      <c r="UOR1" s="253"/>
      <c r="UOS1" s="252"/>
      <c r="UOT1" s="253"/>
      <c r="UOU1" s="253"/>
      <c r="UOV1" s="253"/>
      <c r="UOW1" s="252"/>
      <c r="UOX1" s="253"/>
      <c r="UOY1" s="253"/>
      <c r="UOZ1" s="253"/>
      <c r="UPA1" s="252"/>
      <c r="UPB1" s="253"/>
      <c r="UPC1" s="253"/>
      <c r="UPD1" s="253"/>
      <c r="UPE1" s="252"/>
      <c r="UPF1" s="253"/>
      <c r="UPG1" s="253"/>
      <c r="UPH1" s="253"/>
      <c r="UPI1" s="252"/>
      <c r="UPJ1" s="253"/>
      <c r="UPK1" s="253"/>
      <c r="UPL1" s="253"/>
      <c r="UPM1" s="252"/>
      <c r="UPN1" s="253"/>
      <c r="UPO1" s="253"/>
      <c r="UPP1" s="253"/>
      <c r="UPQ1" s="252"/>
      <c r="UPR1" s="253"/>
      <c r="UPS1" s="253"/>
      <c r="UPT1" s="253"/>
      <c r="UPU1" s="252"/>
      <c r="UPV1" s="253"/>
      <c r="UPW1" s="253"/>
      <c r="UPX1" s="253"/>
      <c r="UPY1" s="252"/>
      <c r="UPZ1" s="253"/>
      <c r="UQA1" s="253"/>
      <c r="UQB1" s="253"/>
      <c r="UQC1" s="252"/>
      <c r="UQD1" s="253"/>
      <c r="UQE1" s="253"/>
      <c r="UQF1" s="253"/>
      <c r="UQG1" s="252"/>
      <c r="UQH1" s="253"/>
      <c r="UQI1" s="253"/>
      <c r="UQJ1" s="253"/>
      <c r="UQK1" s="252"/>
      <c r="UQL1" s="253"/>
      <c r="UQM1" s="253"/>
      <c r="UQN1" s="253"/>
      <c r="UQO1" s="252"/>
      <c r="UQP1" s="253"/>
      <c r="UQQ1" s="253"/>
      <c r="UQR1" s="253"/>
      <c r="UQS1" s="252"/>
      <c r="UQT1" s="253"/>
      <c r="UQU1" s="253"/>
      <c r="UQV1" s="253"/>
      <c r="UQW1" s="252"/>
      <c r="UQX1" s="253"/>
      <c r="UQY1" s="253"/>
      <c r="UQZ1" s="253"/>
      <c r="URA1" s="252"/>
      <c r="URB1" s="253"/>
      <c r="URC1" s="253"/>
      <c r="URD1" s="253"/>
      <c r="URE1" s="252"/>
      <c r="URF1" s="253"/>
      <c r="URG1" s="253"/>
      <c r="URH1" s="253"/>
      <c r="URI1" s="252"/>
      <c r="URJ1" s="253"/>
      <c r="URK1" s="253"/>
      <c r="URL1" s="253"/>
      <c r="URM1" s="252"/>
      <c r="URN1" s="253"/>
      <c r="URO1" s="253"/>
      <c r="URP1" s="253"/>
      <c r="URQ1" s="252"/>
      <c r="URR1" s="253"/>
      <c r="URS1" s="253"/>
      <c r="URT1" s="253"/>
      <c r="URU1" s="252"/>
      <c r="URV1" s="253"/>
      <c r="URW1" s="253"/>
      <c r="URX1" s="253"/>
      <c r="URY1" s="252"/>
      <c r="URZ1" s="253"/>
      <c r="USA1" s="253"/>
      <c r="USB1" s="253"/>
      <c r="USC1" s="252"/>
      <c r="USD1" s="253"/>
      <c r="USE1" s="253"/>
      <c r="USF1" s="253"/>
      <c r="USG1" s="252"/>
      <c r="USH1" s="253"/>
      <c r="USI1" s="253"/>
      <c r="USJ1" s="253"/>
      <c r="USK1" s="252"/>
      <c r="USL1" s="253"/>
      <c r="USM1" s="253"/>
      <c r="USN1" s="253"/>
      <c r="USO1" s="252"/>
      <c r="USP1" s="253"/>
      <c r="USQ1" s="253"/>
      <c r="USR1" s="253"/>
      <c r="USS1" s="252"/>
      <c r="UST1" s="253"/>
      <c r="USU1" s="253"/>
      <c r="USV1" s="253"/>
      <c r="USW1" s="252"/>
      <c r="USX1" s="253"/>
      <c r="USY1" s="253"/>
      <c r="USZ1" s="253"/>
      <c r="UTA1" s="252"/>
      <c r="UTB1" s="253"/>
      <c r="UTC1" s="253"/>
      <c r="UTD1" s="253"/>
      <c r="UTE1" s="252"/>
      <c r="UTF1" s="253"/>
      <c r="UTG1" s="253"/>
      <c r="UTH1" s="253"/>
      <c r="UTI1" s="252"/>
      <c r="UTJ1" s="253"/>
      <c r="UTK1" s="253"/>
      <c r="UTL1" s="253"/>
      <c r="UTM1" s="252"/>
      <c r="UTN1" s="253"/>
      <c r="UTO1" s="253"/>
      <c r="UTP1" s="253"/>
      <c r="UTQ1" s="252"/>
      <c r="UTR1" s="253"/>
      <c r="UTS1" s="253"/>
      <c r="UTT1" s="253"/>
      <c r="UTU1" s="252"/>
      <c r="UTV1" s="253"/>
      <c r="UTW1" s="253"/>
      <c r="UTX1" s="253"/>
      <c r="UTY1" s="252"/>
      <c r="UTZ1" s="253"/>
      <c r="UUA1" s="253"/>
      <c r="UUB1" s="253"/>
      <c r="UUC1" s="252"/>
      <c r="UUD1" s="253"/>
      <c r="UUE1" s="253"/>
      <c r="UUF1" s="253"/>
      <c r="UUG1" s="252"/>
      <c r="UUH1" s="253"/>
      <c r="UUI1" s="253"/>
      <c r="UUJ1" s="253"/>
      <c r="UUK1" s="252"/>
      <c r="UUL1" s="253"/>
      <c r="UUM1" s="253"/>
      <c r="UUN1" s="253"/>
      <c r="UUO1" s="252"/>
      <c r="UUP1" s="253"/>
      <c r="UUQ1" s="253"/>
      <c r="UUR1" s="253"/>
      <c r="UUS1" s="252"/>
      <c r="UUT1" s="253"/>
      <c r="UUU1" s="253"/>
      <c r="UUV1" s="253"/>
      <c r="UUW1" s="252"/>
      <c r="UUX1" s="253"/>
      <c r="UUY1" s="253"/>
      <c r="UUZ1" s="253"/>
      <c r="UVA1" s="252"/>
      <c r="UVB1" s="253"/>
      <c r="UVC1" s="253"/>
      <c r="UVD1" s="253"/>
      <c r="UVE1" s="252"/>
      <c r="UVF1" s="253"/>
      <c r="UVG1" s="253"/>
      <c r="UVH1" s="253"/>
      <c r="UVI1" s="252"/>
      <c r="UVJ1" s="253"/>
      <c r="UVK1" s="253"/>
      <c r="UVL1" s="253"/>
      <c r="UVM1" s="252"/>
      <c r="UVN1" s="253"/>
      <c r="UVO1" s="253"/>
      <c r="UVP1" s="253"/>
      <c r="UVQ1" s="252"/>
      <c r="UVR1" s="253"/>
      <c r="UVS1" s="253"/>
      <c r="UVT1" s="253"/>
      <c r="UVU1" s="252"/>
      <c r="UVV1" s="253"/>
      <c r="UVW1" s="253"/>
      <c r="UVX1" s="253"/>
      <c r="UVY1" s="252"/>
      <c r="UVZ1" s="253"/>
      <c r="UWA1" s="253"/>
      <c r="UWB1" s="253"/>
      <c r="UWC1" s="252"/>
      <c r="UWD1" s="253"/>
      <c r="UWE1" s="253"/>
      <c r="UWF1" s="253"/>
      <c r="UWG1" s="252"/>
      <c r="UWH1" s="253"/>
      <c r="UWI1" s="253"/>
      <c r="UWJ1" s="253"/>
      <c r="UWK1" s="252"/>
      <c r="UWL1" s="253"/>
      <c r="UWM1" s="253"/>
      <c r="UWN1" s="253"/>
      <c r="UWO1" s="252"/>
      <c r="UWP1" s="253"/>
      <c r="UWQ1" s="253"/>
      <c r="UWR1" s="253"/>
      <c r="UWS1" s="252"/>
      <c r="UWT1" s="253"/>
      <c r="UWU1" s="253"/>
      <c r="UWV1" s="253"/>
      <c r="UWW1" s="252"/>
      <c r="UWX1" s="253"/>
      <c r="UWY1" s="253"/>
      <c r="UWZ1" s="253"/>
      <c r="UXA1" s="252"/>
      <c r="UXB1" s="253"/>
      <c r="UXC1" s="253"/>
      <c r="UXD1" s="253"/>
      <c r="UXE1" s="252"/>
      <c r="UXF1" s="253"/>
      <c r="UXG1" s="253"/>
      <c r="UXH1" s="253"/>
      <c r="UXI1" s="252"/>
      <c r="UXJ1" s="253"/>
      <c r="UXK1" s="253"/>
      <c r="UXL1" s="253"/>
      <c r="UXM1" s="252"/>
      <c r="UXN1" s="253"/>
      <c r="UXO1" s="253"/>
      <c r="UXP1" s="253"/>
      <c r="UXQ1" s="252"/>
      <c r="UXR1" s="253"/>
      <c r="UXS1" s="253"/>
      <c r="UXT1" s="253"/>
      <c r="UXU1" s="252"/>
      <c r="UXV1" s="253"/>
      <c r="UXW1" s="253"/>
      <c r="UXX1" s="253"/>
      <c r="UXY1" s="252"/>
      <c r="UXZ1" s="253"/>
      <c r="UYA1" s="253"/>
      <c r="UYB1" s="253"/>
      <c r="UYC1" s="252"/>
      <c r="UYD1" s="253"/>
      <c r="UYE1" s="253"/>
      <c r="UYF1" s="253"/>
      <c r="UYG1" s="252"/>
      <c r="UYH1" s="253"/>
      <c r="UYI1" s="253"/>
      <c r="UYJ1" s="253"/>
      <c r="UYK1" s="252"/>
      <c r="UYL1" s="253"/>
      <c r="UYM1" s="253"/>
      <c r="UYN1" s="253"/>
      <c r="UYO1" s="252"/>
      <c r="UYP1" s="253"/>
      <c r="UYQ1" s="253"/>
      <c r="UYR1" s="253"/>
      <c r="UYS1" s="252"/>
      <c r="UYT1" s="253"/>
      <c r="UYU1" s="253"/>
      <c r="UYV1" s="253"/>
      <c r="UYW1" s="252"/>
      <c r="UYX1" s="253"/>
      <c r="UYY1" s="253"/>
      <c r="UYZ1" s="253"/>
      <c r="UZA1" s="252"/>
      <c r="UZB1" s="253"/>
      <c r="UZC1" s="253"/>
      <c r="UZD1" s="253"/>
      <c r="UZE1" s="252"/>
      <c r="UZF1" s="253"/>
      <c r="UZG1" s="253"/>
      <c r="UZH1" s="253"/>
      <c r="UZI1" s="252"/>
      <c r="UZJ1" s="253"/>
      <c r="UZK1" s="253"/>
      <c r="UZL1" s="253"/>
      <c r="UZM1" s="252"/>
      <c r="UZN1" s="253"/>
      <c r="UZO1" s="253"/>
      <c r="UZP1" s="253"/>
      <c r="UZQ1" s="252"/>
      <c r="UZR1" s="253"/>
      <c r="UZS1" s="253"/>
      <c r="UZT1" s="253"/>
      <c r="UZU1" s="252"/>
      <c r="UZV1" s="253"/>
      <c r="UZW1" s="253"/>
      <c r="UZX1" s="253"/>
      <c r="UZY1" s="252"/>
      <c r="UZZ1" s="253"/>
      <c r="VAA1" s="253"/>
      <c r="VAB1" s="253"/>
      <c r="VAC1" s="252"/>
      <c r="VAD1" s="253"/>
      <c r="VAE1" s="253"/>
      <c r="VAF1" s="253"/>
      <c r="VAG1" s="252"/>
      <c r="VAH1" s="253"/>
      <c r="VAI1" s="253"/>
      <c r="VAJ1" s="253"/>
      <c r="VAK1" s="252"/>
      <c r="VAL1" s="253"/>
      <c r="VAM1" s="253"/>
      <c r="VAN1" s="253"/>
      <c r="VAO1" s="252"/>
      <c r="VAP1" s="253"/>
      <c r="VAQ1" s="253"/>
      <c r="VAR1" s="253"/>
      <c r="VAS1" s="252"/>
      <c r="VAT1" s="253"/>
      <c r="VAU1" s="253"/>
      <c r="VAV1" s="253"/>
      <c r="VAW1" s="252"/>
      <c r="VAX1" s="253"/>
      <c r="VAY1" s="253"/>
      <c r="VAZ1" s="253"/>
      <c r="VBA1" s="252"/>
      <c r="VBB1" s="253"/>
      <c r="VBC1" s="253"/>
      <c r="VBD1" s="253"/>
      <c r="VBE1" s="252"/>
      <c r="VBF1" s="253"/>
      <c r="VBG1" s="253"/>
      <c r="VBH1" s="253"/>
      <c r="VBI1" s="252"/>
      <c r="VBJ1" s="253"/>
      <c r="VBK1" s="253"/>
      <c r="VBL1" s="253"/>
      <c r="VBM1" s="252"/>
      <c r="VBN1" s="253"/>
      <c r="VBO1" s="253"/>
      <c r="VBP1" s="253"/>
      <c r="VBQ1" s="252"/>
      <c r="VBR1" s="253"/>
      <c r="VBS1" s="253"/>
      <c r="VBT1" s="253"/>
      <c r="VBU1" s="252"/>
      <c r="VBV1" s="253"/>
      <c r="VBW1" s="253"/>
      <c r="VBX1" s="253"/>
      <c r="VBY1" s="252"/>
      <c r="VBZ1" s="253"/>
      <c r="VCA1" s="253"/>
      <c r="VCB1" s="253"/>
      <c r="VCC1" s="252"/>
      <c r="VCD1" s="253"/>
      <c r="VCE1" s="253"/>
      <c r="VCF1" s="253"/>
      <c r="VCG1" s="252"/>
      <c r="VCH1" s="253"/>
      <c r="VCI1" s="253"/>
      <c r="VCJ1" s="253"/>
      <c r="VCK1" s="252"/>
      <c r="VCL1" s="253"/>
      <c r="VCM1" s="253"/>
      <c r="VCN1" s="253"/>
      <c r="VCO1" s="252"/>
      <c r="VCP1" s="253"/>
      <c r="VCQ1" s="253"/>
      <c r="VCR1" s="253"/>
      <c r="VCS1" s="252"/>
      <c r="VCT1" s="253"/>
      <c r="VCU1" s="253"/>
      <c r="VCV1" s="253"/>
      <c r="VCW1" s="252"/>
      <c r="VCX1" s="253"/>
      <c r="VCY1" s="253"/>
      <c r="VCZ1" s="253"/>
      <c r="VDA1" s="252"/>
      <c r="VDB1" s="253"/>
      <c r="VDC1" s="253"/>
      <c r="VDD1" s="253"/>
      <c r="VDE1" s="252"/>
      <c r="VDF1" s="253"/>
      <c r="VDG1" s="253"/>
      <c r="VDH1" s="253"/>
      <c r="VDI1" s="252"/>
      <c r="VDJ1" s="253"/>
      <c r="VDK1" s="253"/>
      <c r="VDL1" s="253"/>
      <c r="VDM1" s="252"/>
      <c r="VDN1" s="253"/>
      <c r="VDO1" s="253"/>
      <c r="VDP1" s="253"/>
      <c r="VDQ1" s="252"/>
      <c r="VDR1" s="253"/>
      <c r="VDS1" s="253"/>
      <c r="VDT1" s="253"/>
      <c r="VDU1" s="252"/>
      <c r="VDV1" s="253"/>
      <c r="VDW1" s="253"/>
      <c r="VDX1" s="253"/>
      <c r="VDY1" s="252"/>
      <c r="VDZ1" s="253"/>
      <c r="VEA1" s="253"/>
      <c r="VEB1" s="253"/>
      <c r="VEC1" s="252"/>
      <c r="VED1" s="253"/>
      <c r="VEE1" s="253"/>
      <c r="VEF1" s="253"/>
      <c r="VEG1" s="252"/>
      <c r="VEH1" s="253"/>
      <c r="VEI1" s="253"/>
      <c r="VEJ1" s="253"/>
      <c r="VEK1" s="252"/>
      <c r="VEL1" s="253"/>
      <c r="VEM1" s="253"/>
      <c r="VEN1" s="253"/>
      <c r="VEO1" s="252"/>
      <c r="VEP1" s="253"/>
      <c r="VEQ1" s="253"/>
      <c r="VER1" s="253"/>
      <c r="VES1" s="252"/>
      <c r="VET1" s="253"/>
      <c r="VEU1" s="253"/>
      <c r="VEV1" s="253"/>
      <c r="VEW1" s="252"/>
      <c r="VEX1" s="253"/>
      <c r="VEY1" s="253"/>
      <c r="VEZ1" s="253"/>
      <c r="VFA1" s="252"/>
      <c r="VFB1" s="253"/>
      <c r="VFC1" s="253"/>
      <c r="VFD1" s="253"/>
      <c r="VFE1" s="252"/>
      <c r="VFF1" s="253"/>
      <c r="VFG1" s="253"/>
      <c r="VFH1" s="253"/>
      <c r="VFI1" s="252"/>
      <c r="VFJ1" s="253"/>
      <c r="VFK1" s="253"/>
      <c r="VFL1" s="253"/>
      <c r="VFM1" s="252"/>
      <c r="VFN1" s="253"/>
      <c r="VFO1" s="253"/>
      <c r="VFP1" s="253"/>
      <c r="VFQ1" s="252"/>
      <c r="VFR1" s="253"/>
      <c r="VFS1" s="253"/>
      <c r="VFT1" s="253"/>
      <c r="VFU1" s="252"/>
      <c r="VFV1" s="253"/>
      <c r="VFW1" s="253"/>
      <c r="VFX1" s="253"/>
      <c r="VFY1" s="252"/>
      <c r="VFZ1" s="253"/>
      <c r="VGA1" s="253"/>
      <c r="VGB1" s="253"/>
      <c r="VGC1" s="252"/>
      <c r="VGD1" s="253"/>
      <c r="VGE1" s="253"/>
      <c r="VGF1" s="253"/>
      <c r="VGG1" s="252"/>
      <c r="VGH1" s="253"/>
      <c r="VGI1" s="253"/>
      <c r="VGJ1" s="253"/>
      <c r="VGK1" s="252"/>
      <c r="VGL1" s="253"/>
      <c r="VGM1" s="253"/>
      <c r="VGN1" s="253"/>
      <c r="VGO1" s="252"/>
      <c r="VGP1" s="253"/>
      <c r="VGQ1" s="253"/>
      <c r="VGR1" s="253"/>
      <c r="VGS1" s="252"/>
      <c r="VGT1" s="253"/>
      <c r="VGU1" s="253"/>
      <c r="VGV1" s="253"/>
      <c r="VGW1" s="252"/>
      <c r="VGX1" s="253"/>
      <c r="VGY1" s="253"/>
      <c r="VGZ1" s="253"/>
      <c r="VHA1" s="252"/>
      <c r="VHB1" s="253"/>
      <c r="VHC1" s="253"/>
      <c r="VHD1" s="253"/>
      <c r="VHE1" s="252"/>
      <c r="VHF1" s="253"/>
      <c r="VHG1" s="253"/>
      <c r="VHH1" s="253"/>
      <c r="VHI1" s="252"/>
      <c r="VHJ1" s="253"/>
      <c r="VHK1" s="253"/>
      <c r="VHL1" s="253"/>
      <c r="VHM1" s="252"/>
      <c r="VHN1" s="253"/>
      <c r="VHO1" s="253"/>
      <c r="VHP1" s="253"/>
      <c r="VHQ1" s="252"/>
      <c r="VHR1" s="253"/>
      <c r="VHS1" s="253"/>
      <c r="VHT1" s="253"/>
      <c r="VHU1" s="252"/>
      <c r="VHV1" s="253"/>
      <c r="VHW1" s="253"/>
      <c r="VHX1" s="253"/>
      <c r="VHY1" s="252"/>
      <c r="VHZ1" s="253"/>
      <c r="VIA1" s="253"/>
      <c r="VIB1" s="253"/>
      <c r="VIC1" s="252"/>
      <c r="VID1" s="253"/>
      <c r="VIE1" s="253"/>
      <c r="VIF1" s="253"/>
      <c r="VIG1" s="252"/>
      <c r="VIH1" s="253"/>
      <c r="VII1" s="253"/>
      <c r="VIJ1" s="253"/>
      <c r="VIK1" s="252"/>
      <c r="VIL1" s="253"/>
      <c r="VIM1" s="253"/>
      <c r="VIN1" s="253"/>
      <c r="VIO1" s="252"/>
      <c r="VIP1" s="253"/>
      <c r="VIQ1" s="253"/>
      <c r="VIR1" s="253"/>
      <c r="VIS1" s="252"/>
      <c r="VIT1" s="253"/>
      <c r="VIU1" s="253"/>
      <c r="VIV1" s="253"/>
      <c r="VIW1" s="252"/>
      <c r="VIX1" s="253"/>
      <c r="VIY1" s="253"/>
      <c r="VIZ1" s="253"/>
      <c r="VJA1" s="252"/>
      <c r="VJB1" s="253"/>
      <c r="VJC1" s="253"/>
      <c r="VJD1" s="253"/>
      <c r="VJE1" s="252"/>
      <c r="VJF1" s="253"/>
      <c r="VJG1" s="253"/>
      <c r="VJH1" s="253"/>
      <c r="VJI1" s="252"/>
      <c r="VJJ1" s="253"/>
      <c r="VJK1" s="253"/>
      <c r="VJL1" s="253"/>
      <c r="VJM1" s="252"/>
      <c r="VJN1" s="253"/>
      <c r="VJO1" s="253"/>
      <c r="VJP1" s="253"/>
      <c r="VJQ1" s="252"/>
      <c r="VJR1" s="253"/>
      <c r="VJS1" s="253"/>
      <c r="VJT1" s="253"/>
      <c r="VJU1" s="252"/>
      <c r="VJV1" s="253"/>
      <c r="VJW1" s="253"/>
      <c r="VJX1" s="253"/>
      <c r="VJY1" s="252"/>
      <c r="VJZ1" s="253"/>
      <c r="VKA1" s="253"/>
      <c r="VKB1" s="253"/>
      <c r="VKC1" s="252"/>
      <c r="VKD1" s="253"/>
      <c r="VKE1" s="253"/>
      <c r="VKF1" s="253"/>
      <c r="VKG1" s="252"/>
      <c r="VKH1" s="253"/>
      <c r="VKI1" s="253"/>
      <c r="VKJ1" s="253"/>
      <c r="VKK1" s="252"/>
      <c r="VKL1" s="253"/>
      <c r="VKM1" s="253"/>
      <c r="VKN1" s="253"/>
      <c r="VKO1" s="252"/>
      <c r="VKP1" s="253"/>
      <c r="VKQ1" s="253"/>
      <c r="VKR1" s="253"/>
      <c r="VKS1" s="252"/>
      <c r="VKT1" s="253"/>
      <c r="VKU1" s="253"/>
      <c r="VKV1" s="253"/>
      <c r="VKW1" s="252"/>
      <c r="VKX1" s="253"/>
      <c r="VKY1" s="253"/>
      <c r="VKZ1" s="253"/>
      <c r="VLA1" s="252"/>
      <c r="VLB1" s="253"/>
      <c r="VLC1" s="253"/>
      <c r="VLD1" s="253"/>
      <c r="VLE1" s="252"/>
      <c r="VLF1" s="253"/>
      <c r="VLG1" s="253"/>
      <c r="VLH1" s="253"/>
      <c r="VLI1" s="252"/>
      <c r="VLJ1" s="253"/>
      <c r="VLK1" s="253"/>
      <c r="VLL1" s="253"/>
      <c r="VLM1" s="252"/>
      <c r="VLN1" s="253"/>
      <c r="VLO1" s="253"/>
      <c r="VLP1" s="253"/>
      <c r="VLQ1" s="252"/>
      <c r="VLR1" s="253"/>
      <c r="VLS1" s="253"/>
      <c r="VLT1" s="253"/>
      <c r="VLU1" s="252"/>
      <c r="VLV1" s="253"/>
      <c r="VLW1" s="253"/>
      <c r="VLX1" s="253"/>
      <c r="VLY1" s="252"/>
      <c r="VLZ1" s="253"/>
      <c r="VMA1" s="253"/>
      <c r="VMB1" s="253"/>
      <c r="VMC1" s="252"/>
      <c r="VMD1" s="253"/>
      <c r="VME1" s="253"/>
      <c r="VMF1" s="253"/>
      <c r="VMG1" s="252"/>
      <c r="VMH1" s="253"/>
      <c r="VMI1" s="253"/>
      <c r="VMJ1" s="253"/>
      <c r="VMK1" s="252"/>
      <c r="VML1" s="253"/>
      <c r="VMM1" s="253"/>
      <c r="VMN1" s="253"/>
      <c r="VMO1" s="252"/>
      <c r="VMP1" s="253"/>
      <c r="VMQ1" s="253"/>
      <c r="VMR1" s="253"/>
      <c r="VMS1" s="252"/>
      <c r="VMT1" s="253"/>
      <c r="VMU1" s="253"/>
      <c r="VMV1" s="253"/>
      <c r="VMW1" s="252"/>
      <c r="VMX1" s="253"/>
      <c r="VMY1" s="253"/>
      <c r="VMZ1" s="253"/>
      <c r="VNA1" s="252"/>
      <c r="VNB1" s="253"/>
      <c r="VNC1" s="253"/>
      <c r="VND1" s="253"/>
      <c r="VNE1" s="252"/>
      <c r="VNF1" s="253"/>
      <c r="VNG1" s="253"/>
      <c r="VNH1" s="253"/>
      <c r="VNI1" s="252"/>
      <c r="VNJ1" s="253"/>
      <c r="VNK1" s="253"/>
      <c r="VNL1" s="253"/>
      <c r="VNM1" s="252"/>
      <c r="VNN1" s="253"/>
      <c r="VNO1" s="253"/>
      <c r="VNP1" s="253"/>
      <c r="VNQ1" s="252"/>
      <c r="VNR1" s="253"/>
      <c r="VNS1" s="253"/>
      <c r="VNT1" s="253"/>
      <c r="VNU1" s="252"/>
      <c r="VNV1" s="253"/>
      <c r="VNW1" s="253"/>
      <c r="VNX1" s="253"/>
      <c r="VNY1" s="252"/>
      <c r="VNZ1" s="253"/>
      <c r="VOA1" s="253"/>
      <c r="VOB1" s="253"/>
      <c r="VOC1" s="252"/>
      <c r="VOD1" s="253"/>
      <c r="VOE1" s="253"/>
      <c r="VOF1" s="253"/>
      <c r="VOG1" s="252"/>
      <c r="VOH1" s="253"/>
      <c r="VOI1" s="253"/>
      <c r="VOJ1" s="253"/>
      <c r="VOK1" s="252"/>
      <c r="VOL1" s="253"/>
      <c r="VOM1" s="253"/>
      <c r="VON1" s="253"/>
      <c r="VOO1" s="252"/>
      <c r="VOP1" s="253"/>
      <c r="VOQ1" s="253"/>
      <c r="VOR1" s="253"/>
      <c r="VOS1" s="252"/>
      <c r="VOT1" s="253"/>
      <c r="VOU1" s="253"/>
      <c r="VOV1" s="253"/>
      <c r="VOW1" s="252"/>
      <c r="VOX1" s="253"/>
      <c r="VOY1" s="253"/>
      <c r="VOZ1" s="253"/>
      <c r="VPA1" s="252"/>
      <c r="VPB1" s="253"/>
      <c r="VPC1" s="253"/>
      <c r="VPD1" s="253"/>
      <c r="VPE1" s="252"/>
      <c r="VPF1" s="253"/>
      <c r="VPG1" s="253"/>
      <c r="VPH1" s="253"/>
      <c r="VPI1" s="252"/>
      <c r="VPJ1" s="253"/>
      <c r="VPK1" s="253"/>
      <c r="VPL1" s="253"/>
      <c r="VPM1" s="252"/>
      <c r="VPN1" s="253"/>
      <c r="VPO1" s="253"/>
      <c r="VPP1" s="253"/>
      <c r="VPQ1" s="252"/>
      <c r="VPR1" s="253"/>
      <c r="VPS1" s="253"/>
      <c r="VPT1" s="253"/>
      <c r="VPU1" s="252"/>
      <c r="VPV1" s="253"/>
      <c r="VPW1" s="253"/>
      <c r="VPX1" s="253"/>
      <c r="VPY1" s="252"/>
      <c r="VPZ1" s="253"/>
      <c r="VQA1" s="253"/>
      <c r="VQB1" s="253"/>
      <c r="VQC1" s="252"/>
      <c r="VQD1" s="253"/>
      <c r="VQE1" s="253"/>
      <c r="VQF1" s="253"/>
      <c r="VQG1" s="252"/>
      <c r="VQH1" s="253"/>
      <c r="VQI1" s="253"/>
      <c r="VQJ1" s="253"/>
      <c r="VQK1" s="252"/>
      <c r="VQL1" s="253"/>
      <c r="VQM1" s="253"/>
      <c r="VQN1" s="253"/>
      <c r="VQO1" s="252"/>
      <c r="VQP1" s="253"/>
      <c r="VQQ1" s="253"/>
      <c r="VQR1" s="253"/>
      <c r="VQS1" s="252"/>
      <c r="VQT1" s="253"/>
      <c r="VQU1" s="253"/>
      <c r="VQV1" s="253"/>
      <c r="VQW1" s="252"/>
      <c r="VQX1" s="253"/>
      <c r="VQY1" s="253"/>
      <c r="VQZ1" s="253"/>
      <c r="VRA1" s="252"/>
      <c r="VRB1" s="253"/>
      <c r="VRC1" s="253"/>
      <c r="VRD1" s="253"/>
      <c r="VRE1" s="252"/>
      <c r="VRF1" s="253"/>
      <c r="VRG1" s="253"/>
      <c r="VRH1" s="253"/>
      <c r="VRI1" s="252"/>
      <c r="VRJ1" s="253"/>
      <c r="VRK1" s="253"/>
      <c r="VRL1" s="253"/>
      <c r="VRM1" s="252"/>
      <c r="VRN1" s="253"/>
      <c r="VRO1" s="253"/>
      <c r="VRP1" s="253"/>
      <c r="VRQ1" s="252"/>
      <c r="VRR1" s="253"/>
      <c r="VRS1" s="253"/>
      <c r="VRT1" s="253"/>
      <c r="VRU1" s="252"/>
      <c r="VRV1" s="253"/>
      <c r="VRW1" s="253"/>
      <c r="VRX1" s="253"/>
      <c r="VRY1" s="252"/>
      <c r="VRZ1" s="253"/>
      <c r="VSA1" s="253"/>
      <c r="VSB1" s="253"/>
      <c r="VSC1" s="252"/>
      <c r="VSD1" s="253"/>
      <c r="VSE1" s="253"/>
      <c r="VSF1" s="253"/>
      <c r="VSG1" s="252"/>
      <c r="VSH1" s="253"/>
      <c r="VSI1" s="253"/>
      <c r="VSJ1" s="253"/>
      <c r="VSK1" s="252"/>
      <c r="VSL1" s="253"/>
      <c r="VSM1" s="253"/>
      <c r="VSN1" s="253"/>
      <c r="VSO1" s="252"/>
      <c r="VSP1" s="253"/>
      <c r="VSQ1" s="253"/>
      <c r="VSR1" s="253"/>
      <c r="VSS1" s="252"/>
      <c r="VST1" s="253"/>
      <c r="VSU1" s="253"/>
      <c r="VSV1" s="253"/>
      <c r="VSW1" s="252"/>
      <c r="VSX1" s="253"/>
      <c r="VSY1" s="253"/>
      <c r="VSZ1" s="253"/>
      <c r="VTA1" s="252"/>
      <c r="VTB1" s="253"/>
      <c r="VTC1" s="253"/>
      <c r="VTD1" s="253"/>
      <c r="VTE1" s="252"/>
      <c r="VTF1" s="253"/>
      <c r="VTG1" s="253"/>
      <c r="VTH1" s="253"/>
      <c r="VTI1" s="252"/>
      <c r="VTJ1" s="253"/>
      <c r="VTK1" s="253"/>
      <c r="VTL1" s="253"/>
      <c r="VTM1" s="252"/>
      <c r="VTN1" s="253"/>
      <c r="VTO1" s="253"/>
      <c r="VTP1" s="253"/>
      <c r="VTQ1" s="252"/>
      <c r="VTR1" s="253"/>
      <c r="VTS1" s="253"/>
      <c r="VTT1" s="253"/>
      <c r="VTU1" s="252"/>
      <c r="VTV1" s="253"/>
      <c r="VTW1" s="253"/>
      <c r="VTX1" s="253"/>
      <c r="VTY1" s="252"/>
      <c r="VTZ1" s="253"/>
      <c r="VUA1" s="253"/>
      <c r="VUB1" s="253"/>
      <c r="VUC1" s="252"/>
      <c r="VUD1" s="253"/>
      <c r="VUE1" s="253"/>
      <c r="VUF1" s="253"/>
      <c r="VUG1" s="252"/>
      <c r="VUH1" s="253"/>
      <c r="VUI1" s="253"/>
      <c r="VUJ1" s="253"/>
      <c r="VUK1" s="252"/>
      <c r="VUL1" s="253"/>
      <c r="VUM1" s="253"/>
      <c r="VUN1" s="253"/>
      <c r="VUO1" s="252"/>
      <c r="VUP1" s="253"/>
      <c r="VUQ1" s="253"/>
      <c r="VUR1" s="253"/>
      <c r="VUS1" s="252"/>
      <c r="VUT1" s="253"/>
      <c r="VUU1" s="253"/>
      <c r="VUV1" s="253"/>
      <c r="VUW1" s="252"/>
      <c r="VUX1" s="253"/>
      <c r="VUY1" s="253"/>
      <c r="VUZ1" s="253"/>
      <c r="VVA1" s="252"/>
      <c r="VVB1" s="253"/>
      <c r="VVC1" s="253"/>
      <c r="VVD1" s="253"/>
      <c r="VVE1" s="252"/>
      <c r="VVF1" s="253"/>
      <c r="VVG1" s="253"/>
      <c r="VVH1" s="253"/>
      <c r="VVI1" s="252"/>
      <c r="VVJ1" s="253"/>
      <c r="VVK1" s="253"/>
      <c r="VVL1" s="253"/>
      <c r="VVM1" s="252"/>
      <c r="VVN1" s="253"/>
      <c r="VVO1" s="253"/>
      <c r="VVP1" s="253"/>
      <c r="VVQ1" s="252"/>
      <c r="VVR1" s="253"/>
      <c r="VVS1" s="253"/>
      <c r="VVT1" s="253"/>
      <c r="VVU1" s="252"/>
      <c r="VVV1" s="253"/>
      <c r="VVW1" s="253"/>
      <c r="VVX1" s="253"/>
      <c r="VVY1" s="252"/>
      <c r="VVZ1" s="253"/>
      <c r="VWA1" s="253"/>
      <c r="VWB1" s="253"/>
      <c r="VWC1" s="252"/>
      <c r="VWD1" s="253"/>
      <c r="VWE1" s="253"/>
      <c r="VWF1" s="253"/>
      <c r="VWG1" s="252"/>
      <c r="VWH1" s="253"/>
      <c r="VWI1" s="253"/>
      <c r="VWJ1" s="253"/>
      <c r="VWK1" s="252"/>
      <c r="VWL1" s="253"/>
      <c r="VWM1" s="253"/>
      <c r="VWN1" s="253"/>
      <c r="VWO1" s="252"/>
      <c r="VWP1" s="253"/>
      <c r="VWQ1" s="253"/>
      <c r="VWR1" s="253"/>
      <c r="VWS1" s="252"/>
      <c r="VWT1" s="253"/>
      <c r="VWU1" s="253"/>
      <c r="VWV1" s="253"/>
      <c r="VWW1" s="252"/>
      <c r="VWX1" s="253"/>
      <c r="VWY1" s="253"/>
      <c r="VWZ1" s="253"/>
      <c r="VXA1" s="252"/>
      <c r="VXB1" s="253"/>
      <c r="VXC1" s="253"/>
      <c r="VXD1" s="253"/>
      <c r="VXE1" s="252"/>
      <c r="VXF1" s="253"/>
      <c r="VXG1" s="253"/>
      <c r="VXH1" s="253"/>
      <c r="VXI1" s="252"/>
      <c r="VXJ1" s="253"/>
      <c r="VXK1" s="253"/>
      <c r="VXL1" s="253"/>
      <c r="VXM1" s="252"/>
      <c r="VXN1" s="253"/>
      <c r="VXO1" s="253"/>
      <c r="VXP1" s="253"/>
      <c r="VXQ1" s="252"/>
      <c r="VXR1" s="253"/>
      <c r="VXS1" s="253"/>
      <c r="VXT1" s="253"/>
      <c r="VXU1" s="252"/>
      <c r="VXV1" s="253"/>
      <c r="VXW1" s="253"/>
      <c r="VXX1" s="253"/>
      <c r="VXY1" s="252"/>
      <c r="VXZ1" s="253"/>
      <c r="VYA1" s="253"/>
      <c r="VYB1" s="253"/>
      <c r="VYC1" s="252"/>
      <c r="VYD1" s="253"/>
      <c r="VYE1" s="253"/>
      <c r="VYF1" s="253"/>
      <c r="VYG1" s="252"/>
      <c r="VYH1" s="253"/>
      <c r="VYI1" s="253"/>
      <c r="VYJ1" s="253"/>
      <c r="VYK1" s="252"/>
      <c r="VYL1" s="253"/>
      <c r="VYM1" s="253"/>
      <c r="VYN1" s="253"/>
      <c r="VYO1" s="252"/>
      <c r="VYP1" s="253"/>
      <c r="VYQ1" s="253"/>
      <c r="VYR1" s="253"/>
      <c r="VYS1" s="252"/>
      <c r="VYT1" s="253"/>
      <c r="VYU1" s="253"/>
      <c r="VYV1" s="253"/>
      <c r="VYW1" s="252"/>
      <c r="VYX1" s="253"/>
      <c r="VYY1" s="253"/>
      <c r="VYZ1" s="253"/>
      <c r="VZA1" s="252"/>
      <c r="VZB1" s="253"/>
      <c r="VZC1" s="253"/>
      <c r="VZD1" s="253"/>
      <c r="VZE1" s="252"/>
      <c r="VZF1" s="253"/>
      <c r="VZG1" s="253"/>
      <c r="VZH1" s="253"/>
      <c r="VZI1" s="252"/>
      <c r="VZJ1" s="253"/>
      <c r="VZK1" s="253"/>
      <c r="VZL1" s="253"/>
      <c r="VZM1" s="252"/>
      <c r="VZN1" s="253"/>
      <c r="VZO1" s="253"/>
      <c r="VZP1" s="253"/>
      <c r="VZQ1" s="252"/>
      <c r="VZR1" s="253"/>
      <c r="VZS1" s="253"/>
      <c r="VZT1" s="253"/>
      <c r="VZU1" s="252"/>
      <c r="VZV1" s="253"/>
      <c r="VZW1" s="253"/>
      <c r="VZX1" s="253"/>
      <c r="VZY1" s="252"/>
      <c r="VZZ1" s="253"/>
      <c r="WAA1" s="253"/>
      <c r="WAB1" s="253"/>
      <c r="WAC1" s="252"/>
      <c r="WAD1" s="253"/>
      <c r="WAE1" s="253"/>
      <c r="WAF1" s="253"/>
      <c r="WAG1" s="252"/>
      <c r="WAH1" s="253"/>
      <c r="WAI1" s="253"/>
      <c r="WAJ1" s="253"/>
      <c r="WAK1" s="252"/>
      <c r="WAL1" s="253"/>
      <c r="WAM1" s="253"/>
      <c r="WAN1" s="253"/>
      <c r="WAO1" s="252"/>
      <c r="WAP1" s="253"/>
      <c r="WAQ1" s="253"/>
      <c r="WAR1" s="253"/>
      <c r="WAS1" s="252"/>
      <c r="WAT1" s="253"/>
      <c r="WAU1" s="253"/>
      <c r="WAV1" s="253"/>
      <c r="WAW1" s="252"/>
      <c r="WAX1" s="253"/>
      <c r="WAY1" s="253"/>
      <c r="WAZ1" s="253"/>
      <c r="WBA1" s="252"/>
      <c r="WBB1" s="253"/>
      <c r="WBC1" s="253"/>
      <c r="WBD1" s="253"/>
      <c r="WBE1" s="252"/>
      <c r="WBF1" s="253"/>
      <c r="WBG1" s="253"/>
      <c r="WBH1" s="253"/>
      <c r="WBI1" s="252"/>
      <c r="WBJ1" s="253"/>
      <c r="WBK1" s="253"/>
      <c r="WBL1" s="253"/>
      <c r="WBM1" s="252"/>
      <c r="WBN1" s="253"/>
      <c r="WBO1" s="253"/>
      <c r="WBP1" s="253"/>
      <c r="WBQ1" s="252"/>
      <c r="WBR1" s="253"/>
      <c r="WBS1" s="253"/>
      <c r="WBT1" s="253"/>
      <c r="WBU1" s="252"/>
      <c r="WBV1" s="253"/>
      <c r="WBW1" s="253"/>
      <c r="WBX1" s="253"/>
      <c r="WBY1" s="252"/>
      <c r="WBZ1" s="253"/>
      <c r="WCA1" s="253"/>
      <c r="WCB1" s="253"/>
      <c r="WCC1" s="252"/>
      <c r="WCD1" s="253"/>
      <c r="WCE1" s="253"/>
      <c r="WCF1" s="253"/>
      <c r="WCG1" s="252"/>
      <c r="WCH1" s="253"/>
      <c r="WCI1" s="253"/>
      <c r="WCJ1" s="253"/>
      <c r="WCK1" s="252"/>
      <c r="WCL1" s="253"/>
      <c r="WCM1" s="253"/>
      <c r="WCN1" s="253"/>
      <c r="WCO1" s="252"/>
      <c r="WCP1" s="253"/>
      <c r="WCQ1" s="253"/>
      <c r="WCR1" s="253"/>
      <c r="WCS1" s="252"/>
      <c r="WCT1" s="253"/>
      <c r="WCU1" s="253"/>
      <c r="WCV1" s="253"/>
      <c r="WCW1" s="252"/>
      <c r="WCX1" s="253"/>
      <c r="WCY1" s="253"/>
      <c r="WCZ1" s="253"/>
      <c r="WDA1" s="252"/>
      <c r="WDB1" s="253"/>
      <c r="WDC1" s="253"/>
      <c r="WDD1" s="253"/>
      <c r="WDE1" s="252"/>
      <c r="WDF1" s="253"/>
      <c r="WDG1" s="253"/>
      <c r="WDH1" s="253"/>
      <c r="WDI1" s="252"/>
      <c r="WDJ1" s="253"/>
      <c r="WDK1" s="253"/>
      <c r="WDL1" s="253"/>
      <c r="WDM1" s="252"/>
      <c r="WDN1" s="253"/>
      <c r="WDO1" s="253"/>
      <c r="WDP1" s="253"/>
      <c r="WDQ1" s="252"/>
      <c r="WDR1" s="253"/>
      <c r="WDS1" s="253"/>
      <c r="WDT1" s="253"/>
      <c r="WDU1" s="252"/>
      <c r="WDV1" s="253"/>
      <c r="WDW1" s="253"/>
      <c r="WDX1" s="253"/>
      <c r="WDY1" s="252"/>
      <c r="WDZ1" s="253"/>
      <c r="WEA1" s="253"/>
      <c r="WEB1" s="253"/>
      <c r="WEC1" s="252"/>
      <c r="WED1" s="253"/>
      <c r="WEE1" s="253"/>
      <c r="WEF1" s="253"/>
      <c r="WEG1" s="252"/>
      <c r="WEH1" s="253"/>
      <c r="WEI1" s="253"/>
      <c r="WEJ1" s="253"/>
      <c r="WEK1" s="252"/>
      <c r="WEL1" s="253"/>
      <c r="WEM1" s="253"/>
      <c r="WEN1" s="253"/>
      <c r="WEO1" s="252"/>
      <c r="WEP1" s="253"/>
      <c r="WEQ1" s="253"/>
      <c r="WER1" s="253"/>
      <c r="WES1" s="252"/>
      <c r="WET1" s="253"/>
      <c r="WEU1" s="253"/>
      <c r="WEV1" s="253"/>
      <c r="WEW1" s="252"/>
      <c r="WEX1" s="253"/>
      <c r="WEY1" s="253"/>
      <c r="WEZ1" s="253"/>
      <c r="WFA1" s="252"/>
      <c r="WFB1" s="253"/>
      <c r="WFC1" s="253"/>
      <c r="WFD1" s="253"/>
      <c r="WFE1" s="252"/>
      <c r="WFF1" s="253"/>
      <c r="WFG1" s="253"/>
      <c r="WFH1" s="253"/>
      <c r="WFI1" s="252"/>
      <c r="WFJ1" s="253"/>
      <c r="WFK1" s="253"/>
      <c r="WFL1" s="253"/>
      <c r="WFM1" s="252"/>
      <c r="WFN1" s="253"/>
      <c r="WFO1" s="253"/>
      <c r="WFP1" s="253"/>
      <c r="WFQ1" s="252"/>
      <c r="WFR1" s="253"/>
      <c r="WFS1" s="253"/>
      <c r="WFT1" s="253"/>
      <c r="WFU1" s="252"/>
      <c r="WFV1" s="253"/>
      <c r="WFW1" s="253"/>
      <c r="WFX1" s="253"/>
      <c r="WFY1" s="252"/>
      <c r="WFZ1" s="253"/>
      <c r="WGA1" s="253"/>
      <c r="WGB1" s="253"/>
      <c r="WGC1" s="252"/>
      <c r="WGD1" s="253"/>
      <c r="WGE1" s="253"/>
      <c r="WGF1" s="253"/>
      <c r="WGG1" s="252"/>
      <c r="WGH1" s="253"/>
      <c r="WGI1" s="253"/>
      <c r="WGJ1" s="253"/>
      <c r="WGK1" s="252"/>
      <c r="WGL1" s="253"/>
      <c r="WGM1" s="253"/>
      <c r="WGN1" s="253"/>
      <c r="WGO1" s="252"/>
      <c r="WGP1" s="253"/>
      <c r="WGQ1" s="253"/>
      <c r="WGR1" s="253"/>
      <c r="WGS1" s="252"/>
      <c r="WGT1" s="253"/>
      <c r="WGU1" s="253"/>
      <c r="WGV1" s="253"/>
      <c r="WGW1" s="252"/>
      <c r="WGX1" s="253"/>
      <c r="WGY1" s="253"/>
      <c r="WGZ1" s="253"/>
      <c r="WHA1" s="252"/>
      <c r="WHB1" s="253"/>
      <c r="WHC1" s="253"/>
      <c r="WHD1" s="253"/>
      <c r="WHE1" s="252"/>
      <c r="WHF1" s="253"/>
      <c r="WHG1" s="253"/>
      <c r="WHH1" s="253"/>
      <c r="WHI1" s="252"/>
      <c r="WHJ1" s="253"/>
      <c r="WHK1" s="253"/>
      <c r="WHL1" s="253"/>
      <c r="WHM1" s="252"/>
      <c r="WHN1" s="253"/>
      <c r="WHO1" s="253"/>
      <c r="WHP1" s="253"/>
      <c r="WHQ1" s="252"/>
      <c r="WHR1" s="253"/>
      <c r="WHS1" s="253"/>
      <c r="WHT1" s="253"/>
      <c r="WHU1" s="252"/>
      <c r="WHV1" s="253"/>
      <c r="WHW1" s="253"/>
      <c r="WHX1" s="253"/>
      <c r="WHY1" s="252"/>
      <c r="WHZ1" s="253"/>
      <c r="WIA1" s="253"/>
      <c r="WIB1" s="253"/>
      <c r="WIC1" s="252"/>
      <c r="WID1" s="253"/>
      <c r="WIE1" s="253"/>
      <c r="WIF1" s="253"/>
      <c r="WIG1" s="252"/>
      <c r="WIH1" s="253"/>
      <c r="WII1" s="253"/>
      <c r="WIJ1" s="253"/>
      <c r="WIK1" s="252"/>
      <c r="WIL1" s="253"/>
      <c r="WIM1" s="253"/>
      <c r="WIN1" s="253"/>
      <c r="WIO1" s="252"/>
      <c r="WIP1" s="253"/>
      <c r="WIQ1" s="253"/>
      <c r="WIR1" s="253"/>
      <c r="WIS1" s="252"/>
      <c r="WIT1" s="253"/>
      <c r="WIU1" s="253"/>
      <c r="WIV1" s="253"/>
      <c r="WIW1" s="252"/>
      <c r="WIX1" s="253"/>
      <c r="WIY1" s="253"/>
      <c r="WIZ1" s="253"/>
      <c r="WJA1" s="252"/>
      <c r="WJB1" s="253"/>
      <c r="WJC1" s="253"/>
      <c r="WJD1" s="253"/>
      <c r="WJE1" s="252"/>
      <c r="WJF1" s="253"/>
      <c r="WJG1" s="253"/>
      <c r="WJH1" s="253"/>
      <c r="WJI1" s="252"/>
      <c r="WJJ1" s="253"/>
      <c r="WJK1" s="253"/>
      <c r="WJL1" s="253"/>
      <c r="WJM1" s="252"/>
      <c r="WJN1" s="253"/>
      <c r="WJO1" s="253"/>
      <c r="WJP1" s="253"/>
      <c r="WJQ1" s="252"/>
      <c r="WJR1" s="253"/>
      <c r="WJS1" s="253"/>
      <c r="WJT1" s="253"/>
      <c r="WJU1" s="252"/>
      <c r="WJV1" s="253"/>
      <c r="WJW1" s="253"/>
      <c r="WJX1" s="253"/>
      <c r="WJY1" s="252"/>
      <c r="WJZ1" s="253"/>
      <c r="WKA1" s="253"/>
      <c r="WKB1" s="253"/>
      <c r="WKC1" s="252"/>
      <c r="WKD1" s="253"/>
      <c r="WKE1" s="253"/>
      <c r="WKF1" s="253"/>
      <c r="WKG1" s="252"/>
      <c r="WKH1" s="253"/>
      <c r="WKI1" s="253"/>
      <c r="WKJ1" s="253"/>
      <c r="WKK1" s="252"/>
      <c r="WKL1" s="253"/>
      <c r="WKM1" s="253"/>
      <c r="WKN1" s="253"/>
      <c r="WKO1" s="252"/>
      <c r="WKP1" s="253"/>
      <c r="WKQ1" s="253"/>
      <c r="WKR1" s="253"/>
      <c r="WKS1" s="252"/>
      <c r="WKT1" s="253"/>
      <c r="WKU1" s="253"/>
      <c r="WKV1" s="253"/>
      <c r="WKW1" s="252"/>
      <c r="WKX1" s="253"/>
      <c r="WKY1" s="253"/>
      <c r="WKZ1" s="253"/>
      <c r="WLA1" s="252"/>
      <c r="WLB1" s="253"/>
      <c r="WLC1" s="253"/>
      <c r="WLD1" s="253"/>
      <c r="WLE1" s="252"/>
      <c r="WLF1" s="253"/>
      <c r="WLG1" s="253"/>
      <c r="WLH1" s="253"/>
      <c r="WLI1" s="252"/>
      <c r="WLJ1" s="253"/>
      <c r="WLK1" s="253"/>
      <c r="WLL1" s="253"/>
      <c r="WLM1" s="252"/>
      <c r="WLN1" s="253"/>
      <c r="WLO1" s="253"/>
      <c r="WLP1" s="253"/>
      <c r="WLQ1" s="252"/>
      <c r="WLR1" s="253"/>
      <c r="WLS1" s="253"/>
      <c r="WLT1" s="253"/>
      <c r="WLU1" s="252"/>
      <c r="WLV1" s="253"/>
      <c r="WLW1" s="253"/>
      <c r="WLX1" s="253"/>
      <c r="WLY1" s="252"/>
      <c r="WLZ1" s="253"/>
      <c r="WMA1" s="253"/>
      <c r="WMB1" s="253"/>
      <c r="WMC1" s="252"/>
      <c r="WMD1" s="253"/>
      <c r="WME1" s="253"/>
      <c r="WMF1" s="253"/>
      <c r="WMG1" s="252"/>
      <c r="WMH1" s="253"/>
      <c r="WMI1" s="253"/>
      <c r="WMJ1" s="253"/>
      <c r="WMK1" s="252"/>
      <c r="WML1" s="253"/>
      <c r="WMM1" s="253"/>
      <c r="WMN1" s="253"/>
      <c r="WMO1" s="252"/>
      <c r="WMP1" s="253"/>
      <c r="WMQ1" s="253"/>
      <c r="WMR1" s="253"/>
      <c r="WMS1" s="252"/>
      <c r="WMT1" s="253"/>
      <c r="WMU1" s="253"/>
      <c r="WMV1" s="253"/>
      <c r="WMW1" s="252"/>
      <c r="WMX1" s="253"/>
      <c r="WMY1" s="253"/>
      <c r="WMZ1" s="253"/>
      <c r="WNA1" s="252"/>
      <c r="WNB1" s="253"/>
      <c r="WNC1" s="253"/>
      <c r="WND1" s="253"/>
      <c r="WNE1" s="252"/>
      <c r="WNF1" s="253"/>
      <c r="WNG1" s="253"/>
      <c r="WNH1" s="253"/>
      <c r="WNI1" s="252"/>
      <c r="WNJ1" s="253"/>
      <c r="WNK1" s="253"/>
      <c r="WNL1" s="253"/>
      <c r="WNM1" s="252"/>
      <c r="WNN1" s="253"/>
      <c r="WNO1" s="253"/>
      <c r="WNP1" s="253"/>
      <c r="WNQ1" s="252"/>
      <c r="WNR1" s="253"/>
      <c r="WNS1" s="253"/>
      <c r="WNT1" s="253"/>
      <c r="WNU1" s="252"/>
      <c r="WNV1" s="253"/>
      <c r="WNW1" s="253"/>
      <c r="WNX1" s="253"/>
      <c r="WNY1" s="252"/>
      <c r="WNZ1" s="253"/>
      <c r="WOA1" s="253"/>
      <c r="WOB1" s="253"/>
      <c r="WOC1" s="252"/>
      <c r="WOD1" s="253"/>
      <c r="WOE1" s="253"/>
      <c r="WOF1" s="253"/>
      <c r="WOG1" s="252"/>
      <c r="WOH1" s="253"/>
      <c r="WOI1" s="253"/>
      <c r="WOJ1" s="253"/>
      <c r="WOK1" s="252"/>
      <c r="WOL1" s="253"/>
      <c r="WOM1" s="253"/>
      <c r="WON1" s="253"/>
      <c r="WOO1" s="252"/>
      <c r="WOP1" s="253"/>
      <c r="WOQ1" s="253"/>
      <c r="WOR1" s="253"/>
      <c r="WOS1" s="252"/>
      <c r="WOT1" s="253"/>
      <c r="WOU1" s="253"/>
      <c r="WOV1" s="253"/>
      <c r="WOW1" s="252"/>
      <c r="WOX1" s="253"/>
      <c r="WOY1" s="253"/>
      <c r="WOZ1" s="253"/>
      <c r="WPA1" s="252"/>
      <c r="WPB1" s="253"/>
      <c r="WPC1" s="253"/>
      <c r="WPD1" s="253"/>
      <c r="WPE1" s="252"/>
      <c r="WPF1" s="253"/>
      <c r="WPG1" s="253"/>
      <c r="WPH1" s="253"/>
      <c r="WPI1" s="252"/>
      <c r="WPJ1" s="253"/>
      <c r="WPK1" s="253"/>
      <c r="WPL1" s="253"/>
      <c r="WPM1" s="252"/>
      <c r="WPN1" s="253"/>
      <c r="WPO1" s="253"/>
      <c r="WPP1" s="253"/>
      <c r="WPQ1" s="252"/>
      <c r="WPR1" s="253"/>
      <c r="WPS1" s="253"/>
      <c r="WPT1" s="253"/>
      <c r="WPU1" s="252"/>
      <c r="WPV1" s="253"/>
      <c r="WPW1" s="253"/>
      <c r="WPX1" s="253"/>
      <c r="WPY1" s="252"/>
      <c r="WPZ1" s="253"/>
      <c r="WQA1" s="253"/>
      <c r="WQB1" s="253"/>
      <c r="WQC1" s="252"/>
      <c r="WQD1" s="253"/>
      <c r="WQE1" s="253"/>
      <c r="WQF1" s="253"/>
      <c r="WQG1" s="252"/>
      <c r="WQH1" s="253"/>
      <c r="WQI1" s="253"/>
      <c r="WQJ1" s="253"/>
      <c r="WQK1" s="252"/>
      <c r="WQL1" s="253"/>
      <c r="WQM1" s="253"/>
      <c r="WQN1" s="253"/>
      <c r="WQO1" s="252"/>
      <c r="WQP1" s="253"/>
      <c r="WQQ1" s="253"/>
      <c r="WQR1" s="253"/>
      <c r="WQS1" s="252"/>
      <c r="WQT1" s="253"/>
      <c r="WQU1" s="253"/>
      <c r="WQV1" s="253"/>
      <c r="WQW1" s="252"/>
      <c r="WQX1" s="253"/>
      <c r="WQY1" s="253"/>
      <c r="WQZ1" s="253"/>
      <c r="WRA1" s="252"/>
      <c r="WRB1" s="253"/>
      <c r="WRC1" s="253"/>
      <c r="WRD1" s="253"/>
      <c r="WRE1" s="252"/>
      <c r="WRF1" s="253"/>
      <c r="WRG1" s="253"/>
      <c r="WRH1" s="253"/>
      <c r="WRI1" s="252"/>
      <c r="WRJ1" s="253"/>
      <c r="WRK1" s="253"/>
      <c r="WRL1" s="253"/>
      <c r="WRM1" s="252"/>
      <c r="WRN1" s="253"/>
      <c r="WRO1" s="253"/>
      <c r="WRP1" s="253"/>
      <c r="WRQ1" s="252"/>
      <c r="WRR1" s="253"/>
      <c r="WRS1" s="253"/>
      <c r="WRT1" s="253"/>
      <c r="WRU1" s="252"/>
      <c r="WRV1" s="253"/>
      <c r="WRW1" s="253"/>
      <c r="WRX1" s="253"/>
      <c r="WRY1" s="252"/>
      <c r="WRZ1" s="253"/>
      <c r="WSA1" s="253"/>
      <c r="WSB1" s="253"/>
      <c r="WSC1" s="252"/>
      <c r="WSD1" s="253"/>
      <c r="WSE1" s="253"/>
      <c r="WSF1" s="253"/>
      <c r="WSG1" s="252"/>
      <c r="WSH1" s="253"/>
      <c r="WSI1" s="253"/>
      <c r="WSJ1" s="253"/>
      <c r="WSK1" s="252"/>
      <c r="WSL1" s="253"/>
      <c r="WSM1" s="253"/>
      <c r="WSN1" s="253"/>
      <c r="WSO1" s="252"/>
      <c r="WSP1" s="253"/>
      <c r="WSQ1" s="253"/>
      <c r="WSR1" s="253"/>
      <c r="WSS1" s="252"/>
      <c r="WST1" s="253"/>
      <c r="WSU1" s="253"/>
      <c r="WSV1" s="253"/>
      <c r="WSW1" s="252"/>
      <c r="WSX1" s="253"/>
      <c r="WSY1" s="253"/>
      <c r="WSZ1" s="253"/>
      <c r="WTA1" s="252"/>
      <c r="WTB1" s="253"/>
      <c r="WTC1" s="253"/>
      <c r="WTD1" s="253"/>
      <c r="WTE1" s="252"/>
      <c r="WTF1" s="253"/>
      <c r="WTG1" s="253"/>
      <c r="WTH1" s="253"/>
      <c r="WTI1" s="252"/>
      <c r="WTJ1" s="253"/>
      <c r="WTK1" s="253"/>
      <c r="WTL1" s="253"/>
      <c r="WTM1" s="252"/>
      <c r="WTN1" s="253"/>
      <c r="WTO1" s="253"/>
      <c r="WTP1" s="253"/>
      <c r="WTQ1" s="252"/>
      <c r="WTR1" s="253"/>
      <c r="WTS1" s="253"/>
      <c r="WTT1" s="253"/>
      <c r="WTU1" s="252"/>
      <c r="WTV1" s="253"/>
      <c r="WTW1" s="253"/>
      <c r="WTX1" s="253"/>
      <c r="WTY1" s="252"/>
      <c r="WTZ1" s="253"/>
      <c r="WUA1" s="253"/>
      <c r="WUB1" s="253"/>
      <c r="WUC1" s="252"/>
      <c r="WUD1" s="253"/>
      <c r="WUE1" s="253"/>
      <c r="WUF1" s="253"/>
      <c r="WUG1" s="252"/>
      <c r="WUH1" s="253"/>
      <c r="WUI1" s="253"/>
      <c r="WUJ1" s="253"/>
      <c r="WUK1" s="252"/>
      <c r="WUL1" s="253"/>
      <c r="WUM1" s="253"/>
      <c r="WUN1" s="253"/>
      <c r="WUO1" s="252"/>
      <c r="WUP1" s="253"/>
      <c r="WUQ1" s="253"/>
      <c r="WUR1" s="253"/>
      <c r="WUS1" s="252"/>
      <c r="WUT1" s="253"/>
      <c r="WUU1" s="253"/>
      <c r="WUV1" s="253"/>
      <c r="WUW1" s="252"/>
      <c r="WUX1" s="253"/>
      <c r="WUY1" s="253"/>
      <c r="WUZ1" s="253"/>
      <c r="WVA1" s="252"/>
      <c r="WVB1" s="253"/>
      <c r="WVC1" s="253"/>
      <c r="WVD1" s="253"/>
      <c r="WVE1" s="252"/>
      <c r="WVF1" s="253"/>
      <c r="WVG1" s="253"/>
      <c r="WVH1" s="253"/>
      <c r="WVI1" s="252"/>
      <c r="WVJ1" s="253"/>
      <c r="WVK1" s="253"/>
      <c r="WVL1" s="253"/>
      <c r="WVM1" s="252"/>
      <c r="WVN1" s="253"/>
      <c r="WVO1" s="253"/>
      <c r="WVP1" s="253"/>
      <c r="WVQ1" s="252"/>
      <c r="WVR1" s="253"/>
      <c r="WVS1" s="253"/>
      <c r="WVT1" s="253"/>
      <c r="WVU1" s="252"/>
      <c r="WVV1" s="253"/>
      <c r="WVW1" s="253"/>
      <c r="WVX1" s="253"/>
      <c r="WVY1" s="252"/>
      <c r="WVZ1" s="253"/>
      <c r="WWA1" s="253"/>
      <c r="WWB1" s="253"/>
      <c r="WWC1" s="252"/>
      <c r="WWD1" s="253"/>
      <c r="WWE1" s="253"/>
      <c r="WWF1" s="253"/>
      <c r="WWG1" s="252"/>
      <c r="WWH1" s="253"/>
      <c r="WWI1" s="253"/>
      <c r="WWJ1" s="253"/>
      <c r="WWK1" s="252"/>
      <c r="WWL1" s="253"/>
      <c r="WWM1" s="253"/>
      <c r="WWN1" s="253"/>
      <c r="WWO1" s="252"/>
      <c r="WWP1" s="253"/>
      <c r="WWQ1" s="253"/>
      <c r="WWR1" s="253"/>
      <c r="WWS1" s="252"/>
      <c r="WWT1" s="253"/>
      <c r="WWU1" s="253"/>
      <c r="WWV1" s="253"/>
      <c r="WWW1" s="252"/>
      <c r="WWX1" s="253"/>
      <c r="WWY1" s="253"/>
      <c r="WWZ1" s="253"/>
      <c r="WXA1" s="252"/>
      <c r="WXB1" s="253"/>
      <c r="WXC1" s="253"/>
      <c r="WXD1" s="253"/>
      <c r="WXE1" s="252"/>
      <c r="WXF1" s="253"/>
      <c r="WXG1" s="253"/>
      <c r="WXH1" s="253"/>
      <c r="WXI1" s="252"/>
      <c r="WXJ1" s="253"/>
      <c r="WXK1" s="253"/>
      <c r="WXL1" s="253"/>
      <c r="WXM1" s="252"/>
      <c r="WXN1" s="253"/>
      <c r="WXO1" s="253"/>
      <c r="WXP1" s="253"/>
      <c r="WXQ1" s="252"/>
      <c r="WXR1" s="253"/>
      <c r="WXS1" s="253"/>
      <c r="WXT1" s="253"/>
      <c r="WXU1" s="252"/>
      <c r="WXV1" s="253"/>
      <c r="WXW1" s="253"/>
      <c r="WXX1" s="253"/>
      <c r="WXY1" s="252"/>
      <c r="WXZ1" s="253"/>
      <c r="WYA1" s="253"/>
      <c r="WYB1" s="253"/>
      <c r="WYC1" s="252"/>
      <c r="WYD1" s="253"/>
      <c r="WYE1" s="253"/>
      <c r="WYF1" s="253"/>
      <c r="WYG1" s="252"/>
      <c r="WYH1" s="253"/>
      <c r="WYI1" s="253"/>
      <c r="WYJ1" s="253"/>
      <c r="WYK1" s="252"/>
      <c r="WYL1" s="253"/>
      <c r="WYM1" s="253"/>
      <c r="WYN1" s="253"/>
      <c r="WYO1" s="252"/>
      <c r="WYP1" s="253"/>
      <c r="WYQ1" s="253"/>
      <c r="WYR1" s="253"/>
      <c r="WYS1" s="252"/>
      <c r="WYT1" s="253"/>
      <c r="WYU1" s="253"/>
      <c r="WYV1" s="253"/>
      <c r="WYW1" s="252"/>
      <c r="WYX1" s="253"/>
      <c r="WYY1" s="253"/>
      <c r="WYZ1" s="253"/>
      <c r="WZA1" s="252"/>
      <c r="WZB1" s="253"/>
      <c r="WZC1" s="253"/>
      <c r="WZD1" s="253"/>
      <c r="WZE1" s="252"/>
      <c r="WZF1" s="253"/>
      <c r="WZG1" s="253"/>
      <c r="WZH1" s="253"/>
      <c r="WZI1" s="252"/>
      <c r="WZJ1" s="253"/>
      <c r="WZK1" s="253"/>
      <c r="WZL1" s="253"/>
      <c r="WZM1" s="252"/>
      <c r="WZN1" s="253"/>
      <c r="WZO1" s="253"/>
      <c r="WZP1" s="253"/>
      <c r="WZQ1" s="252"/>
      <c r="WZR1" s="253"/>
      <c r="WZS1" s="253"/>
      <c r="WZT1" s="253"/>
      <c r="WZU1" s="252"/>
      <c r="WZV1" s="253"/>
      <c r="WZW1" s="253"/>
      <c r="WZX1" s="253"/>
      <c r="WZY1" s="252"/>
      <c r="WZZ1" s="253"/>
      <c r="XAA1" s="253"/>
      <c r="XAB1" s="253"/>
      <c r="XAC1" s="252"/>
      <c r="XAD1" s="253"/>
      <c r="XAE1" s="253"/>
      <c r="XAF1" s="253"/>
      <c r="XAG1" s="252"/>
      <c r="XAH1" s="253"/>
      <c r="XAI1" s="253"/>
      <c r="XAJ1" s="253"/>
      <c r="XAK1" s="252"/>
      <c r="XAL1" s="253"/>
      <c r="XAM1" s="253"/>
      <c r="XAN1" s="253"/>
      <c r="XAO1" s="252"/>
      <c r="XAP1" s="253"/>
      <c r="XAQ1" s="253"/>
      <c r="XAR1" s="253"/>
      <c r="XAS1" s="252"/>
      <c r="XAT1" s="253"/>
      <c r="XAU1" s="253"/>
      <c r="XAV1" s="253"/>
      <c r="XAW1" s="252"/>
      <c r="XAX1" s="253"/>
      <c r="XAY1" s="253"/>
      <c r="XAZ1" s="253"/>
      <c r="XBA1" s="252"/>
      <c r="XBB1" s="253"/>
      <c r="XBC1" s="253"/>
      <c r="XBD1" s="253"/>
      <c r="XBE1" s="252"/>
      <c r="XBF1" s="253"/>
      <c r="XBG1" s="253"/>
      <c r="XBH1" s="253"/>
      <c r="XBI1" s="252"/>
      <c r="XBJ1" s="253"/>
      <c r="XBK1" s="253"/>
      <c r="XBL1" s="253"/>
      <c r="XBM1" s="252"/>
      <c r="XBN1" s="253"/>
      <c r="XBO1" s="253"/>
      <c r="XBP1" s="253"/>
      <c r="XBQ1" s="252"/>
      <c r="XBR1" s="253"/>
      <c r="XBS1" s="253"/>
      <c r="XBT1" s="253"/>
      <c r="XBU1" s="252"/>
      <c r="XBV1" s="253"/>
      <c r="XBW1" s="253"/>
      <c r="XBX1" s="253"/>
      <c r="XBY1" s="252"/>
      <c r="XBZ1" s="253"/>
      <c r="XCA1" s="253"/>
      <c r="XCB1" s="253"/>
      <c r="XCC1" s="252"/>
      <c r="XCD1" s="253"/>
      <c r="XCE1" s="253"/>
      <c r="XCF1" s="253"/>
      <c r="XCG1" s="252"/>
      <c r="XCH1" s="253"/>
      <c r="XCI1" s="253"/>
      <c r="XCJ1" s="253"/>
      <c r="XCK1" s="252"/>
      <c r="XCL1" s="253"/>
      <c r="XCM1" s="253"/>
      <c r="XCN1" s="253"/>
      <c r="XCO1" s="252"/>
      <c r="XCP1" s="253"/>
      <c r="XCQ1" s="253"/>
      <c r="XCR1" s="253"/>
      <c r="XCS1" s="252"/>
      <c r="XCT1" s="253"/>
      <c r="XCU1" s="253"/>
      <c r="XCV1" s="253"/>
      <c r="XCW1" s="252"/>
      <c r="XCX1" s="253"/>
      <c r="XCY1" s="253"/>
      <c r="XCZ1" s="253"/>
      <c r="XDA1" s="252"/>
      <c r="XDB1" s="253"/>
      <c r="XDC1" s="253"/>
      <c r="XDD1" s="253"/>
      <c r="XDE1" s="252"/>
      <c r="XDF1" s="253"/>
      <c r="XDG1" s="253"/>
      <c r="XDH1" s="253"/>
      <c r="XDI1" s="252"/>
      <c r="XDJ1" s="253"/>
      <c r="XDK1" s="253"/>
      <c r="XDL1" s="253"/>
      <c r="XDM1" s="252"/>
      <c r="XDN1" s="253"/>
      <c r="XDO1" s="253"/>
      <c r="XDP1" s="253"/>
      <c r="XDQ1" s="252"/>
      <c r="XDR1" s="253"/>
      <c r="XDS1" s="253"/>
      <c r="XDT1" s="253"/>
      <c r="XDU1" s="252"/>
      <c r="XDV1" s="253"/>
      <c r="XDW1" s="253"/>
      <c r="XDX1" s="253"/>
      <c r="XDY1" s="252"/>
      <c r="XDZ1" s="253"/>
      <c r="XEA1" s="253"/>
      <c r="XEB1" s="253"/>
      <c r="XEC1" s="252"/>
      <c r="XED1" s="253"/>
      <c r="XEE1" s="253"/>
      <c r="XEF1" s="253"/>
      <c r="XEG1" s="252"/>
      <c r="XEH1" s="253"/>
      <c r="XEI1" s="253"/>
      <c r="XEJ1" s="253"/>
      <c r="XEK1" s="252"/>
      <c r="XEL1" s="253"/>
      <c r="XEM1" s="253"/>
      <c r="XEN1" s="253"/>
      <c r="XEO1" s="252"/>
      <c r="XEP1" s="253"/>
      <c r="XEQ1" s="253"/>
      <c r="XER1" s="253"/>
      <c r="XES1" s="252"/>
      <c r="XET1" s="253"/>
      <c r="XEU1" s="253"/>
      <c r="XEV1" s="253"/>
      <c r="XEW1" s="252"/>
      <c r="XEX1" s="253"/>
      <c r="XEY1" s="253"/>
      <c r="XEZ1" s="253"/>
      <c r="XFA1" s="252"/>
      <c r="XFB1" s="253"/>
      <c r="XFC1" s="253"/>
      <c r="XFD1" s="253"/>
    </row>
    <row r="2" spans="1:16384" ht="15.6" x14ac:dyDescent="0.3">
      <c r="B2" s="254" t="s">
        <v>186</v>
      </c>
      <c r="C2" s="254"/>
      <c r="D2" s="254"/>
    </row>
    <row r="3" spans="1:16384" ht="47.1" customHeight="1" x14ac:dyDescent="0.3">
      <c r="B3" s="251" t="s">
        <v>187</v>
      </c>
      <c r="C3" s="251"/>
      <c r="D3" s="251"/>
    </row>
    <row r="4" spans="1:16384" ht="15.6" x14ac:dyDescent="0.3">
      <c r="C4" s="185"/>
    </row>
    <row r="5" spans="1:16384" x14ac:dyDescent="0.3">
      <c r="B5" s="187" t="s">
        <v>147</v>
      </c>
      <c r="C5" s="249" t="s">
        <v>188</v>
      </c>
      <c r="D5" s="249"/>
    </row>
    <row r="6" spans="1:16384" x14ac:dyDescent="0.3">
      <c r="C6" s="250" t="s">
        <v>189</v>
      </c>
      <c r="D6" s="250"/>
    </row>
    <row r="7" spans="1:16384" x14ac:dyDescent="0.3">
      <c r="C7" s="188"/>
      <c r="D7" s="189"/>
    </row>
    <row r="8" spans="1:16384" ht="28.8" x14ac:dyDescent="0.3">
      <c r="B8" s="187" t="s">
        <v>190</v>
      </c>
      <c r="C8" s="188" t="s">
        <v>191</v>
      </c>
      <c r="D8" s="189" t="s">
        <v>192</v>
      </c>
    </row>
    <row r="9" spans="1:16384" x14ac:dyDescent="0.3">
      <c r="C9" s="188"/>
      <c r="D9" s="189"/>
    </row>
    <row r="10" spans="1:16384" ht="28.8" x14ac:dyDescent="0.3">
      <c r="B10" s="187" t="s">
        <v>193</v>
      </c>
      <c r="C10" s="188" t="s">
        <v>194</v>
      </c>
      <c r="D10" s="189" t="s">
        <v>195</v>
      </c>
    </row>
    <row r="11" spans="1:16384" x14ac:dyDescent="0.3">
      <c r="C11" s="188"/>
      <c r="D11" s="189"/>
    </row>
    <row r="12" spans="1:16384" x14ac:dyDescent="0.3">
      <c r="B12" s="187" t="s">
        <v>196</v>
      </c>
      <c r="C12" s="188" t="s">
        <v>197</v>
      </c>
      <c r="D12" s="186" t="s">
        <v>198</v>
      </c>
    </row>
    <row r="13" spans="1:16384" x14ac:dyDescent="0.3">
      <c r="C13" s="188" t="s">
        <v>199</v>
      </c>
      <c r="D13" s="186" t="s">
        <v>200</v>
      </c>
    </row>
    <row r="14" spans="1:16384" x14ac:dyDescent="0.3">
      <c r="C14" s="184" t="s">
        <v>201</v>
      </c>
      <c r="D14" s="186" t="s">
        <v>202</v>
      </c>
    </row>
    <row r="15" spans="1:16384" ht="28.8" x14ac:dyDescent="0.3">
      <c r="C15" s="184" t="s">
        <v>203</v>
      </c>
      <c r="D15" s="186" t="s">
        <v>204</v>
      </c>
    </row>
    <row r="16" spans="1:16384" x14ac:dyDescent="0.3">
      <c r="C16" s="184" t="s">
        <v>205</v>
      </c>
    </row>
    <row r="17" spans="2:4" x14ac:dyDescent="0.3">
      <c r="C17" s="184" t="s">
        <v>206</v>
      </c>
    </row>
    <row r="19" spans="2:4" x14ac:dyDescent="0.3">
      <c r="B19" s="187" t="s">
        <v>207</v>
      </c>
      <c r="C19" s="188" t="s">
        <v>208</v>
      </c>
    </row>
    <row r="20" spans="2:4" x14ac:dyDescent="0.3">
      <c r="C20" s="184" t="s">
        <v>209</v>
      </c>
    </row>
    <row r="21" spans="2:4" ht="18" x14ac:dyDescent="0.3">
      <c r="C21" s="190" t="s">
        <v>210</v>
      </c>
      <c r="D21" s="189"/>
    </row>
    <row r="22" spans="2:4" x14ac:dyDescent="0.3">
      <c r="C22" s="184" t="s">
        <v>211</v>
      </c>
    </row>
    <row r="23" spans="2:4" ht="15.6" x14ac:dyDescent="0.3">
      <c r="C23" s="184" t="s">
        <v>212</v>
      </c>
    </row>
    <row r="24" spans="2:4" ht="18" x14ac:dyDescent="0.3">
      <c r="C24" s="184" t="s">
        <v>213</v>
      </c>
      <c r="D24" s="189" t="s">
        <v>214</v>
      </c>
    </row>
    <row r="25" spans="2:4" x14ac:dyDescent="0.3">
      <c r="C25" s="184" t="s">
        <v>215</v>
      </c>
      <c r="D25" s="186" t="s">
        <v>216</v>
      </c>
    </row>
    <row r="26" spans="2:4" x14ac:dyDescent="0.3">
      <c r="C26" s="184" t="s">
        <v>217</v>
      </c>
    </row>
    <row r="28" spans="2:4" ht="18" x14ac:dyDescent="0.3">
      <c r="B28" s="187" t="s">
        <v>53</v>
      </c>
      <c r="C28" s="188" t="s">
        <v>218</v>
      </c>
      <c r="D28" s="188"/>
    </row>
    <row r="29" spans="2:4" ht="15.6" x14ac:dyDescent="0.3">
      <c r="C29" s="184" t="s">
        <v>219</v>
      </c>
    </row>
    <row r="30" spans="2:4" ht="18.600000000000001" x14ac:dyDescent="0.3">
      <c r="C30" s="188" t="s">
        <v>220</v>
      </c>
      <c r="D30" s="189" t="s">
        <v>221</v>
      </c>
    </row>
    <row r="31" spans="2:4" x14ac:dyDescent="0.3">
      <c r="C31" s="184" t="s">
        <v>222</v>
      </c>
      <c r="D31" s="186" t="s">
        <v>223</v>
      </c>
    </row>
    <row r="32" spans="2:4" x14ac:dyDescent="0.3">
      <c r="C32" s="184" t="s">
        <v>224</v>
      </c>
    </row>
    <row r="33" spans="2:4" x14ac:dyDescent="0.3">
      <c r="C33" s="184" t="s">
        <v>225</v>
      </c>
    </row>
    <row r="35" spans="2:4" x14ac:dyDescent="0.3">
      <c r="B35" s="187" t="s">
        <v>226</v>
      </c>
      <c r="C35" s="184" t="s">
        <v>227</v>
      </c>
      <c r="D35" s="189"/>
    </row>
    <row r="37" spans="2:4" x14ac:dyDescent="0.3">
      <c r="B37" s="187" t="s">
        <v>228</v>
      </c>
      <c r="C37" s="188" t="s">
        <v>229</v>
      </c>
      <c r="D37" s="189" t="s">
        <v>229</v>
      </c>
    </row>
    <row r="39" spans="2:4" x14ac:dyDescent="0.3">
      <c r="B39" s="187" t="s">
        <v>143</v>
      </c>
      <c r="C39" s="188" t="s">
        <v>230</v>
      </c>
      <c r="D39" s="189"/>
    </row>
    <row r="40" spans="2:4" x14ac:dyDescent="0.3">
      <c r="C40" s="184" t="s">
        <v>231</v>
      </c>
      <c r="D40" s="186" t="s">
        <v>232</v>
      </c>
    </row>
    <row r="41" spans="2:4" x14ac:dyDescent="0.3">
      <c r="C41" s="184" t="s">
        <v>233</v>
      </c>
      <c r="D41" s="186" t="s">
        <v>234</v>
      </c>
    </row>
    <row r="42" spans="2:4" x14ac:dyDescent="0.3">
      <c r="C42" s="184" t="s">
        <v>235</v>
      </c>
      <c r="D42" s="186" t="s">
        <v>236</v>
      </c>
    </row>
    <row r="44" spans="2:4" x14ac:dyDescent="0.3">
      <c r="B44" s="187" t="s">
        <v>237</v>
      </c>
      <c r="C44" s="184" t="s">
        <v>238</v>
      </c>
    </row>
    <row r="45" spans="2:4" x14ac:dyDescent="0.3">
      <c r="B45" s="187"/>
    </row>
    <row r="46" spans="2:4" x14ac:dyDescent="0.3">
      <c r="B46" s="191" t="s">
        <v>239</v>
      </c>
      <c r="C46" s="184" t="s">
        <v>240</v>
      </c>
    </row>
    <row r="47" spans="2:4" x14ac:dyDescent="0.3">
      <c r="B47" s="187"/>
    </row>
    <row r="48" spans="2:4" x14ac:dyDescent="0.3">
      <c r="B48" s="187" t="s">
        <v>241</v>
      </c>
      <c r="C48" s="184" t="s">
        <v>242</v>
      </c>
    </row>
    <row r="49" spans="2:4" x14ac:dyDescent="0.3">
      <c r="B49" s="187"/>
    </row>
    <row r="50" spans="2:4" x14ac:dyDescent="0.3">
      <c r="B50" s="191" t="s">
        <v>243</v>
      </c>
      <c r="C50" s="184" t="s">
        <v>244</v>
      </c>
    </row>
    <row r="51" spans="2:4" x14ac:dyDescent="0.3">
      <c r="B51" s="187"/>
    </row>
    <row r="52" spans="2:4" x14ac:dyDescent="0.3">
      <c r="B52" s="187" t="s">
        <v>245</v>
      </c>
      <c r="C52" s="184" t="s">
        <v>246</v>
      </c>
    </row>
    <row r="53" spans="2:4" x14ac:dyDescent="0.3">
      <c r="B53" s="187"/>
    </row>
    <row r="54" spans="2:4" x14ac:dyDescent="0.3">
      <c r="B54" s="187" t="s">
        <v>247</v>
      </c>
      <c r="C54" s="184" t="s">
        <v>248</v>
      </c>
    </row>
    <row r="56" spans="2:4" x14ac:dyDescent="0.3">
      <c r="B56" s="184" t="s">
        <v>249</v>
      </c>
      <c r="C56" s="192" t="s">
        <v>250</v>
      </c>
      <c r="D56" s="193" t="s">
        <v>251</v>
      </c>
    </row>
    <row r="58" spans="2:4" x14ac:dyDescent="0.3">
      <c r="B58" s="194" t="s">
        <v>252</v>
      </c>
    </row>
    <row r="59" spans="2:4" x14ac:dyDescent="0.3">
      <c r="B59" s="195" t="s">
        <v>253</v>
      </c>
      <c r="C59" s="195" t="s">
        <v>254</v>
      </c>
      <c r="D59" s="196" t="s">
        <v>255</v>
      </c>
    </row>
    <row r="60" spans="2:4" x14ac:dyDescent="0.3">
      <c r="B60" s="195" t="s">
        <v>256</v>
      </c>
      <c r="C60" s="195" t="s">
        <v>257</v>
      </c>
      <c r="D60" s="196" t="s">
        <v>258</v>
      </c>
    </row>
    <row r="61" spans="2:4" ht="57.6" x14ac:dyDescent="0.3">
      <c r="B61" s="195" t="s">
        <v>259</v>
      </c>
      <c r="C61" s="195" t="s">
        <v>228</v>
      </c>
      <c r="D61" s="196" t="s">
        <v>260</v>
      </c>
    </row>
    <row r="62" spans="2:4" ht="28.8" x14ac:dyDescent="0.3">
      <c r="B62" s="195" t="s">
        <v>261</v>
      </c>
      <c r="C62" s="195" t="s">
        <v>262</v>
      </c>
      <c r="D62" s="196" t="s">
        <v>263</v>
      </c>
    </row>
    <row r="63" spans="2:4" ht="28.8" x14ac:dyDescent="0.3">
      <c r="B63" s="195" t="s">
        <v>264</v>
      </c>
      <c r="C63" s="195" t="s">
        <v>53</v>
      </c>
      <c r="D63" s="196" t="s">
        <v>265</v>
      </c>
    </row>
    <row r="64" spans="2:4" ht="28.8" x14ac:dyDescent="0.3">
      <c r="B64" s="195" t="s">
        <v>266</v>
      </c>
      <c r="C64" s="195" t="s">
        <v>196</v>
      </c>
      <c r="D64" s="196" t="s">
        <v>267</v>
      </c>
    </row>
    <row r="65" spans="2:5" x14ac:dyDescent="0.3">
      <c r="B65" s="195" t="s">
        <v>268</v>
      </c>
      <c r="C65" s="195" t="s">
        <v>269</v>
      </c>
      <c r="D65" s="196" t="s">
        <v>270</v>
      </c>
    </row>
    <row r="66" spans="2:5" ht="28.8" x14ac:dyDescent="0.3">
      <c r="B66" s="195" t="s">
        <v>271</v>
      </c>
      <c r="C66" s="195" t="s">
        <v>272</v>
      </c>
      <c r="D66" s="196" t="s">
        <v>273</v>
      </c>
    </row>
    <row r="67" spans="2:5" ht="27" x14ac:dyDescent="0.3">
      <c r="B67" s="195" t="s">
        <v>274</v>
      </c>
      <c r="C67" s="195" t="s">
        <v>275</v>
      </c>
      <c r="D67" s="197" t="s">
        <v>276</v>
      </c>
      <c r="E67" s="198"/>
    </row>
    <row r="68" spans="2:5" x14ac:dyDescent="0.3">
      <c r="B68" s="195" t="s">
        <v>277</v>
      </c>
      <c r="C68" s="195" t="s">
        <v>162</v>
      </c>
      <c r="D68" s="196" t="s">
        <v>278</v>
      </c>
    </row>
    <row r="69" spans="2:5" x14ac:dyDescent="0.3">
      <c r="B69" s="195" t="s">
        <v>279</v>
      </c>
      <c r="C69" s="195" t="s">
        <v>280</v>
      </c>
      <c r="D69" s="196" t="s">
        <v>281</v>
      </c>
      <c r="E69" s="198"/>
    </row>
    <row r="70" spans="2:5" x14ac:dyDescent="0.3">
      <c r="B70" s="195" t="s">
        <v>282</v>
      </c>
      <c r="C70" s="195" t="s">
        <v>283</v>
      </c>
      <c r="D70" s="196" t="s">
        <v>284</v>
      </c>
      <c r="E70" s="4"/>
    </row>
    <row r="71" spans="2:5" ht="28.8" x14ac:dyDescent="0.3">
      <c r="B71" s="195" t="s">
        <v>285</v>
      </c>
      <c r="C71" s="195" t="s">
        <v>286</v>
      </c>
      <c r="D71" s="196" t="s">
        <v>287</v>
      </c>
    </row>
    <row r="72" spans="2:5" x14ac:dyDescent="0.3">
      <c r="B72" s="195" t="s">
        <v>247</v>
      </c>
      <c r="C72" s="195" t="s">
        <v>288</v>
      </c>
      <c r="D72" s="196" t="s">
        <v>289</v>
      </c>
    </row>
    <row r="73" spans="2:5" ht="28.8" x14ac:dyDescent="0.3">
      <c r="B73" s="195" t="s">
        <v>290</v>
      </c>
      <c r="C73" s="195" t="s">
        <v>143</v>
      </c>
      <c r="D73" s="196" t="s">
        <v>291</v>
      </c>
    </row>
    <row r="74" spans="2:5" ht="43.2" x14ac:dyDescent="0.3">
      <c r="B74" s="195" t="s">
        <v>231</v>
      </c>
      <c r="C74" s="195" t="s">
        <v>292</v>
      </c>
      <c r="D74" s="196" t="s">
        <v>293</v>
      </c>
    </row>
    <row r="75" spans="2:5" x14ac:dyDescent="0.3">
      <c r="B75" s="195" t="s">
        <v>294</v>
      </c>
      <c r="C75" s="195" t="s">
        <v>41</v>
      </c>
      <c r="D75" s="196" t="s">
        <v>295</v>
      </c>
    </row>
    <row r="76" spans="2:5" ht="43.2" x14ac:dyDescent="0.3">
      <c r="B76" s="195" t="s">
        <v>296</v>
      </c>
      <c r="C76" s="195" t="s">
        <v>297</v>
      </c>
      <c r="D76" s="196" t="s">
        <v>298</v>
      </c>
    </row>
    <row r="77" spans="2:5" x14ac:dyDescent="0.3">
      <c r="B77" s="195" t="s">
        <v>299</v>
      </c>
      <c r="C77" s="195" t="s">
        <v>300</v>
      </c>
      <c r="D77" s="196" t="s">
        <v>301</v>
      </c>
    </row>
    <row r="78" spans="2:5" x14ac:dyDescent="0.3">
      <c r="B78" s="195" t="s">
        <v>302</v>
      </c>
      <c r="C78" s="195" t="s">
        <v>303</v>
      </c>
      <c r="D78" s="196" t="s">
        <v>304</v>
      </c>
    </row>
    <row r="79" spans="2:5" x14ac:dyDescent="0.3">
      <c r="B79" s="195" t="s">
        <v>305</v>
      </c>
      <c r="C79" s="195" t="s">
        <v>306</v>
      </c>
      <c r="D79" s="196" t="s">
        <v>307</v>
      </c>
    </row>
    <row r="80" spans="2:5" ht="43.2" x14ac:dyDescent="0.3">
      <c r="B80" s="195" t="s">
        <v>308</v>
      </c>
      <c r="C80" s="195" t="s">
        <v>309</v>
      </c>
      <c r="D80" s="196" t="s">
        <v>310</v>
      </c>
    </row>
    <row r="81" spans="2:4" x14ac:dyDescent="0.3">
      <c r="B81" s="195" t="s">
        <v>311</v>
      </c>
      <c r="C81" s="195" t="s">
        <v>312</v>
      </c>
      <c r="D81" s="196" t="s">
        <v>313</v>
      </c>
    </row>
    <row r="82" spans="2:4" ht="28.8" x14ac:dyDescent="0.3">
      <c r="B82" s="195" t="s">
        <v>314</v>
      </c>
      <c r="C82" s="195" t="s">
        <v>236</v>
      </c>
      <c r="D82" s="196" t="s">
        <v>315</v>
      </c>
    </row>
    <row r="83" spans="2:4" ht="28.8" x14ac:dyDescent="0.3">
      <c r="B83" s="195" t="s">
        <v>316</v>
      </c>
      <c r="C83" s="195" t="s">
        <v>317</v>
      </c>
      <c r="D83" s="196" t="s">
        <v>318</v>
      </c>
    </row>
    <row r="84" spans="2:4" x14ac:dyDescent="0.3">
      <c r="B84" s="195" t="s">
        <v>319</v>
      </c>
      <c r="C84" s="195" t="s">
        <v>320</v>
      </c>
      <c r="D84" s="196" t="s">
        <v>321</v>
      </c>
    </row>
    <row r="85" spans="2:4" ht="28.8" x14ac:dyDescent="0.3">
      <c r="B85" s="195" t="s">
        <v>322</v>
      </c>
      <c r="C85" s="195" t="s">
        <v>323</v>
      </c>
      <c r="D85" s="196" t="s">
        <v>324</v>
      </c>
    </row>
    <row r="86" spans="2:4" ht="28.8" x14ac:dyDescent="0.3">
      <c r="B86" s="195" t="s">
        <v>233</v>
      </c>
      <c r="C86" s="195" t="s">
        <v>325</v>
      </c>
      <c r="D86" s="196" t="s">
        <v>326</v>
      </c>
    </row>
    <row r="87" spans="2:4" x14ac:dyDescent="0.3">
      <c r="B87" s="195" t="s">
        <v>327</v>
      </c>
      <c r="C87" s="195" t="s">
        <v>328</v>
      </c>
      <c r="D87" s="196" t="s">
        <v>329</v>
      </c>
    </row>
    <row r="88" spans="2:4" ht="43.2" x14ac:dyDescent="0.3">
      <c r="B88" s="195" t="s">
        <v>330</v>
      </c>
      <c r="C88" s="195" t="s">
        <v>207</v>
      </c>
      <c r="D88" s="196" t="s">
        <v>331</v>
      </c>
    </row>
    <row r="89" spans="2:4" x14ac:dyDescent="0.3">
      <c r="B89" s="199" t="s">
        <v>332</v>
      </c>
      <c r="C89" s="195" t="s">
        <v>54</v>
      </c>
      <c r="D89" s="196" t="s">
        <v>333</v>
      </c>
    </row>
    <row r="90" spans="2:4" ht="28.8" x14ac:dyDescent="0.3">
      <c r="B90" s="195" t="s">
        <v>334</v>
      </c>
      <c r="C90" s="195" t="s">
        <v>335</v>
      </c>
      <c r="D90" s="196" t="s">
        <v>336</v>
      </c>
    </row>
    <row r="91" spans="2:4" x14ac:dyDescent="0.3">
      <c r="B91" s="195" t="s">
        <v>337</v>
      </c>
      <c r="C91" s="195" t="s">
        <v>338</v>
      </c>
      <c r="D91" s="196" t="s">
        <v>339</v>
      </c>
    </row>
    <row r="92" spans="2:4" x14ac:dyDescent="0.3">
      <c r="B92" s="195" t="s">
        <v>340</v>
      </c>
      <c r="C92" s="195" t="s">
        <v>341</v>
      </c>
      <c r="D92" s="196" t="s">
        <v>342</v>
      </c>
    </row>
    <row r="93" spans="2:4" x14ac:dyDescent="0.3">
      <c r="B93" s="195" t="s">
        <v>343</v>
      </c>
      <c r="C93" s="195" t="s">
        <v>142</v>
      </c>
      <c r="D93" s="196" t="s">
        <v>344</v>
      </c>
    </row>
    <row r="94" spans="2:4" ht="28.8" x14ac:dyDescent="0.3">
      <c r="B94" s="195" t="s">
        <v>345</v>
      </c>
      <c r="C94" s="195" t="s">
        <v>346</v>
      </c>
      <c r="D94" s="196" t="s">
        <v>347</v>
      </c>
    </row>
    <row r="95" spans="2:4" x14ac:dyDescent="0.3">
      <c r="B95" s="195" t="s">
        <v>348</v>
      </c>
      <c r="C95" s="195" t="s">
        <v>349</v>
      </c>
      <c r="D95" s="196"/>
    </row>
    <row r="97" spans="2:4" x14ac:dyDescent="0.3">
      <c r="B97" s="200" t="s">
        <v>350</v>
      </c>
    </row>
    <row r="98" spans="2:4" x14ac:dyDescent="0.3">
      <c r="B98" s="184" t="s">
        <v>351</v>
      </c>
      <c r="C98" s="251" t="s">
        <v>352</v>
      </c>
      <c r="D98" s="251"/>
    </row>
    <row r="99" spans="2:4" ht="60" customHeight="1" x14ac:dyDescent="0.3">
      <c r="B99" s="184" t="s">
        <v>353</v>
      </c>
      <c r="C99" s="251" t="s">
        <v>354</v>
      </c>
      <c r="D99" s="251"/>
    </row>
    <row r="100" spans="2:4" x14ac:dyDescent="0.3">
      <c r="B100" s="184" t="s">
        <v>355</v>
      </c>
    </row>
    <row r="102" spans="2:4" x14ac:dyDescent="0.3">
      <c r="B102" s="184" t="s">
        <v>356</v>
      </c>
      <c r="C102" s="184">
        <v>1.0181197656775798</v>
      </c>
    </row>
  </sheetData>
  <mergeCells count="4102">
    <mergeCell ref="AW1:AZ1"/>
    <mergeCell ref="BA1:BD1"/>
    <mergeCell ref="BE1:BH1"/>
    <mergeCell ref="BI1:BL1"/>
    <mergeCell ref="BM1:BP1"/>
    <mergeCell ref="BQ1:BT1"/>
    <mergeCell ref="Y1:AB1"/>
    <mergeCell ref="AC1:AF1"/>
    <mergeCell ref="AG1:AJ1"/>
    <mergeCell ref="AK1:AN1"/>
    <mergeCell ref="AO1:AR1"/>
    <mergeCell ref="AS1:AV1"/>
    <mergeCell ref="A1:D1"/>
    <mergeCell ref="E1:H1"/>
    <mergeCell ref="I1:L1"/>
    <mergeCell ref="M1:P1"/>
    <mergeCell ref="Q1:T1"/>
    <mergeCell ref="U1:X1"/>
    <mergeCell ref="DQ1:DT1"/>
    <mergeCell ref="DU1:DX1"/>
    <mergeCell ref="DY1:EB1"/>
    <mergeCell ref="EC1:EF1"/>
    <mergeCell ref="EG1:EJ1"/>
    <mergeCell ref="EK1:EN1"/>
    <mergeCell ref="CS1:CV1"/>
    <mergeCell ref="CW1:CZ1"/>
    <mergeCell ref="DA1:DD1"/>
    <mergeCell ref="DE1:DH1"/>
    <mergeCell ref="DI1:DL1"/>
    <mergeCell ref="DM1:DP1"/>
    <mergeCell ref="BU1:BX1"/>
    <mergeCell ref="BY1:CB1"/>
    <mergeCell ref="CC1:CF1"/>
    <mergeCell ref="CG1:CJ1"/>
    <mergeCell ref="CK1:CN1"/>
    <mergeCell ref="CO1:CR1"/>
    <mergeCell ref="GK1:GN1"/>
    <mergeCell ref="GO1:GR1"/>
    <mergeCell ref="GS1:GV1"/>
    <mergeCell ref="GW1:GZ1"/>
    <mergeCell ref="HA1:HD1"/>
    <mergeCell ref="HE1:HH1"/>
    <mergeCell ref="FM1:FP1"/>
    <mergeCell ref="FQ1:FT1"/>
    <mergeCell ref="FU1:FX1"/>
    <mergeCell ref="FY1:GB1"/>
    <mergeCell ref="GC1:GF1"/>
    <mergeCell ref="GG1:GJ1"/>
    <mergeCell ref="EO1:ER1"/>
    <mergeCell ref="ES1:EV1"/>
    <mergeCell ref="EW1:EZ1"/>
    <mergeCell ref="FA1:FD1"/>
    <mergeCell ref="FE1:FH1"/>
    <mergeCell ref="FI1:FL1"/>
    <mergeCell ref="JE1:JH1"/>
    <mergeCell ref="JI1:JL1"/>
    <mergeCell ref="JM1:JP1"/>
    <mergeCell ref="JQ1:JT1"/>
    <mergeCell ref="JU1:JX1"/>
    <mergeCell ref="JY1:KB1"/>
    <mergeCell ref="IG1:IJ1"/>
    <mergeCell ref="IK1:IN1"/>
    <mergeCell ref="IO1:IR1"/>
    <mergeCell ref="IS1:IV1"/>
    <mergeCell ref="IW1:IZ1"/>
    <mergeCell ref="JA1:JD1"/>
    <mergeCell ref="HI1:HL1"/>
    <mergeCell ref="HM1:HP1"/>
    <mergeCell ref="HQ1:HT1"/>
    <mergeCell ref="HU1:HX1"/>
    <mergeCell ref="HY1:IB1"/>
    <mergeCell ref="IC1:IF1"/>
    <mergeCell ref="LY1:MB1"/>
    <mergeCell ref="MC1:MF1"/>
    <mergeCell ref="MG1:MJ1"/>
    <mergeCell ref="MK1:MN1"/>
    <mergeCell ref="MO1:MR1"/>
    <mergeCell ref="MS1:MV1"/>
    <mergeCell ref="LA1:LD1"/>
    <mergeCell ref="LE1:LH1"/>
    <mergeCell ref="LI1:LL1"/>
    <mergeCell ref="LM1:LP1"/>
    <mergeCell ref="LQ1:LT1"/>
    <mergeCell ref="LU1:LX1"/>
    <mergeCell ref="KC1:KF1"/>
    <mergeCell ref="KG1:KJ1"/>
    <mergeCell ref="KK1:KN1"/>
    <mergeCell ref="KO1:KR1"/>
    <mergeCell ref="KS1:KV1"/>
    <mergeCell ref="KW1:KZ1"/>
    <mergeCell ref="OS1:OV1"/>
    <mergeCell ref="OW1:OZ1"/>
    <mergeCell ref="PA1:PD1"/>
    <mergeCell ref="PE1:PH1"/>
    <mergeCell ref="PI1:PL1"/>
    <mergeCell ref="PM1:PP1"/>
    <mergeCell ref="NU1:NX1"/>
    <mergeCell ref="NY1:OB1"/>
    <mergeCell ref="OC1:OF1"/>
    <mergeCell ref="OG1:OJ1"/>
    <mergeCell ref="OK1:ON1"/>
    <mergeCell ref="OO1:OR1"/>
    <mergeCell ref="MW1:MZ1"/>
    <mergeCell ref="NA1:ND1"/>
    <mergeCell ref="NE1:NH1"/>
    <mergeCell ref="NI1:NL1"/>
    <mergeCell ref="NM1:NP1"/>
    <mergeCell ref="NQ1:NT1"/>
    <mergeCell ref="RM1:RP1"/>
    <mergeCell ref="RQ1:RT1"/>
    <mergeCell ref="RU1:RX1"/>
    <mergeCell ref="RY1:SB1"/>
    <mergeCell ref="SC1:SF1"/>
    <mergeCell ref="SG1:SJ1"/>
    <mergeCell ref="QO1:QR1"/>
    <mergeCell ref="QS1:QV1"/>
    <mergeCell ref="QW1:QZ1"/>
    <mergeCell ref="RA1:RD1"/>
    <mergeCell ref="RE1:RH1"/>
    <mergeCell ref="RI1:RL1"/>
    <mergeCell ref="PQ1:PT1"/>
    <mergeCell ref="PU1:PX1"/>
    <mergeCell ref="PY1:QB1"/>
    <mergeCell ref="QC1:QF1"/>
    <mergeCell ref="QG1:QJ1"/>
    <mergeCell ref="QK1:QN1"/>
    <mergeCell ref="UG1:UJ1"/>
    <mergeCell ref="UK1:UN1"/>
    <mergeCell ref="UO1:UR1"/>
    <mergeCell ref="US1:UV1"/>
    <mergeCell ref="UW1:UZ1"/>
    <mergeCell ref="VA1:VD1"/>
    <mergeCell ref="TI1:TL1"/>
    <mergeCell ref="TM1:TP1"/>
    <mergeCell ref="TQ1:TT1"/>
    <mergeCell ref="TU1:TX1"/>
    <mergeCell ref="TY1:UB1"/>
    <mergeCell ref="UC1:UF1"/>
    <mergeCell ref="SK1:SN1"/>
    <mergeCell ref="SO1:SR1"/>
    <mergeCell ref="SS1:SV1"/>
    <mergeCell ref="SW1:SZ1"/>
    <mergeCell ref="TA1:TD1"/>
    <mergeCell ref="TE1:TH1"/>
    <mergeCell ref="XA1:XD1"/>
    <mergeCell ref="XE1:XH1"/>
    <mergeCell ref="XI1:XL1"/>
    <mergeCell ref="XM1:XP1"/>
    <mergeCell ref="XQ1:XT1"/>
    <mergeCell ref="XU1:XX1"/>
    <mergeCell ref="WC1:WF1"/>
    <mergeCell ref="WG1:WJ1"/>
    <mergeCell ref="WK1:WN1"/>
    <mergeCell ref="WO1:WR1"/>
    <mergeCell ref="WS1:WV1"/>
    <mergeCell ref="WW1:WZ1"/>
    <mergeCell ref="VE1:VH1"/>
    <mergeCell ref="VI1:VL1"/>
    <mergeCell ref="VM1:VP1"/>
    <mergeCell ref="VQ1:VT1"/>
    <mergeCell ref="VU1:VX1"/>
    <mergeCell ref="VY1:WB1"/>
    <mergeCell ref="ZU1:ZX1"/>
    <mergeCell ref="ZY1:AAB1"/>
    <mergeCell ref="AAC1:AAF1"/>
    <mergeCell ref="AAG1:AAJ1"/>
    <mergeCell ref="AAK1:AAN1"/>
    <mergeCell ref="AAO1:AAR1"/>
    <mergeCell ref="YW1:YZ1"/>
    <mergeCell ref="ZA1:ZD1"/>
    <mergeCell ref="ZE1:ZH1"/>
    <mergeCell ref="ZI1:ZL1"/>
    <mergeCell ref="ZM1:ZP1"/>
    <mergeCell ref="ZQ1:ZT1"/>
    <mergeCell ref="XY1:YB1"/>
    <mergeCell ref="YC1:YF1"/>
    <mergeCell ref="YG1:YJ1"/>
    <mergeCell ref="YK1:YN1"/>
    <mergeCell ref="YO1:YR1"/>
    <mergeCell ref="YS1:YV1"/>
    <mergeCell ref="ACO1:ACR1"/>
    <mergeCell ref="ACS1:ACV1"/>
    <mergeCell ref="ACW1:ACZ1"/>
    <mergeCell ref="ADA1:ADD1"/>
    <mergeCell ref="ADE1:ADH1"/>
    <mergeCell ref="ADI1:ADL1"/>
    <mergeCell ref="ABQ1:ABT1"/>
    <mergeCell ref="ABU1:ABX1"/>
    <mergeCell ref="ABY1:ACB1"/>
    <mergeCell ref="ACC1:ACF1"/>
    <mergeCell ref="ACG1:ACJ1"/>
    <mergeCell ref="ACK1:ACN1"/>
    <mergeCell ref="AAS1:AAV1"/>
    <mergeCell ref="AAW1:AAZ1"/>
    <mergeCell ref="ABA1:ABD1"/>
    <mergeCell ref="ABE1:ABH1"/>
    <mergeCell ref="ABI1:ABL1"/>
    <mergeCell ref="ABM1:ABP1"/>
    <mergeCell ref="AFI1:AFL1"/>
    <mergeCell ref="AFM1:AFP1"/>
    <mergeCell ref="AFQ1:AFT1"/>
    <mergeCell ref="AFU1:AFX1"/>
    <mergeCell ref="AFY1:AGB1"/>
    <mergeCell ref="AGC1:AGF1"/>
    <mergeCell ref="AEK1:AEN1"/>
    <mergeCell ref="AEO1:AER1"/>
    <mergeCell ref="AES1:AEV1"/>
    <mergeCell ref="AEW1:AEZ1"/>
    <mergeCell ref="AFA1:AFD1"/>
    <mergeCell ref="AFE1:AFH1"/>
    <mergeCell ref="ADM1:ADP1"/>
    <mergeCell ref="ADQ1:ADT1"/>
    <mergeCell ref="ADU1:ADX1"/>
    <mergeCell ref="ADY1:AEB1"/>
    <mergeCell ref="AEC1:AEF1"/>
    <mergeCell ref="AEG1:AEJ1"/>
    <mergeCell ref="AIC1:AIF1"/>
    <mergeCell ref="AIG1:AIJ1"/>
    <mergeCell ref="AIK1:AIN1"/>
    <mergeCell ref="AIO1:AIR1"/>
    <mergeCell ref="AIS1:AIV1"/>
    <mergeCell ref="AIW1:AIZ1"/>
    <mergeCell ref="AHE1:AHH1"/>
    <mergeCell ref="AHI1:AHL1"/>
    <mergeCell ref="AHM1:AHP1"/>
    <mergeCell ref="AHQ1:AHT1"/>
    <mergeCell ref="AHU1:AHX1"/>
    <mergeCell ref="AHY1:AIB1"/>
    <mergeCell ref="AGG1:AGJ1"/>
    <mergeCell ref="AGK1:AGN1"/>
    <mergeCell ref="AGO1:AGR1"/>
    <mergeCell ref="AGS1:AGV1"/>
    <mergeCell ref="AGW1:AGZ1"/>
    <mergeCell ref="AHA1:AHD1"/>
    <mergeCell ref="AKW1:AKZ1"/>
    <mergeCell ref="ALA1:ALD1"/>
    <mergeCell ref="ALE1:ALH1"/>
    <mergeCell ref="ALI1:ALL1"/>
    <mergeCell ref="ALM1:ALP1"/>
    <mergeCell ref="ALQ1:ALT1"/>
    <mergeCell ref="AJY1:AKB1"/>
    <mergeCell ref="AKC1:AKF1"/>
    <mergeCell ref="AKG1:AKJ1"/>
    <mergeCell ref="AKK1:AKN1"/>
    <mergeCell ref="AKO1:AKR1"/>
    <mergeCell ref="AKS1:AKV1"/>
    <mergeCell ref="AJA1:AJD1"/>
    <mergeCell ref="AJE1:AJH1"/>
    <mergeCell ref="AJI1:AJL1"/>
    <mergeCell ref="AJM1:AJP1"/>
    <mergeCell ref="AJQ1:AJT1"/>
    <mergeCell ref="AJU1:AJX1"/>
    <mergeCell ref="ANQ1:ANT1"/>
    <mergeCell ref="ANU1:ANX1"/>
    <mergeCell ref="ANY1:AOB1"/>
    <mergeCell ref="AOC1:AOF1"/>
    <mergeCell ref="AOG1:AOJ1"/>
    <mergeCell ref="AOK1:AON1"/>
    <mergeCell ref="AMS1:AMV1"/>
    <mergeCell ref="AMW1:AMZ1"/>
    <mergeCell ref="ANA1:AND1"/>
    <mergeCell ref="ANE1:ANH1"/>
    <mergeCell ref="ANI1:ANL1"/>
    <mergeCell ref="ANM1:ANP1"/>
    <mergeCell ref="ALU1:ALX1"/>
    <mergeCell ref="ALY1:AMB1"/>
    <mergeCell ref="AMC1:AMF1"/>
    <mergeCell ref="AMG1:AMJ1"/>
    <mergeCell ref="AMK1:AMN1"/>
    <mergeCell ref="AMO1:AMR1"/>
    <mergeCell ref="AQK1:AQN1"/>
    <mergeCell ref="AQO1:AQR1"/>
    <mergeCell ref="AQS1:AQV1"/>
    <mergeCell ref="AQW1:AQZ1"/>
    <mergeCell ref="ARA1:ARD1"/>
    <mergeCell ref="ARE1:ARH1"/>
    <mergeCell ref="APM1:APP1"/>
    <mergeCell ref="APQ1:APT1"/>
    <mergeCell ref="APU1:APX1"/>
    <mergeCell ref="APY1:AQB1"/>
    <mergeCell ref="AQC1:AQF1"/>
    <mergeCell ref="AQG1:AQJ1"/>
    <mergeCell ref="AOO1:AOR1"/>
    <mergeCell ref="AOS1:AOV1"/>
    <mergeCell ref="AOW1:AOZ1"/>
    <mergeCell ref="APA1:APD1"/>
    <mergeCell ref="APE1:APH1"/>
    <mergeCell ref="API1:APL1"/>
    <mergeCell ref="ATE1:ATH1"/>
    <mergeCell ref="ATI1:ATL1"/>
    <mergeCell ref="ATM1:ATP1"/>
    <mergeCell ref="ATQ1:ATT1"/>
    <mergeCell ref="ATU1:ATX1"/>
    <mergeCell ref="ATY1:AUB1"/>
    <mergeCell ref="ASG1:ASJ1"/>
    <mergeCell ref="ASK1:ASN1"/>
    <mergeCell ref="ASO1:ASR1"/>
    <mergeCell ref="ASS1:ASV1"/>
    <mergeCell ref="ASW1:ASZ1"/>
    <mergeCell ref="ATA1:ATD1"/>
    <mergeCell ref="ARI1:ARL1"/>
    <mergeCell ref="ARM1:ARP1"/>
    <mergeCell ref="ARQ1:ART1"/>
    <mergeCell ref="ARU1:ARX1"/>
    <mergeCell ref="ARY1:ASB1"/>
    <mergeCell ref="ASC1:ASF1"/>
    <mergeCell ref="AVY1:AWB1"/>
    <mergeCell ref="AWC1:AWF1"/>
    <mergeCell ref="AWG1:AWJ1"/>
    <mergeCell ref="AWK1:AWN1"/>
    <mergeCell ref="AWO1:AWR1"/>
    <mergeCell ref="AWS1:AWV1"/>
    <mergeCell ref="AVA1:AVD1"/>
    <mergeCell ref="AVE1:AVH1"/>
    <mergeCell ref="AVI1:AVL1"/>
    <mergeCell ref="AVM1:AVP1"/>
    <mergeCell ref="AVQ1:AVT1"/>
    <mergeCell ref="AVU1:AVX1"/>
    <mergeCell ref="AUC1:AUF1"/>
    <mergeCell ref="AUG1:AUJ1"/>
    <mergeCell ref="AUK1:AUN1"/>
    <mergeCell ref="AUO1:AUR1"/>
    <mergeCell ref="AUS1:AUV1"/>
    <mergeCell ref="AUW1:AUZ1"/>
    <mergeCell ref="AYS1:AYV1"/>
    <mergeCell ref="AYW1:AYZ1"/>
    <mergeCell ref="AZA1:AZD1"/>
    <mergeCell ref="AZE1:AZH1"/>
    <mergeCell ref="AZI1:AZL1"/>
    <mergeCell ref="AZM1:AZP1"/>
    <mergeCell ref="AXU1:AXX1"/>
    <mergeCell ref="AXY1:AYB1"/>
    <mergeCell ref="AYC1:AYF1"/>
    <mergeCell ref="AYG1:AYJ1"/>
    <mergeCell ref="AYK1:AYN1"/>
    <mergeCell ref="AYO1:AYR1"/>
    <mergeCell ref="AWW1:AWZ1"/>
    <mergeCell ref="AXA1:AXD1"/>
    <mergeCell ref="AXE1:AXH1"/>
    <mergeCell ref="AXI1:AXL1"/>
    <mergeCell ref="AXM1:AXP1"/>
    <mergeCell ref="AXQ1:AXT1"/>
    <mergeCell ref="BBM1:BBP1"/>
    <mergeCell ref="BBQ1:BBT1"/>
    <mergeCell ref="BBU1:BBX1"/>
    <mergeCell ref="BBY1:BCB1"/>
    <mergeCell ref="BCC1:BCF1"/>
    <mergeCell ref="BCG1:BCJ1"/>
    <mergeCell ref="BAO1:BAR1"/>
    <mergeCell ref="BAS1:BAV1"/>
    <mergeCell ref="BAW1:BAZ1"/>
    <mergeCell ref="BBA1:BBD1"/>
    <mergeCell ref="BBE1:BBH1"/>
    <mergeCell ref="BBI1:BBL1"/>
    <mergeCell ref="AZQ1:AZT1"/>
    <mergeCell ref="AZU1:AZX1"/>
    <mergeCell ref="AZY1:BAB1"/>
    <mergeCell ref="BAC1:BAF1"/>
    <mergeCell ref="BAG1:BAJ1"/>
    <mergeCell ref="BAK1:BAN1"/>
    <mergeCell ref="BEG1:BEJ1"/>
    <mergeCell ref="BEK1:BEN1"/>
    <mergeCell ref="BEO1:BER1"/>
    <mergeCell ref="BES1:BEV1"/>
    <mergeCell ref="BEW1:BEZ1"/>
    <mergeCell ref="BFA1:BFD1"/>
    <mergeCell ref="BDI1:BDL1"/>
    <mergeCell ref="BDM1:BDP1"/>
    <mergeCell ref="BDQ1:BDT1"/>
    <mergeCell ref="BDU1:BDX1"/>
    <mergeCell ref="BDY1:BEB1"/>
    <mergeCell ref="BEC1:BEF1"/>
    <mergeCell ref="BCK1:BCN1"/>
    <mergeCell ref="BCO1:BCR1"/>
    <mergeCell ref="BCS1:BCV1"/>
    <mergeCell ref="BCW1:BCZ1"/>
    <mergeCell ref="BDA1:BDD1"/>
    <mergeCell ref="BDE1:BDH1"/>
    <mergeCell ref="BHA1:BHD1"/>
    <mergeCell ref="BHE1:BHH1"/>
    <mergeCell ref="BHI1:BHL1"/>
    <mergeCell ref="BHM1:BHP1"/>
    <mergeCell ref="BHQ1:BHT1"/>
    <mergeCell ref="BHU1:BHX1"/>
    <mergeCell ref="BGC1:BGF1"/>
    <mergeCell ref="BGG1:BGJ1"/>
    <mergeCell ref="BGK1:BGN1"/>
    <mergeCell ref="BGO1:BGR1"/>
    <mergeCell ref="BGS1:BGV1"/>
    <mergeCell ref="BGW1:BGZ1"/>
    <mergeCell ref="BFE1:BFH1"/>
    <mergeCell ref="BFI1:BFL1"/>
    <mergeCell ref="BFM1:BFP1"/>
    <mergeCell ref="BFQ1:BFT1"/>
    <mergeCell ref="BFU1:BFX1"/>
    <mergeCell ref="BFY1:BGB1"/>
    <mergeCell ref="BJU1:BJX1"/>
    <mergeCell ref="BJY1:BKB1"/>
    <mergeCell ref="BKC1:BKF1"/>
    <mergeCell ref="BKG1:BKJ1"/>
    <mergeCell ref="BKK1:BKN1"/>
    <mergeCell ref="BKO1:BKR1"/>
    <mergeCell ref="BIW1:BIZ1"/>
    <mergeCell ref="BJA1:BJD1"/>
    <mergeCell ref="BJE1:BJH1"/>
    <mergeCell ref="BJI1:BJL1"/>
    <mergeCell ref="BJM1:BJP1"/>
    <mergeCell ref="BJQ1:BJT1"/>
    <mergeCell ref="BHY1:BIB1"/>
    <mergeCell ref="BIC1:BIF1"/>
    <mergeCell ref="BIG1:BIJ1"/>
    <mergeCell ref="BIK1:BIN1"/>
    <mergeCell ref="BIO1:BIR1"/>
    <mergeCell ref="BIS1:BIV1"/>
    <mergeCell ref="BMO1:BMR1"/>
    <mergeCell ref="BMS1:BMV1"/>
    <mergeCell ref="BMW1:BMZ1"/>
    <mergeCell ref="BNA1:BND1"/>
    <mergeCell ref="BNE1:BNH1"/>
    <mergeCell ref="BNI1:BNL1"/>
    <mergeCell ref="BLQ1:BLT1"/>
    <mergeCell ref="BLU1:BLX1"/>
    <mergeCell ref="BLY1:BMB1"/>
    <mergeCell ref="BMC1:BMF1"/>
    <mergeCell ref="BMG1:BMJ1"/>
    <mergeCell ref="BMK1:BMN1"/>
    <mergeCell ref="BKS1:BKV1"/>
    <mergeCell ref="BKW1:BKZ1"/>
    <mergeCell ref="BLA1:BLD1"/>
    <mergeCell ref="BLE1:BLH1"/>
    <mergeCell ref="BLI1:BLL1"/>
    <mergeCell ref="BLM1:BLP1"/>
    <mergeCell ref="BPI1:BPL1"/>
    <mergeCell ref="BPM1:BPP1"/>
    <mergeCell ref="BPQ1:BPT1"/>
    <mergeCell ref="BPU1:BPX1"/>
    <mergeCell ref="BPY1:BQB1"/>
    <mergeCell ref="BQC1:BQF1"/>
    <mergeCell ref="BOK1:BON1"/>
    <mergeCell ref="BOO1:BOR1"/>
    <mergeCell ref="BOS1:BOV1"/>
    <mergeCell ref="BOW1:BOZ1"/>
    <mergeCell ref="BPA1:BPD1"/>
    <mergeCell ref="BPE1:BPH1"/>
    <mergeCell ref="BNM1:BNP1"/>
    <mergeCell ref="BNQ1:BNT1"/>
    <mergeCell ref="BNU1:BNX1"/>
    <mergeCell ref="BNY1:BOB1"/>
    <mergeCell ref="BOC1:BOF1"/>
    <mergeCell ref="BOG1:BOJ1"/>
    <mergeCell ref="BSC1:BSF1"/>
    <mergeCell ref="BSG1:BSJ1"/>
    <mergeCell ref="BSK1:BSN1"/>
    <mergeCell ref="BSO1:BSR1"/>
    <mergeCell ref="BSS1:BSV1"/>
    <mergeCell ref="BSW1:BSZ1"/>
    <mergeCell ref="BRE1:BRH1"/>
    <mergeCell ref="BRI1:BRL1"/>
    <mergeCell ref="BRM1:BRP1"/>
    <mergeCell ref="BRQ1:BRT1"/>
    <mergeCell ref="BRU1:BRX1"/>
    <mergeCell ref="BRY1:BSB1"/>
    <mergeCell ref="BQG1:BQJ1"/>
    <mergeCell ref="BQK1:BQN1"/>
    <mergeCell ref="BQO1:BQR1"/>
    <mergeCell ref="BQS1:BQV1"/>
    <mergeCell ref="BQW1:BQZ1"/>
    <mergeCell ref="BRA1:BRD1"/>
    <mergeCell ref="BUW1:BUZ1"/>
    <mergeCell ref="BVA1:BVD1"/>
    <mergeCell ref="BVE1:BVH1"/>
    <mergeCell ref="BVI1:BVL1"/>
    <mergeCell ref="BVM1:BVP1"/>
    <mergeCell ref="BVQ1:BVT1"/>
    <mergeCell ref="BTY1:BUB1"/>
    <mergeCell ref="BUC1:BUF1"/>
    <mergeCell ref="BUG1:BUJ1"/>
    <mergeCell ref="BUK1:BUN1"/>
    <mergeCell ref="BUO1:BUR1"/>
    <mergeCell ref="BUS1:BUV1"/>
    <mergeCell ref="BTA1:BTD1"/>
    <mergeCell ref="BTE1:BTH1"/>
    <mergeCell ref="BTI1:BTL1"/>
    <mergeCell ref="BTM1:BTP1"/>
    <mergeCell ref="BTQ1:BTT1"/>
    <mergeCell ref="BTU1:BTX1"/>
    <mergeCell ref="BXQ1:BXT1"/>
    <mergeCell ref="BXU1:BXX1"/>
    <mergeCell ref="BXY1:BYB1"/>
    <mergeCell ref="BYC1:BYF1"/>
    <mergeCell ref="BYG1:BYJ1"/>
    <mergeCell ref="BYK1:BYN1"/>
    <mergeCell ref="BWS1:BWV1"/>
    <mergeCell ref="BWW1:BWZ1"/>
    <mergeCell ref="BXA1:BXD1"/>
    <mergeCell ref="BXE1:BXH1"/>
    <mergeCell ref="BXI1:BXL1"/>
    <mergeCell ref="BXM1:BXP1"/>
    <mergeCell ref="BVU1:BVX1"/>
    <mergeCell ref="BVY1:BWB1"/>
    <mergeCell ref="BWC1:BWF1"/>
    <mergeCell ref="BWG1:BWJ1"/>
    <mergeCell ref="BWK1:BWN1"/>
    <mergeCell ref="BWO1:BWR1"/>
    <mergeCell ref="CAK1:CAN1"/>
    <mergeCell ref="CAO1:CAR1"/>
    <mergeCell ref="CAS1:CAV1"/>
    <mergeCell ref="CAW1:CAZ1"/>
    <mergeCell ref="CBA1:CBD1"/>
    <mergeCell ref="CBE1:CBH1"/>
    <mergeCell ref="BZM1:BZP1"/>
    <mergeCell ref="BZQ1:BZT1"/>
    <mergeCell ref="BZU1:BZX1"/>
    <mergeCell ref="BZY1:CAB1"/>
    <mergeCell ref="CAC1:CAF1"/>
    <mergeCell ref="CAG1:CAJ1"/>
    <mergeCell ref="BYO1:BYR1"/>
    <mergeCell ref="BYS1:BYV1"/>
    <mergeCell ref="BYW1:BYZ1"/>
    <mergeCell ref="BZA1:BZD1"/>
    <mergeCell ref="BZE1:BZH1"/>
    <mergeCell ref="BZI1:BZL1"/>
    <mergeCell ref="CDE1:CDH1"/>
    <mergeCell ref="CDI1:CDL1"/>
    <mergeCell ref="CDM1:CDP1"/>
    <mergeCell ref="CDQ1:CDT1"/>
    <mergeCell ref="CDU1:CDX1"/>
    <mergeCell ref="CDY1:CEB1"/>
    <mergeCell ref="CCG1:CCJ1"/>
    <mergeCell ref="CCK1:CCN1"/>
    <mergeCell ref="CCO1:CCR1"/>
    <mergeCell ref="CCS1:CCV1"/>
    <mergeCell ref="CCW1:CCZ1"/>
    <mergeCell ref="CDA1:CDD1"/>
    <mergeCell ref="CBI1:CBL1"/>
    <mergeCell ref="CBM1:CBP1"/>
    <mergeCell ref="CBQ1:CBT1"/>
    <mergeCell ref="CBU1:CBX1"/>
    <mergeCell ref="CBY1:CCB1"/>
    <mergeCell ref="CCC1:CCF1"/>
    <mergeCell ref="CFY1:CGB1"/>
    <mergeCell ref="CGC1:CGF1"/>
    <mergeCell ref="CGG1:CGJ1"/>
    <mergeCell ref="CGK1:CGN1"/>
    <mergeCell ref="CGO1:CGR1"/>
    <mergeCell ref="CGS1:CGV1"/>
    <mergeCell ref="CFA1:CFD1"/>
    <mergeCell ref="CFE1:CFH1"/>
    <mergeCell ref="CFI1:CFL1"/>
    <mergeCell ref="CFM1:CFP1"/>
    <mergeCell ref="CFQ1:CFT1"/>
    <mergeCell ref="CFU1:CFX1"/>
    <mergeCell ref="CEC1:CEF1"/>
    <mergeCell ref="CEG1:CEJ1"/>
    <mergeCell ref="CEK1:CEN1"/>
    <mergeCell ref="CEO1:CER1"/>
    <mergeCell ref="CES1:CEV1"/>
    <mergeCell ref="CEW1:CEZ1"/>
    <mergeCell ref="CIS1:CIV1"/>
    <mergeCell ref="CIW1:CIZ1"/>
    <mergeCell ref="CJA1:CJD1"/>
    <mergeCell ref="CJE1:CJH1"/>
    <mergeCell ref="CJI1:CJL1"/>
    <mergeCell ref="CJM1:CJP1"/>
    <mergeCell ref="CHU1:CHX1"/>
    <mergeCell ref="CHY1:CIB1"/>
    <mergeCell ref="CIC1:CIF1"/>
    <mergeCell ref="CIG1:CIJ1"/>
    <mergeCell ref="CIK1:CIN1"/>
    <mergeCell ref="CIO1:CIR1"/>
    <mergeCell ref="CGW1:CGZ1"/>
    <mergeCell ref="CHA1:CHD1"/>
    <mergeCell ref="CHE1:CHH1"/>
    <mergeCell ref="CHI1:CHL1"/>
    <mergeCell ref="CHM1:CHP1"/>
    <mergeCell ref="CHQ1:CHT1"/>
    <mergeCell ref="CLM1:CLP1"/>
    <mergeCell ref="CLQ1:CLT1"/>
    <mergeCell ref="CLU1:CLX1"/>
    <mergeCell ref="CLY1:CMB1"/>
    <mergeCell ref="CMC1:CMF1"/>
    <mergeCell ref="CMG1:CMJ1"/>
    <mergeCell ref="CKO1:CKR1"/>
    <mergeCell ref="CKS1:CKV1"/>
    <mergeCell ref="CKW1:CKZ1"/>
    <mergeCell ref="CLA1:CLD1"/>
    <mergeCell ref="CLE1:CLH1"/>
    <mergeCell ref="CLI1:CLL1"/>
    <mergeCell ref="CJQ1:CJT1"/>
    <mergeCell ref="CJU1:CJX1"/>
    <mergeCell ref="CJY1:CKB1"/>
    <mergeCell ref="CKC1:CKF1"/>
    <mergeCell ref="CKG1:CKJ1"/>
    <mergeCell ref="CKK1:CKN1"/>
    <mergeCell ref="COG1:COJ1"/>
    <mergeCell ref="COK1:CON1"/>
    <mergeCell ref="COO1:COR1"/>
    <mergeCell ref="COS1:COV1"/>
    <mergeCell ref="COW1:COZ1"/>
    <mergeCell ref="CPA1:CPD1"/>
    <mergeCell ref="CNI1:CNL1"/>
    <mergeCell ref="CNM1:CNP1"/>
    <mergeCell ref="CNQ1:CNT1"/>
    <mergeCell ref="CNU1:CNX1"/>
    <mergeCell ref="CNY1:COB1"/>
    <mergeCell ref="COC1:COF1"/>
    <mergeCell ref="CMK1:CMN1"/>
    <mergeCell ref="CMO1:CMR1"/>
    <mergeCell ref="CMS1:CMV1"/>
    <mergeCell ref="CMW1:CMZ1"/>
    <mergeCell ref="CNA1:CND1"/>
    <mergeCell ref="CNE1:CNH1"/>
    <mergeCell ref="CRA1:CRD1"/>
    <mergeCell ref="CRE1:CRH1"/>
    <mergeCell ref="CRI1:CRL1"/>
    <mergeCell ref="CRM1:CRP1"/>
    <mergeCell ref="CRQ1:CRT1"/>
    <mergeCell ref="CRU1:CRX1"/>
    <mergeCell ref="CQC1:CQF1"/>
    <mergeCell ref="CQG1:CQJ1"/>
    <mergeCell ref="CQK1:CQN1"/>
    <mergeCell ref="CQO1:CQR1"/>
    <mergeCell ref="CQS1:CQV1"/>
    <mergeCell ref="CQW1:CQZ1"/>
    <mergeCell ref="CPE1:CPH1"/>
    <mergeCell ref="CPI1:CPL1"/>
    <mergeCell ref="CPM1:CPP1"/>
    <mergeCell ref="CPQ1:CPT1"/>
    <mergeCell ref="CPU1:CPX1"/>
    <mergeCell ref="CPY1:CQB1"/>
    <mergeCell ref="CTU1:CTX1"/>
    <mergeCell ref="CTY1:CUB1"/>
    <mergeCell ref="CUC1:CUF1"/>
    <mergeCell ref="CUG1:CUJ1"/>
    <mergeCell ref="CUK1:CUN1"/>
    <mergeCell ref="CUO1:CUR1"/>
    <mergeCell ref="CSW1:CSZ1"/>
    <mergeCell ref="CTA1:CTD1"/>
    <mergeCell ref="CTE1:CTH1"/>
    <mergeCell ref="CTI1:CTL1"/>
    <mergeCell ref="CTM1:CTP1"/>
    <mergeCell ref="CTQ1:CTT1"/>
    <mergeCell ref="CRY1:CSB1"/>
    <mergeCell ref="CSC1:CSF1"/>
    <mergeCell ref="CSG1:CSJ1"/>
    <mergeCell ref="CSK1:CSN1"/>
    <mergeCell ref="CSO1:CSR1"/>
    <mergeCell ref="CSS1:CSV1"/>
    <mergeCell ref="CWO1:CWR1"/>
    <mergeCell ref="CWS1:CWV1"/>
    <mergeCell ref="CWW1:CWZ1"/>
    <mergeCell ref="CXA1:CXD1"/>
    <mergeCell ref="CXE1:CXH1"/>
    <mergeCell ref="CXI1:CXL1"/>
    <mergeCell ref="CVQ1:CVT1"/>
    <mergeCell ref="CVU1:CVX1"/>
    <mergeCell ref="CVY1:CWB1"/>
    <mergeCell ref="CWC1:CWF1"/>
    <mergeCell ref="CWG1:CWJ1"/>
    <mergeCell ref="CWK1:CWN1"/>
    <mergeCell ref="CUS1:CUV1"/>
    <mergeCell ref="CUW1:CUZ1"/>
    <mergeCell ref="CVA1:CVD1"/>
    <mergeCell ref="CVE1:CVH1"/>
    <mergeCell ref="CVI1:CVL1"/>
    <mergeCell ref="CVM1:CVP1"/>
    <mergeCell ref="CZI1:CZL1"/>
    <mergeCell ref="CZM1:CZP1"/>
    <mergeCell ref="CZQ1:CZT1"/>
    <mergeCell ref="CZU1:CZX1"/>
    <mergeCell ref="CZY1:DAB1"/>
    <mergeCell ref="DAC1:DAF1"/>
    <mergeCell ref="CYK1:CYN1"/>
    <mergeCell ref="CYO1:CYR1"/>
    <mergeCell ref="CYS1:CYV1"/>
    <mergeCell ref="CYW1:CYZ1"/>
    <mergeCell ref="CZA1:CZD1"/>
    <mergeCell ref="CZE1:CZH1"/>
    <mergeCell ref="CXM1:CXP1"/>
    <mergeCell ref="CXQ1:CXT1"/>
    <mergeCell ref="CXU1:CXX1"/>
    <mergeCell ref="CXY1:CYB1"/>
    <mergeCell ref="CYC1:CYF1"/>
    <mergeCell ref="CYG1:CYJ1"/>
    <mergeCell ref="DCC1:DCF1"/>
    <mergeCell ref="DCG1:DCJ1"/>
    <mergeCell ref="DCK1:DCN1"/>
    <mergeCell ref="DCO1:DCR1"/>
    <mergeCell ref="DCS1:DCV1"/>
    <mergeCell ref="DCW1:DCZ1"/>
    <mergeCell ref="DBE1:DBH1"/>
    <mergeCell ref="DBI1:DBL1"/>
    <mergeCell ref="DBM1:DBP1"/>
    <mergeCell ref="DBQ1:DBT1"/>
    <mergeCell ref="DBU1:DBX1"/>
    <mergeCell ref="DBY1:DCB1"/>
    <mergeCell ref="DAG1:DAJ1"/>
    <mergeCell ref="DAK1:DAN1"/>
    <mergeCell ref="DAO1:DAR1"/>
    <mergeCell ref="DAS1:DAV1"/>
    <mergeCell ref="DAW1:DAZ1"/>
    <mergeCell ref="DBA1:DBD1"/>
    <mergeCell ref="DEW1:DEZ1"/>
    <mergeCell ref="DFA1:DFD1"/>
    <mergeCell ref="DFE1:DFH1"/>
    <mergeCell ref="DFI1:DFL1"/>
    <mergeCell ref="DFM1:DFP1"/>
    <mergeCell ref="DFQ1:DFT1"/>
    <mergeCell ref="DDY1:DEB1"/>
    <mergeCell ref="DEC1:DEF1"/>
    <mergeCell ref="DEG1:DEJ1"/>
    <mergeCell ref="DEK1:DEN1"/>
    <mergeCell ref="DEO1:DER1"/>
    <mergeCell ref="DES1:DEV1"/>
    <mergeCell ref="DDA1:DDD1"/>
    <mergeCell ref="DDE1:DDH1"/>
    <mergeCell ref="DDI1:DDL1"/>
    <mergeCell ref="DDM1:DDP1"/>
    <mergeCell ref="DDQ1:DDT1"/>
    <mergeCell ref="DDU1:DDX1"/>
    <mergeCell ref="DHQ1:DHT1"/>
    <mergeCell ref="DHU1:DHX1"/>
    <mergeCell ref="DHY1:DIB1"/>
    <mergeCell ref="DIC1:DIF1"/>
    <mergeCell ref="DIG1:DIJ1"/>
    <mergeCell ref="DIK1:DIN1"/>
    <mergeCell ref="DGS1:DGV1"/>
    <mergeCell ref="DGW1:DGZ1"/>
    <mergeCell ref="DHA1:DHD1"/>
    <mergeCell ref="DHE1:DHH1"/>
    <mergeCell ref="DHI1:DHL1"/>
    <mergeCell ref="DHM1:DHP1"/>
    <mergeCell ref="DFU1:DFX1"/>
    <mergeCell ref="DFY1:DGB1"/>
    <mergeCell ref="DGC1:DGF1"/>
    <mergeCell ref="DGG1:DGJ1"/>
    <mergeCell ref="DGK1:DGN1"/>
    <mergeCell ref="DGO1:DGR1"/>
    <mergeCell ref="DKK1:DKN1"/>
    <mergeCell ref="DKO1:DKR1"/>
    <mergeCell ref="DKS1:DKV1"/>
    <mergeCell ref="DKW1:DKZ1"/>
    <mergeCell ref="DLA1:DLD1"/>
    <mergeCell ref="DLE1:DLH1"/>
    <mergeCell ref="DJM1:DJP1"/>
    <mergeCell ref="DJQ1:DJT1"/>
    <mergeCell ref="DJU1:DJX1"/>
    <mergeCell ref="DJY1:DKB1"/>
    <mergeCell ref="DKC1:DKF1"/>
    <mergeCell ref="DKG1:DKJ1"/>
    <mergeCell ref="DIO1:DIR1"/>
    <mergeCell ref="DIS1:DIV1"/>
    <mergeCell ref="DIW1:DIZ1"/>
    <mergeCell ref="DJA1:DJD1"/>
    <mergeCell ref="DJE1:DJH1"/>
    <mergeCell ref="DJI1:DJL1"/>
    <mergeCell ref="DNE1:DNH1"/>
    <mergeCell ref="DNI1:DNL1"/>
    <mergeCell ref="DNM1:DNP1"/>
    <mergeCell ref="DNQ1:DNT1"/>
    <mergeCell ref="DNU1:DNX1"/>
    <mergeCell ref="DNY1:DOB1"/>
    <mergeCell ref="DMG1:DMJ1"/>
    <mergeCell ref="DMK1:DMN1"/>
    <mergeCell ref="DMO1:DMR1"/>
    <mergeCell ref="DMS1:DMV1"/>
    <mergeCell ref="DMW1:DMZ1"/>
    <mergeCell ref="DNA1:DND1"/>
    <mergeCell ref="DLI1:DLL1"/>
    <mergeCell ref="DLM1:DLP1"/>
    <mergeCell ref="DLQ1:DLT1"/>
    <mergeCell ref="DLU1:DLX1"/>
    <mergeCell ref="DLY1:DMB1"/>
    <mergeCell ref="DMC1:DMF1"/>
    <mergeCell ref="DPY1:DQB1"/>
    <mergeCell ref="DQC1:DQF1"/>
    <mergeCell ref="DQG1:DQJ1"/>
    <mergeCell ref="DQK1:DQN1"/>
    <mergeCell ref="DQO1:DQR1"/>
    <mergeCell ref="DQS1:DQV1"/>
    <mergeCell ref="DPA1:DPD1"/>
    <mergeCell ref="DPE1:DPH1"/>
    <mergeCell ref="DPI1:DPL1"/>
    <mergeCell ref="DPM1:DPP1"/>
    <mergeCell ref="DPQ1:DPT1"/>
    <mergeCell ref="DPU1:DPX1"/>
    <mergeCell ref="DOC1:DOF1"/>
    <mergeCell ref="DOG1:DOJ1"/>
    <mergeCell ref="DOK1:DON1"/>
    <mergeCell ref="DOO1:DOR1"/>
    <mergeCell ref="DOS1:DOV1"/>
    <mergeCell ref="DOW1:DOZ1"/>
    <mergeCell ref="DSS1:DSV1"/>
    <mergeCell ref="DSW1:DSZ1"/>
    <mergeCell ref="DTA1:DTD1"/>
    <mergeCell ref="DTE1:DTH1"/>
    <mergeCell ref="DTI1:DTL1"/>
    <mergeCell ref="DTM1:DTP1"/>
    <mergeCell ref="DRU1:DRX1"/>
    <mergeCell ref="DRY1:DSB1"/>
    <mergeCell ref="DSC1:DSF1"/>
    <mergeCell ref="DSG1:DSJ1"/>
    <mergeCell ref="DSK1:DSN1"/>
    <mergeCell ref="DSO1:DSR1"/>
    <mergeCell ref="DQW1:DQZ1"/>
    <mergeCell ref="DRA1:DRD1"/>
    <mergeCell ref="DRE1:DRH1"/>
    <mergeCell ref="DRI1:DRL1"/>
    <mergeCell ref="DRM1:DRP1"/>
    <mergeCell ref="DRQ1:DRT1"/>
    <mergeCell ref="DVM1:DVP1"/>
    <mergeCell ref="DVQ1:DVT1"/>
    <mergeCell ref="DVU1:DVX1"/>
    <mergeCell ref="DVY1:DWB1"/>
    <mergeCell ref="DWC1:DWF1"/>
    <mergeCell ref="DWG1:DWJ1"/>
    <mergeCell ref="DUO1:DUR1"/>
    <mergeCell ref="DUS1:DUV1"/>
    <mergeCell ref="DUW1:DUZ1"/>
    <mergeCell ref="DVA1:DVD1"/>
    <mergeCell ref="DVE1:DVH1"/>
    <mergeCell ref="DVI1:DVL1"/>
    <mergeCell ref="DTQ1:DTT1"/>
    <mergeCell ref="DTU1:DTX1"/>
    <mergeCell ref="DTY1:DUB1"/>
    <mergeCell ref="DUC1:DUF1"/>
    <mergeCell ref="DUG1:DUJ1"/>
    <mergeCell ref="DUK1:DUN1"/>
    <mergeCell ref="DYG1:DYJ1"/>
    <mergeCell ref="DYK1:DYN1"/>
    <mergeCell ref="DYO1:DYR1"/>
    <mergeCell ref="DYS1:DYV1"/>
    <mergeCell ref="DYW1:DYZ1"/>
    <mergeCell ref="DZA1:DZD1"/>
    <mergeCell ref="DXI1:DXL1"/>
    <mergeCell ref="DXM1:DXP1"/>
    <mergeCell ref="DXQ1:DXT1"/>
    <mergeCell ref="DXU1:DXX1"/>
    <mergeCell ref="DXY1:DYB1"/>
    <mergeCell ref="DYC1:DYF1"/>
    <mergeCell ref="DWK1:DWN1"/>
    <mergeCell ref="DWO1:DWR1"/>
    <mergeCell ref="DWS1:DWV1"/>
    <mergeCell ref="DWW1:DWZ1"/>
    <mergeCell ref="DXA1:DXD1"/>
    <mergeCell ref="DXE1:DXH1"/>
    <mergeCell ref="EBA1:EBD1"/>
    <mergeCell ref="EBE1:EBH1"/>
    <mergeCell ref="EBI1:EBL1"/>
    <mergeCell ref="EBM1:EBP1"/>
    <mergeCell ref="EBQ1:EBT1"/>
    <mergeCell ref="EBU1:EBX1"/>
    <mergeCell ref="EAC1:EAF1"/>
    <mergeCell ref="EAG1:EAJ1"/>
    <mergeCell ref="EAK1:EAN1"/>
    <mergeCell ref="EAO1:EAR1"/>
    <mergeCell ref="EAS1:EAV1"/>
    <mergeCell ref="EAW1:EAZ1"/>
    <mergeCell ref="DZE1:DZH1"/>
    <mergeCell ref="DZI1:DZL1"/>
    <mergeCell ref="DZM1:DZP1"/>
    <mergeCell ref="DZQ1:DZT1"/>
    <mergeCell ref="DZU1:DZX1"/>
    <mergeCell ref="DZY1:EAB1"/>
    <mergeCell ref="EDU1:EDX1"/>
    <mergeCell ref="EDY1:EEB1"/>
    <mergeCell ref="EEC1:EEF1"/>
    <mergeCell ref="EEG1:EEJ1"/>
    <mergeCell ref="EEK1:EEN1"/>
    <mergeCell ref="EEO1:EER1"/>
    <mergeCell ref="ECW1:ECZ1"/>
    <mergeCell ref="EDA1:EDD1"/>
    <mergeCell ref="EDE1:EDH1"/>
    <mergeCell ref="EDI1:EDL1"/>
    <mergeCell ref="EDM1:EDP1"/>
    <mergeCell ref="EDQ1:EDT1"/>
    <mergeCell ref="EBY1:ECB1"/>
    <mergeCell ref="ECC1:ECF1"/>
    <mergeCell ref="ECG1:ECJ1"/>
    <mergeCell ref="ECK1:ECN1"/>
    <mergeCell ref="ECO1:ECR1"/>
    <mergeCell ref="ECS1:ECV1"/>
    <mergeCell ref="EGO1:EGR1"/>
    <mergeCell ref="EGS1:EGV1"/>
    <mergeCell ref="EGW1:EGZ1"/>
    <mergeCell ref="EHA1:EHD1"/>
    <mergeCell ref="EHE1:EHH1"/>
    <mergeCell ref="EHI1:EHL1"/>
    <mergeCell ref="EFQ1:EFT1"/>
    <mergeCell ref="EFU1:EFX1"/>
    <mergeCell ref="EFY1:EGB1"/>
    <mergeCell ref="EGC1:EGF1"/>
    <mergeCell ref="EGG1:EGJ1"/>
    <mergeCell ref="EGK1:EGN1"/>
    <mergeCell ref="EES1:EEV1"/>
    <mergeCell ref="EEW1:EEZ1"/>
    <mergeCell ref="EFA1:EFD1"/>
    <mergeCell ref="EFE1:EFH1"/>
    <mergeCell ref="EFI1:EFL1"/>
    <mergeCell ref="EFM1:EFP1"/>
    <mergeCell ref="EJI1:EJL1"/>
    <mergeCell ref="EJM1:EJP1"/>
    <mergeCell ref="EJQ1:EJT1"/>
    <mergeCell ref="EJU1:EJX1"/>
    <mergeCell ref="EJY1:EKB1"/>
    <mergeCell ref="EKC1:EKF1"/>
    <mergeCell ref="EIK1:EIN1"/>
    <mergeCell ref="EIO1:EIR1"/>
    <mergeCell ref="EIS1:EIV1"/>
    <mergeCell ref="EIW1:EIZ1"/>
    <mergeCell ref="EJA1:EJD1"/>
    <mergeCell ref="EJE1:EJH1"/>
    <mergeCell ref="EHM1:EHP1"/>
    <mergeCell ref="EHQ1:EHT1"/>
    <mergeCell ref="EHU1:EHX1"/>
    <mergeCell ref="EHY1:EIB1"/>
    <mergeCell ref="EIC1:EIF1"/>
    <mergeCell ref="EIG1:EIJ1"/>
    <mergeCell ref="EMC1:EMF1"/>
    <mergeCell ref="EMG1:EMJ1"/>
    <mergeCell ref="EMK1:EMN1"/>
    <mergeCell ref="EMO1:EMR1"/>
    <mergeCell ref="EMS1:EMV1"/>
    <mergeCell ref="EMW1:EMZ1"/>
    <mergeCell ref="ELE1:ELH1"/>
    <mergeCell ref="ELI1:ELL1"/>
    <mergeCell ref="ELM1:ELP1"/>
    <mergeCell ref="ELQ1:ELT1"/>
    <mergeCell ref="ELU1:ELX1"/>
    <mergeCell ref="ELY1:EMB1"/>
    <mergeCell ref="EKG1:EKJ1"/>
    <mergeCell ref="EKK1:EKN1"/>
    <mergeCell ref="EKO1:EKR1"/>
    <mergeCell ref="EKS1:EKV1"/>
    <mergeCell ref="EKW1:EKZ1"/>
    <mergeCell ref="ELA1:ELD1"/>
    <mergeCell ref="EOW1:EOZ1"/>
    <mergeCell ref="EPA1:EPD1"/>
    <mergeCell ref="EPE1:EPH1"/>
    <mergeCell ref="EPI1:EPL1"/>
    <mergeCell ref="EPM1:EPP1"/>
    <mergeCell ref="EPQ1:EPT1"/>
    <mergeCell ref="ENY1:EOB1"/>
    <mergeCell ref="EOC1:EOF1"/>
    <mergeCell ref="EOG1:EOJ1"/>
    <mergeCell ref="EOK1:EON1"/>
    <mergeCell ref="EOO1:EOR1"/>
    <mergeCell ref="EOS1:EOV1"/>
    <mergeCell ref="ENA1:END1"/>
    <mergeCell ref="ENE1:ENH1"/>
    <mergeCell ref="ENI1:ENL1"/>
    <mergeCell ref="ENM1:ENP1"/>
    <mergeCell ref="ENQ1:ENT1"/>
    <mergeCell ref="ENU1:ENX1"/>
    <mergeCell ref="ERQ1:ERT1"/>
    <mergeCell ref="ERU1:ERX1"/>
    <mergeCell ref="ERY1:ESB1"/>
    <mergeCell ref="ESC1:ESF1"/>
    <mergeCell ref="ESG1:ESJ1"/>
    <mergeCell ref="ESK1:ESN1"/>
    <mergeCell ref="EQS1:EQV1"/>
    <mergeCell ref="EQW1:EQZ1"/>
    <mergeCell ref="ERA1:ERD1"/>
    <mergeCell ref="ERE1:ERH1"/>
    <mergeCell ref="ERI1:ERL1"/>
    <mergeCell ref="ERM1:ERP1"/>
    <mergeCell ref="EPU1:EPX1"/>
    <mergeCell ref="EPY1:EQB1"/>
    <mergeCell ref="EQC1:EQF1"/>
    <mergeCell ref="EQG1:EQJ1"/>
    <mergeCell ref="EQK1:EQN1"/>
    <mergeCell ref="EQO1:EQR1"/>
    <mergeCell ref="EUK1:EUN1"/>
    <mergeCell ref="EUO1:EUR1"/>
    <mergeCell ref="EUS1:EUV1"/>
    <mergeCell ref="EUW1:EUZ1"/>
    <mergeCell ref="EVA1:EVD1"/>
    <mergeCell ref="EVE1:EVH1"/>
    <mergeCell ref="ETM1:ETP1"/>
    <mergeCell ref="ETQ1:ETT1"/>
    <mergeCell ref="ETU1:ETX1"/>
    <mergeCell ref="ETY1:EUB1"/>
    <mergeCell ref="EUC1:EUF1"/>
    <mergeCell ref="EUG1:EUJ1"/>
    <mergeCell ref="ESO1:ESR1"/>
    <mergeCell ref="ESS1:ESV1"/>
    <mergeCell ref="ESW1:ESZ1"/>
    <mergeCell ref="ETA1:ETD1"/>
    <mergeCell ref="ETE1:ETH1"/>
    <mergeCell ref="ETI1:ETL1"/>
    <mergeCell ref="EXE1:EXH1"/>
    <mergeCell ref="EXI1:EXL1"/>
    <mergeCell ref="EXM1:EXP1"/>
    <mergeCell ref="EXQ1:EXT1"/>
    <mergeCell ref="EXU1:EXX1"/>
    <mergeCell ref="EXY1:EYB1"/>
    <mergeCell ref="EWG1:EWJ1"/>
    <mergeCell ref="EWK1:EWN1"/>
    <mergeCell ref="EWO1:EWR1"/>
    <mergeCell ref="EWS1:EWV1"/>
    <mergeCell ref="EWW1:EWZ1"/>
    <mergeCell ref="EXA1:EXD1"/>
    <mergeCell ref="EVI1:EVL1"/>
    <mergeCell ref="EVM1:EVP1"/>
    <mergeCell ref="EVQ1:EVT1"/>
    <mergeCell ref="EVU1:EVX1"/>
    <mergeCell ref="EVY1:EWB1"/>
    <mergeCell ref="EWC1:EWF1"/>
    <mergeCell ref="EZY1:FAB1"/>
    <mergeCell ref="FAC1:FAF1"/>
    <mergeCell ref="FAG1:FAJ1"/>
    <mergeCell ref="FAK1:FAN1"/>
    <mergeCell ref="FAO1:FAR1"/>
    <mergeCell ref="FAS1:FAV1"/>
    <mergeCell ref="EZA1:EZD1"/>
    <mergeCell ref="EZE1:EZH1"/>
    <mergeCell ref="EZI1:EZL1"/>
    <mergeCell ref="EZM1:EZP1"/>
    <mergeCell ref="EZQ1:EZT1"/>
    <mergeCell ref="EZU1:EZX1"/>
    <mergeCell ref="EYC1:EYF1"/>
    <mergeCell ref="EYG1:EYJ1"/>
    <mergeCell ref="EYK1:EYN1"/>
    <mergeCell ref="EYO1:EYR1"/>
    <mergeCell ref="EYS1:EYV1"/>
    <mergeCell ref="EYW1:EYZ1"/>
    <mergeCell ref="FCS1:FCV1"/>
    <mergeCell ref="FCW1:FCZ1"/>
    <mergeCell ref="FDA1:FDD1"/>
    <mergeCell ref="FDE1:FDH1"/>
    <mergeCell ref="FDI1:FDL1"/>
    <mergeCell ref="FDM1:FDP1"/>
    <mergeCell ref="FBU1:FBX1"/>
    <mergeCell ref="FBY1:FCB1"/>
    <mergeCell ref="FCC1:FCF1"/>
    <mergeCell ref="FCG1:FCJ1"/>
    <mergeCell ref="FCK1:FCN1"/>
    <mergeCell ref="FCO1:FCR1"/>
    <mergeCell ref="FAW1:FAZ1"/>
    <mergeCell ref="FBA1:FBD1"/>
    <mergeCell ref="FBE1:FBH1"/>
    <mergeCell ref="FBI1:FBL1"/>
    <mergeCell ref="FBM1:FBP1"/>
    <mergeCell ref="FBQ1:FBT1"/>
    <mergeCell ref="FFM1:FFP1"/>
    <mergeCell ref="FFQ1:FFT1"/>
    <mergeCell ref="FFU1:FFX1"/>
    <mergeCell ref="FFY1:FGB1"/>
    <mergeCell ref="FGC1:FGF1"/>
    <mergeCell ref="FGG1:FGJ1"/>
    <mergeCell ref="FEO1:FER1"/>
    <mergeCell ref="FES1:FEV1"/>
    <mergeCell ref="FEW1:FEZ1"/>
    <mergeCell ref="FFA1:FFD1"/>
    <mergeCell ref="FFE1:FFH1"/>
    <mergeCell ref="FFI1:FFL1"/>
    <mergeCell ref="FDQ1:FDT1"/>
    <mergeCell ref="FDU1:FDX1"/>
    <mergeCell ref="FDY1:FEB1"/>
    <mergeCell ref="FEC1:FEF1"/>
    <mergeCell ref="FEG1:FEJ1"/>
    <mergeCell ref="FEK1:FEN1"/>
    <mergeCell ref="FIG1:FIJ1"/>
    <mergeCell ref="FIK1:FIN1"/>
    <mergeCell ref="FIO1:FIR1"/>
    <mergeCell ref="FIS1:FIV1"/>
    <mergeCell ref="FIW1:FIZ1"/>
    <mergeCell ref="FJA1:FJD1"/>
    <mergeCell ref="FHI1:FHL1"/>
    <mergeCell ref="FHM1:FHP1"/>
    <mergeCell ref="FHQ1:FHT1"/>
    <mergeCell ref="FHU1:FHX1"/>
    <mergeCell ref="FHY1:FIB1"/>
    <mergeCell ref="FIC1:FIF1"/>
    <mergeCell ref="FGK1:FGN1"/>
    <mergeCell ref="FGO1:FGR1"/>
    <mergeCell ref="FGS1:FGV1"/>
    <mergeCell ref="FGW1:FGZ1"/>
    <mergeCell ref="FHA1:FHD1"/>
    <mergeCell ref="FHE1:FHH1"/>
    <mergeCell ref="FLA1:FLD1"/>
    <mergeCell ref="FLE1:FLH1"/>
    <mergeCell ref="FLI1:FLL1"/>
    <mergeCell ref="FLM1:FLP1"/>
    <mergeCell ref="FLQ1:FLT1"/>
    <mergeCell ref="FLU1:FLX1"/>
    <mergeCell ref="FKC1:FKF1"/>
    <mergeCell ref="FKG1:FKJ1"/>
    <mergeCell ref="FKK1:FKN1"/>
    <mergeCell ref="FKO1:FKR1"/>
    <mergeCell ref="FKS1:FKV1"/>
    <mergeCell ref="FKW1:FKZ1"/>
    <mergeCell ref="FJE1:FJH1"/>
    <mergeCell ref="FJI1:FJL1"/>
    <mergeCell ref="FJM1:FJP1"/>
    <mergeCell ref="FJQ1:FJT1"/>
    <mergeCell ref="FJU1:FJX1"/>
    <mergeCell ref="FJY1:FKB1"/>
    <mergeCell ref="FNU1:FNX1"/>
    <mergeCell ref="FNY1:FOB1"/>
    <mergeCell ref="FOC1:FOF1"/>
    <mergeCell ref="FOG1:FOJ1"/>
    <mergeCell ref="FOK1:FON1"/>
    <mergeCell ref="FOO1:FOR1"/>
    <mergeCell ref="FMW1:FMZ1"/>
    <mergeCell ref="FNA1:FND1"/>
    <mergeCell ref="FNE1:FNH1"/>
    <mergeCell ref="FNI1:FNL1"/>
    <mergeCell ref="FNM1:FNP1"/>
    <mergeCell ref="FNQ1:FNT1"/>
    <mergeCell ref="FLY1:FMB1"/>
    <mergeCell ref="FMC1:FMF1"/>
    <mergeCell ref="FMG1:FMJ1"/>
    <mergeCell ref="FMK1:FMN1"/>
    <mergeCell ref="FMO1:FMR1"/>
    <mergeCell ref="FMS1:FMV1"/>
    <mergeCell ref="FQO1:FQR1"/>
    <mergeCell ref="FQS1:FQV1"/>
    <mergeCell ref="FQW1:FQZ1"/>
    <mergeCell ref="FRA1:FRD1"/>
    <mergeCell ref="FRE1:FRH1"/>
    <mergeCell ref="FRI1:FRL1"/>
    <mergeCell ref="FPQ1:FPT1"/>
    <mergeCell ref="FPU1:FPX1"/>
    <mergeCell ref="FPY1:FQB1"/>
    <mergeCell ref="FQC1:FQF1"/>
    <mergeCell ref="FQG1:FQJ1"/>
    <mergeCell ref="FQK1:FQN1"/>
    <mergeCell ref="FOS1:FOV1"/>
    <mergeCell ref="FOW1:FOZ1"/>
    <mergeCell ref="FPA1:FPD1"/>
    <mergeCell ref="FPE1:FPH1"/>
    <mergeCell ref="FPI1:FPL1"/>
    <mergeCell ref="FPM1:FPP1"/>
    <mergeCell ref="FTI1:FTL1"/>
    <mergeCell ref="FTM1:FTP1"/>
    <mergeCell ref="FTQ1:FTT1"/>
    <mergeCell ref="FTU1:FTX1"/>
    <mergeCell ref="FTY1:FUB1"/>
    <mergeCell ref="FUC1:FUF1"/>
    <mergeCell ref="FSK1:FSN1"/>
    <mergeCell ref="FSO1:FSR1"/>
    <mergeCell ref="FSS1:FSV1"/>
    <mergeCell ref="FSW1:FSZ1"/>
    <mergeCell ref="FTA1:FTD1"/>
    <mergeCell ref="FTE1:FTH1"/>
    <mergeCell ref="FRM1:FRP1"/>
    <mergeCell ref="FRQ1:FRT1"/>
    <mergeCell ref="FRU1:FRX1"/>
    <mergeCell ref="FRY1:FSB1"/>
    <mergeCell ref="FSC1:FSF1"/>
    <mergeCell ref="FSG1:FSJ1"/>
    <mergeCell ref="FWC1:FWF1"/>
    <mergeCell ref="FWG1:FWJ1"/>
    <mergeCell ref="FWK1:FWN1"/>
    <mergeCell ref="FWO1:FWR1"/>
    <mergeCell ref="FWS1:FWV1"/>
    <mergeCell ref="FWW1:FWZ1"/>
    <mergeCell ref="FVE1:FVH1"/>
    <mergeCell ref="FVI1:FVL1"/>
    <mergeCell ref="FVM1:FVP1"/>
    <mergeCell ref="FVQ1:FVT1"/>
    <mergeCell ref="FVU1:FVX1"/>
    <mergeCell ref="FVY1:FWB1"/>
    <mergeCell ref="FUG1:FUJ1"/>
    <mergeCell ref="FUK1:FUN1"/>
    <mergeCell ref="FUO1:FUR1"/>
    <mergeCell ref="FUS1:FUV1"/>
    <mergeCell ref="FUW1:FUZ1"/>
    <mergeCell ref="FVA1:FVD1"/>
    <mergeCell ref="FYW1:FYZ1"/>
    <mergeCell ref="FZA1:FZD1"/>
    <mergeCell ref="FZE1:FZH1"/>
    <mergeCell ref="FZI1:FZL1"/>
    <mergeCell ref="FZM1:FZP1"/>
    <mergeCell ref="FZQ1:FZT1"/>
    <mergeCell ref="FXY1:FYB1"/>
    <mergeCell ref="FYC1:FYF1"/>
    <mergeCell ref="FYG1:FYJ1"/>
    <mergeCell ref="FYK1:FYN1"/>
    <mergeCell ref="FYO1:FYR1"/>
    <mergeCell ref="FYS1:FYV1"/>
    <mergeCell ref="FXA1:FXD1"/>
    <mergeCell ref="FXE1:FXH1"/>
    <mergeCell ref="FXI1:FXL1"/>
    <mergeCell ref="FXM1:FXP1"/>
    <mergeCell ref="FXQ1:FXT1"/>
    <mergeCell ref="FXU1:FXX1"/>
    <mergeCell ref="GBQ1:GBT1"/>
    <mergeCell ref="GBU1:GBX1"/>
    <mergeCell ref="GBY1:GCB1"/>
    <mergeCell ref="GCC1:GCF1"/>
    <mergeCell ref="GCG1:GCJ1"/>
    <mergeCell ref="GCK1:GCN1"/>
    <mergeCell ref="GAS1:GAV1"/>
    <mergeCell ref="GAW1:GAZ1"/>
    <mergeCell ref="GBA1:GBD1"/>
    <mergeCell ref="GBE1:GBH1"/>
    <mergeCell ref="GBI1:GBL1"/>
    <mergeCell ref="GBM1:GBP1"/>
    <mergeCell ref="FZU1:FZX1"/>
    <mergeCell ref="FZY1:GAB1"/>
    <mergeCell ref="GAC1:GAF1"/>
    <mergeCell ref="GAG1:GAJ1"/>
    <mergeCell ref="GAK1:GAN1"/>
    <mergeCell ref="GAO1:GAR1"/>
    <mergeCell ref="GEK1:GEN1"/>
    <mergeCell ref="GEO1:GER1"/>
    <mergeCell ref="GES1:GEV1"/>
    <mergeCell ref="GEW1:GEZ1"/>
    <mergeCell ref="GFA1:GFD1"/>
    <mergeCell ref="GFE1:GFH1"/>
    <mergeCell ref="GDM1:GDP1"/>
    <mergeCell ref="GDQ1:GDT1"/>
    <mergeCell ref="GDU1:GDX1"/>
    <mergeCell ref="GDY1:GEB1"/>
    <mergeCell ref="GEC1:GEF1"/>
    <mergeCell ref="GEG1:GEJ1"/>
    <mergeCell ref="GCO1:GCR1"/>
    <mergeCell ref="GCS1:GCV1"/>
    <mergeCell ref="GCW1:GCZ1"/>
    <mergeCell ref="GDA1:GDD1"/>
    <mergeCell ref="GDE1:GDH1"/>
    <mergeCell ref="GDI1:GDL1"/>
    <mergeCell ref="GHE1:GHH1"/>
    <mergeCell ref="GHI1:GHL1"/>
    <mergeCell ref="GHM1:GHP1"/>
    <mergeCell ref="GHQ1:GHT1"/>
    <mergeCell ref="GHU1:GHX1"/>
    <mergeCell ref="GHY1:GIB1"/>
    <mergeCell ref="GGG1:GGJ1"/>
    <mergeCell ref="GGK1:GGN1"/>
    <mergeCell ref="GGO1:GGR1"/>
    <mergeCell ref="GGS1:GGV1"/>
    <mergeCell ref="GGW1:GGZ1"/>
    <mergeCell ref="GHA1:GHD1"/>
    <mergeCell ref="GFI1:GFL1"/>
    <mergeCell ref="GFM1:GFP1"/>
    <mergeCell ref="GFQ1:GFT1"/>
    <mergeCell ref="GFU1:GFX1"/>
    <mergeCell ref="GFY1:GGB1"/>
    <mergeCell ref="GGC1:GGF1"/>
    <mergeCell ref="GJY1:GKB1"/>
    <mergeCell ref="GKC1:GKF1"/>
    <mergeCell ref="GKG1:GKJ1"/>
    <mergeCell ref="GKK1:GKN1"/>
    <mergeCell ref="GKO1:GKR1"/>
    <mergeCell ref="GKS1:GKV1"/>
    <mergeCell ref="GJA1:GJD1"/>
    <mergeCell ref="GJE1:GJH1"/>
    <mergeCell ref="GJI1:GJL1"/>
    <mergeCell ref="GJM1:GJP1"/>
    <mergeCell ref="GJQ1:GJT1"/>
    <mergeCell ref="GJU1:GJX1"/>
    <mergeCell ref="GIC1:GIF1"/>
    <mergeCell ref="GIG1:GIJ1"/>
    <mergeCell ref="GIK1:GIN1"/>
    <mergeCell ref="GIO1:GIR1"/>
    <mergeCell ref="GIS1:GIV1"/>
    <mergeCell ref="GIW1:GIZ1"/>
    <mergeCell ref="GMS1:GMV1"/>
    <mergeCell ref="GMW1:GMZ1"/>
    <mergeCell ref="GNA1:GND1"/>
    <mergeCell ref="GNE1:GNH1"/>
    <mergeCell ref="GNI1:GNL1"/>
    <mergeCell ref="GNM1:GNP1"/>
    <mergeCell ref="GLU1:GLX1"/>
    <mergeCell ref="GLY1:GMB1"/>
    <mergeCell ref="GMC1:GMF1"/>
    <mergeCell ref="GMG1:GMJ1"/>
    <mergeCell ref="GMK1:GMN1"/>
    <mergeCell ref="GMO1:GMR1"/>
    <mergeCell ref="GKW1:GKZ1"/>
    <mergeCell ref="GLA1:GLD1"/>
    <mergeCell ref="GLE1:GLH1"/>
    <mergeCell ref="GLI1:GLL1"/>
    <mergeCell ref="GLM1:GLP1"/>
    <mergeCell ref="GLQ1:GLT1"/>
    <mergeCell ref="GPM1:GPP1"/>
    <mergeCell ref="GPQ1:GPT1"/>
    <mergeCell ref="GPU1:GPX1"/>
    <mergeCell ref="GPY1:GQB1"/>
    <mergeCell ref="GQC1:GQF1"/>
    <mergeCell ref="GQG1:GQJ1"/>
    <mergeCell ref="GOO1:GOR1"/>
    <mergeCell ref="GOS1:GOV1"/>
    <mergeCell ref="GOW1:GOZ1"/>
    <mergeCell ref="GPA1:GPD1"/>
    <mergeCell ref="GPE1:GPH1"/>
    <mergeCell ref="GPI1:GPL1"/>
    <mergeCell ref="GNQ1:GNT1"/>
    <mergeCell ref="GNU1:GNX1"/>
    <mergeCell ref="GNY1:GOB1"/>
    <mergeCell ref="GOC1:GOF1"/>
    <mergeCell ref="GOG1:GOJ1"/>
    <mergeCell ref="GOK1:GON1"/>
    <mergeCell ref="GSG1:GSJ1"/>
    <mergeCell ref="GSK1:GSN1"/>
    <mergeCell ref="GSO1:GSR1"/>
    <mergeCell ref="GSS1:GSV1"/>
    <mergeCell ref="GSW1:GSZ1"/>
    <mergeCell ref="GTA1:GTD1"/>
    <mergeCell ref="GRI1:GRL1"/>
    <mergeCell ref="GRM1:GRP1"/>
    <mergeCell ref="GRQ1:GRT1"/>
    <mergeCell ref="GRU1:GRX1"/>
    <mergeCell ref="GRY1:GSB1"/>
    <mergeCell ref="GSC1:GSF1"/>
    <mergeCell ref="GQK1:GQN1"/>
    <mergeCell ref="GQO1:GQR1"/>
    <mergeCell ref="GQS1:GQV1"/>
    <mergeCell ref="GQW1:GQZ1"/>
    <mergeCell ref="GRA1:GRD1"/>
    <mergeCell ref="GRE1:GRH1"/>
    <mergeCell ref="GVA1:GVD1"/>
    <mergeCell ref="GVE1:GVH1"/>
    <mergeCell ref="GVI1:GVL1"/>
    <mergeCell ref="GVM1:GVP1"/>
    <mergeCell ref="GVQ1:GVT1"/>
    <mergeCell ref="GVU1:GVX1"/>
    <mergeCell ref="GUC1:GUF1"/>
    <mergeCell ref="GUG1:GUJ1"/>
    <mergeCell ref="GUK1:GUN1"/>
    <mergeCell ref="GUO1:GUR1"/>
    <mergeCell ref="GUS1:GUV1"/>
    <mergeCell ref="GUW1:GUZ1"/>
    <mergeCell ref="GTE1:GTH1"/>
    <mergeCell ref="GTI1:GTL1"/>
    <mergeCell ref="GTM1:GTP1"/>
    <mergeCell ref="GTQ1:GTT1"/>
    <mergeCell ref="GTU1:GTX1"/>
    <mergeCell ref="GTY1:GUB1"/>
    <mergeCell ref="GXU1:GXX1"/>
    <mergeCell ref="GXY1:GYB1"/>
    <mergeCell ref="GYC1:GYF1"/>
    <mergeCell ref="GYG1:GYJ1"/>
    <mergeCell ref="GYK1:GYN1"/>
    <mergeCell ref="GYO1:GYR1"/>
    <mergeCell ref="GWW1:GWZ1"/>
    <mergeCell ref="GXA1:GXD1"/>
    <mergeCell ref="GXE1:GXH1"/>
    <mergeCell ref="GXI1:GXL1"/>
    <mergeCell ref="GXM1:GXP1"/>
    <mergeCell ref="GXQ1:GXT1"/>
    <mergeCell ref="GVY1:GWB1"/>
    <mergeCell ref="GWC1:GWF1"/>
    <mergeCell ref="GWG1:GWJ1"/>
    <mergeCell ref="GWK1:GWN1"/>
    <mergeCell ref="GWO1:GWR1"/>
    <mergeCell ref="GWS1:GWV1"/>
    <mergeCell ref="HAO1:HAR1"/>
    <mergeCell ref="HAS1:HAV1"/>
    <mergeCell ref="HAW1:HAZ1"/>
    <mergeCell ref="HBA1:HBD1"/>
    <mergeCell ref="HBE1:HBH1"/>
    <mergeCell ref="HBI1:HBL1"/>
    <mergeCell ref="GZQ1:GZT1"/>
    <mergeCell ref="GZU1:GZX1"/>
    <mergeCell ref="GZY1:HAB1"/>
    <mergeCell ref="HAC1:HAF1"/>
    <mergeCell ref="HAG1:HAJ1"/>
    <mergeCell ref="HAK1:HAN1"/>
    <mergeCell ref="GYS1:GYV1"/>
    <mergeCell ref="GYW1:GYZ1"/>
    <mergeCell ref="GZA1:GZD1"/>
    <mergeCell ref="GZE1:GZH1"/>
    <mergeCell ref="GZI1:GZL1"/>
    <mergeCell ref="GZM1:GZP1"/>
    <mergeCell ref="HDI1:HDL1"/>
    <mergeCell ref="HDM1:HDP1"/>
    <mergeCell ref="HDQ1:HDT1"/>
    <mergeCell ref="HDU1:HDX1"/>
    <mergeCell ref="HDY1:HEB1"/>
    <mergeCell ref="HEC1:HEF1"/>
    <mergeCell ref="HCK1:HCN1"/>
    <mergeCell ref="HCO1:HCR1"/>
    <mergeCell ref="HCS1:HCV1"/>
    <mergeCell ref="HCW1:HCZ1"/>
    <mergeCell ref="HDA1:HDD1"/>
    <mergeCell ref="HDE1:HDH1"/>
    <mergeCell ref="HBM1:HBP1"/>
    <mergeCell ref="HBQ1:HBT1"/>
    <mergeCell ref="HBU1:HBX1"/>
    <mergeCell ref="HBY1:HCB1"/>
    <mergeCell ref="HCC1:HCF1"/>
    <mergeCell ref="HCG1:HCJ1"/>
    <mergeCell ref="HGC1:HGF1"/>
    <mergeCell ref="HGG1:HGJ1"/>
    <mergeCell ref="HGK1:HGN1"/>
    <mergeCell ref="HGO1:HGR1"/>
    <mergeCell ref="HGS1:HGV1"/>
    <mergeCell ref="HGW1:HGZ1"/>
    <mergeCell ref="HFE1:HFH1"/>
    <mergeCell ref="HFI1:HFL1"/>
    <mergeCell ref="HFM1:HFP1"/>
    <mergeCell ref="HFQ1:HFT1"/>
    <mergeCell ref="HFU1:HFX1"/>
    <mergeCell ref="HFY1:HGB1"/>
    <mergeCell ref="HEG1:HEJ1"/>
    <mergeCell ref="HEK1:HEN1"/>
    <mergeCell ref="HEO1:HER1"/>
    <mergeCell ref="HES1:HEV1"/>
    <mergeCell ref="HEW1:HEZ1"/>
    <mergeCell ref="HFA1:HFD1"/>
    <mergeCell ref="HIW1:HIZ1"/>
    <mergeCell ref="HJA1:HJD1"/>
    <mergeCell ref="HJE1:HJH1"/>
    <mergeCell ref="HJI1:HJL1"/>
    <mergeCell ref="HJM1:HJP1"/>
    <mergeCell ref="HJQ1:HJT1"/>
    <mergeCell ref="HHY1:HIB1"/>
    <mergeCell ref="HIC1:HIF1"/>
    <mergeCell ref="HIG1:HIJ1"/>
    <mergeCell ref="HIK1:HIN1"/>
    <mergeCell ref="HIO1:HIR1"/>
    <mergeCell ref="HIS1:HIV1"/>
    <mergeCell ref="HHA1:HHD1"/>
    <mergeCell ref="HHE1:HHH1"/>
    <mergeCell ref="HHI1:HHL1"/>
    <mergeCell ref="HHM1:HHP1"/>
    <mergeCell ref="HHQ1:HHT1"/>
    <mergeCell ref="HHU1:HHX1"/>
    <mergeCell ref="HLQ1:HLT1"/>
    <mergeCell ref="HLU1:HLX1"/>
    <mergeCell ref="HLY1:HMB1"/>
    <mergeCell ref="HMC1:HMF1"/>
    <mergeCell ref="HMG1:HMJ1"/>
    <mergeCell ref="HMK1:HMN1"/>
    <mergeCell ref="HKS1:HKV1"/>
    <mergeCell ref="HKW1:HKZ1"/>
    <mergeCell ref="HLA1:HLD1"/>
    <mergeCell ref="HLE1:HLH1"/>
    <mergeCell ref="HLI1:HLL1"/>
    <mergeCell ref="HLM1:HLP1"/>
    <mergeCell ref="HJU1:HJX1"/>
    <mergeCell ref="HJY1:HKB1"/>
    <mergeCell ref="HKC1:HKF1"/>
    <mergeCell ref="HKG1:HKJ1"/>
    <mergeCell ref="HKK1:HKN1"/>
    <mergeCell ref="HKO1:HKR1"/>
    <mergeCell ref="HOK1:HON1"/>
    <mergeCell ref="HOO1:HOR1"/>
    <mergeCell ref="HOS1:HOV1"/>
    <mergeCell ref="HOW1:HOZ1"/>
    <mergeCell ref="HPA1:HPD1"/>
    <mergeCell ref="HPE1:HPH1"/>
    <mergeCell ref="HNM1:HNP1"/>
    <mergeCell ref="HNQ1:HNT1"/>
    <mergeCell ref="HNU1:HNX1"/>
    <mergeCell ref="HNY1:HOB1"/>
    <mergeCell ref="HOC1:HOF1"/>
    <mergeCell ref="HOG1:HOJ1"/>
    <mergeCell ref="HMO1:HMR1"/>
    <mergeCell ref="HMS1:HMV1"/>
    <mergeCell ref="HMW1:HMZ1"/>
    <mergeCell ref="HNA1:HND1"/>
    <mergeCell ref="HNE1:HNH1"/>
    <mergeCell ref="HNI1:HNL1"/>
    <mergeCell ref="HRE1:HRH1"/>
    <mergeCell ref="HRI1:HRL1"/>
    <mergeCell ref="HRM1:HRP1"/>
    <mergeCell ref="HRQ1:HRT1"/>
    <mergeCell ref="HRU1:HRX1"/>
    <mergeCell ref="HRY1:HSB1"/>
    <mergeCell ref="HQG1:HQJ1"/>
    <mergeCell ref="HQK1:HQN1"/>
    <mergeCell ref="HQO1:HQR1"/>
    <mergeCell ref="HQS1:HQV1"/>
    <mergeCell ref="HQW1:HQZ1"/>
    <mergeCell ref="HRA1:HRD1"/>
    <mergeCell ref="HPI1:HPL1"/>
    <mergeCell ref="HPM1:HPP1"/>
    <mergeCell ref="HPQ1:HPT1"/>
    <mergeCell ref="HPU1:HPX1"/>
    <mergeCell ref="HPY1:HQB1"/>
    <mergeCell ref="HQC1:HQF1"/>
    <mergeCell ref="HTY1:HUB1"/>
    <mergeCell ref="HUC1:HUF1"/>
    <mergeCell ref="HUG1:HUJ1"/>
    <mergeCell ref="HUK1:HUN1"/>
    <mergeCell ref="HUO1:HUR1"/>
    <mergeCell ref="HUS1:HUV1"/>
    <mergeCell ref="HTA1:HTD1"/>
    <mergeCell ref="HTE1:HTH1"/>
    <mergeCell ref="HTI1:HTL1"/>
    <mergeCell ref="HTM1:HTP1"/>
    <mergeCell ref="HTQ1:HTT1"/>
    <mergeCell ref="HTU1:HTX1"/>
    <mergeCell ref="HSC1:HSF1"/>
    <mergeCell ref="HSG1:HSJ1"/>
    <mergeCell ref="HSK1:HSN1"/>
    <mergeCell ref="HSO1:HSR1"/>
    <mergeCell ref="HSS1:HSV1"/>
    <mergeCell ref="HSW1:HSZ1"/>
    <mergeCell ref="HWS1:HWV1"/>
    <mergeCell ref="HWW1:HWZ1"/>
    <mergeCell ref="HXA1:HXD1"/>
    <mergeCell ref="HXE1:HXH1"/>
    <mergeCell ref="HXI1:HXL1"/>
    <mergeCell ref="HXM1:HXP1"/>
    <mergeCell ref="HVU1:HVX1"/>
    <mergeCell ref="HVY1:HWB1"/>
    <mergeCell ref="HWC1:HWF1"/>
    <mergeCell ref="HWG1:HWJ1"/>
    <mergeCell ref="HWK1:HWN1"/>
    <mergeCell ref="HWO1:HWR1"/>
    <mergeCell ref="HUW1:HUZ1"/>
    <mergeCell ref="HVA1:HVD1"/>
    <mergeCell ref="HVE1:HVH1"/>
    <mergeCell ref="HVI1:HVL1"/>
    <mergeCell ref="HVM1:HVP1"/>
    <mergeCell ref="HVQ1:HVT1"/>
    <mergeCell ref="HZM1:HZP1"/>
    <mergeCell ref="HZQ1:HZT1"/>
    <mergeCell ref="HZU1:HZX1"/>
    <mergeCell ref="HZY1:IAB1"/>
    <mergeCell ref="IAC1:IAF1"/>
    <mergeCell ref="IAG1:IAJ1"/>
    <mergeCell ref="HYO1:HYR1"/>
    <mergeCell ref="HYS1:HYV1"/>
    <mergeCell ref="HYW1:HYZ1"/>
    <mergeCell ref="HZA1:HZD1"/>
    <mergeCell ref="HZE1:HZH1"/>
    <mergeCell ref="HZI1:HZL1"/>
    <mergeCell ref="HXQ1:HXT1"/>
    <mergeCell ref="HXU1:HXX1"/>
    <mergeCell ref="HXY1:HYB1"/>
    <mergeCell ref="HYC1:HYF1"/>
    <mergeCell ref="HYG1:HYJ1"/>
    <mergeCell ref="HYK1:HYN1"/>
    <mergeCell ref="ICG1:ICJ1"/>
    <mergeCell ref="ICK1:ICN1"/>
    <mergeCell ref="ICO1:ICR1"/>
    <mergeCell ref="ICS1:ICV1"/>
    <mergeCell ref="ICW1:ICZ1"/>
    <mergeCell ref="IDA1:IDD1"/>
    <mergeCell ref="IBI1:IBL1"/>
    <mergeCell ref="IBM1:IBP1"/>
    <mergeCell ref="IBQ1:IBT1"/>
    <mergeCell ref="IBU1:IBX1"/>
    <mergeCell ref="IBY1:ICB1"/>
    <mergeCell ref="ICC1:ICF1"/>
    <mergeCell ref="IAK1:IAN1"/>
    <mergeCell ref="IAO1:IAR1"/>
    <mergeCell ref="IAS1:IAV1"/>
    <mergeCell ref="IAW1:IAZ1"/>
    <mergeCell ref="IBA1:IBD1"/>
    <mergeCell ref="IBE1:IBH1"/>
    <mergeCell ref="IFA1:IFD1"/>
    <mergeCell ref="IFE1:IFH1"/>
    <mergeCell ref="IFI1:IFL1"/>
    <mergeCell ref="IFM1:IFP1"/>
    <mergeCell ref="IFQ1:IFT1"/>
    <mergeCell ref="IFU1:IFX1"/>
    <mergeCell ref="IEC1:IEF1"/>
    <mergeCell ref="IEG1:IEJ1"/>
    <mergeCell ref="IEK1:IEN1"/>
    <mergeCell ref="IEO1:IER1"/>
    <mergeCell ref="IES1:IEV1"/>
    <mergeCell ref="IEW1:IEZ1"/>
    <mergeCell ref="IDE1:IDH1"/>
    <mergeCell ref="IDI1:IDL1"/>
    <mergeCell ref="IDM1:IDP1"/>
    <mergeCell ref="IDQ1:IDT1"/>
    <mergeCell ref="IDU1:IDX1"/>
    <mergeCell ref="IDY1:IEB1"/>
    <mergeCell ref="IHU1:IHX1"/>
    <mergeCell ref="IHY1:IIB1"/>
    <mergeCell ref="IIC1:IIF1"/>
    <mergeCell ref="IIG1:IIJ1"/>
    <mergeCell ref="IIK1:IIN1"/>
    <mergeCell ref="IIO1:IIR1"/>
    <mergeCell ref="IGW1:IGZ1"/>
    <mergeCell ref="IHA1:IHD1"/>
    <mergeCell ref="IHE1:IHH1"/>
    <mergeCell ref="IHI1:IHL1"/>
    <mergeCell ref="IHM1:IHP1"/>
    <mergeCell ref="IHQ1:IHT1"/>
    <mergeCell ref="IFY1:IGB1"/>
    <mergeCell ref="IGC1:IGF1"/>
    <mergeCell ref="IGG1:IGJ1"/>
    <mergeCell ref="IGK1:IGN1"/>
    <mergeCell ref="IGO1:IGR1"/>
    <mergeCell ref="IGS1:IGV1"/>
    <mergeCell ref="IKO1:IKR1"/>
    <mergeCell ref="IKS1:IKV1"/>
    <mergeCell ref="IKW1:IKZ1"/>
    <mergeCell ref="ILA1:ILD1"/>
    <mergeCell ref="ILE1:ILH1"/>
    <mergeCell ref="ILI1:ILL1"/>
    <mergeCell ref="IJQ1:IJT1"/>
    <mergeCell ref="IJU1:IJX1"/>
    <mergeCell ref="IJY1:IKB1"/>
    <mergeCell ref="IKC1:IKF1"/>
    <mergeCell ref="IKG1:IKJ1"/>
    <mergeCell ref="IKK1:IKN1"/>
    <mergeCell ref="IIS1:IIV1"/>
    <mergeCell ref="IIW1:IIZ1"/>
    <mergeCell ref="IJA1:IJD1"/>
    <mergeCell ref="IJE1:IJH1"/>
    <mergeCell ref="IJI1:IJL1"/>
    <mergeCell ref="IJM1:IJP1"/>
    <mergeCell ref="INI1:INL1"/>
    <mergeCell ref="INM1:INP1"/>
    <mergeCell ref="INQ1:INT1"/>
    <mergeCell ref="INU1:INX1"/>
    <mergeCell ref="INY1:IOB1"/>
    <mergeCell ref="IOC1:IOF1"/>
    <mergeCell ref="IMK1:IMN1"/>
    <mergeCell ref="IMO1:IMR1"/>
    <mergeCell ref="IMS1:IMV1"/>
    <mergeCell ref="IMW1:IMZ1"/>
    <mergeCell ref="INA1:IND1"/>
    <mergeCell ref="INE1:INH1"/>
    <mergeCell ref="ILM1:ILP1"/>
    <mergeCell ref="ILQ1:ILT1"/>
    <mergeCell ref="ILU1:ILX1"/>
    <mergeCell ref="ILY1:IMB1"/>
    <mergeCell ref="IMC1:IMF1"/>
    <mergeCell ref="IMG1:IMJ1"/>
    <mergeCell ref="IQC1:IQF1"/>
    <mergeCell ref="IQG1:IQJ1"/>
    <mergeCell ref="IQK1:IQN1"/>
    <mergeCell ref="IQO1:IQR1"/>
    <mergeCell ref="IQS1:IQV1"/>
    <mergeCell ref="IQW1:IQZ1"/>
    <mergeCell ref="IPE1:IPH1"/>
    <mergeCell ref="IPI1:IPL1"/>
    <mergeCell ref="IPM1:IPP1"/>
    <mergeCell ref="IPQ1:IPT1"/>
    <mergeCell ref="IPU1:IPX1"/>
    <mergeCell ref="IPY1:IQB1"/>
    <mergeCell ref="IOG1:IOJ1"/>
    <mergeCell ref="IOK1:ION1"/>
    <mergeCell ref="IOO1:IOR1"/>
    <mergeCell ref="IOS1:IOV1"/>
    <mergeCell ref="IOW1:IOZ1"/>
    <mergeCell ref="IPA1:IPD1"/>
    <mergeCell ref="ISW1:ISZ1"/>
    <mergeCell ref="ITA1:ITD1"/>
    <mergeCell ref="ITE1:ITH1"/>
    <mergeCell ref="ITI1:ITL1"/>
    <mergeCell ref="ITM1:ITP1"/>
    <mergeCell ref="ITQ1:ITT1"/>
    <mergeCell ref="IRY1:ISB1"/>
    <mergeCell ref="ISC1:ISF1"/>
    <mergeCell ref="ISG1:ISJ1"/>
    <mergeCell ref="ISK1:ISN1"/>
    <mergeCell ref="ISO1:ISR1"/>
    <mergeCell ref="ISS1:ISV1"/>
    <mergeCell ref="IRA1:IRD1"/>
    <mergeCell ref="IRE1:IRH1"/>
    <mergeCell ref="IRI1:IRL1"/>
    <mergeCell ref="IRM1:IRP1"/>
    <mergeCell ref="IRQ1:IRT1"/>
    <mergeCell ref="IRU1:IRX1"/>
    <mergeCell ref="IVQ1:IVT1"/>
    <mergeCell ref="IVU1:IVX1"/>
    <mergeCell ref="IVY1:IWB1"/>
    <mergeCell ref="IWC1:IWF1"/>
    <mergeCell ref="IWG1:IWJ1"/>
    <mergeCell ref="IWK1:IWN1"/>
    <mergeCell ref="IUS1:IUV1"/>
    <mergeCell ref="IUW1:IUZ1"/>
    <mergeCell ref="IVA1:IVD1"/>
    <mergeCell ref="IVE1:IVH1"/>
    <mergeCell ref="IVI1:IVL1"/>
    <mergeCell ref="IVM1:IVP1"/>
    <mergeCell ref="ITU1:ITX1"/>
    <mergeCell ref="ITY1:IUB1"/>
    <mergeCell ref="IUC1:IUF1"/>
    <mergeCell ref="IUG1:IUJ1"/>
    <mergeCell ref="IUK1:IUN1"/>
    <mergeCell ref="IUO1:IUR1"/>
    <mergeCell ref="IYK1:IYN1"/>
    <mergeCell ref="IYO1:IYR1"/>
    <mergeCell ref="IYS1:IYV1"/>
    <mergeCell ref="IYW1:IYZ1"/>
    <mergeCell ref="IZA1:IZD1"/>
    <mergeCell ref="IZE1:IZH1"/>
    <mergeCell ref="IXM1:IXP1"/>
    <mergeCell ref="IXQ1:IXT1"/>
    <mergeCell ref="IXU1:IXX1"/>
    <mergeCell ref="IXY1:IYB1"/>
    <mergeCell ref="IYC1:IYF1"/>
    <mergeCell ref="IYG1:IYJ1"/>
    <mergeCell ref="IWO1:IWR1"/>
    <mergeCell ref="IWS1:IWV1"/>
    <mergeCell ref="IWW1:IWZ1"/>
    <mergeCell ref="IXA1:IXD1"/>
    <mergeCell ref="IXE1:IXH1"/>
    <mergeCell ref="IXI1:IXL1"/>
    <mergeCell ref="JBE1:JBH1"/>
    <mergeCell ref="JBI1:JBL1"/>
    <mergeCell ref="JBM1:JBP1"/>
    <mergeCell ref="JBQ1:JBT1"/>
    <mergeCell ref="JBU1:JBX1"/>
    <mergeCell ref="JBY1:JCB1"/>
    <mergeCell ref="JAG1:JAJ1"/>
    <mergeCell ref="JAK1:JAN1"/>
    <mergeCell ref="JAO1:JAR1"/>
    <mergeCell ref="JAS1:JAV1"/>
    <mergeCell ref="JAW1:JAZ1"/>
    <mergeCell ref="JBA1:JBD1"/>
    <mergeCell ref="IZI1:IZL1"/>
    <mergeCell ref="IZM1:IZP1"/>
    <mergeCell ref="IZQ1:IZT1"/>
    <mergeCell ref="IZU1:IZX1"/>
    <mergeCell ref="IZY1:JAB1"/>
    <mergeCell ref="JAC1:JAF1"/>
    <mergeCell ref="JDY1:JEB1"/>
    <mergeCell ref="JEC1:JEF1"/>
    <mergeCell ref="JEG1:JEJ1"/>
    <mergeCell ref="JEK1:JEN1"/>
    <mergeCell ref="JEO1:JER1"/>
    <mergeCell ref="JES1:JEV1"/>
    <mergeCell ref="JDA1:JDD1"/>
    <mergeCell ref="JDE1:JDH1"/>
    <mergeCell ref="JDI1:JDL1"/>
    <mergeCell ref="JDM1:JDP1"/>
    <mergeCell ref="JDQ1:JDT1"/>
    <mergeCell ref="JDU1:JDX1"/>
    <mergeCell ref="JCC1:JCF1"/>
    <mergeCell ref="JCG1:JCJ1"/>
    <mergeCell ref="JCK1:JCN1"/>
    <mergeCell ref="JCO1:JCR1"/>
    <mergeCell ref="JCS1:JCV1"/>
    <mergeCell ref="JCW1:JCZ1"/>
    <mergeCell ref="JGS1:JGV1"/>
    <mergeCell ref="JGW1:JGZ1"/>
    <mergeCell ref="JHA1:JHD1"/>
    <mergeCell ref="JHE1:JHH1"/>
    <mergeCell ref="JHI1:JHL1"/>
    <mergeCell ref="JHM1:JHP1"/>
    <mergeCell ref="JFU1:JFX1"/>
    <mergeCell ref="JFY1:JGB1"/>
    <mergeCell ref="JGC1:JGF1"/>
    <mergeCell ref="JGG1:JGJ1"/>
    <mergeCell ref="JGK1:JGN1"/>
    <mergeCell ref="JGO1:JGR1"/>
    <mergeCell ref="JEW1:JEZ1"/>
    <mergeCell ref="JFA1:JFD1"/>
    <mergeCell ref="JFE1:JFH1"/>
    <mergeCell ref="JFI1:JFL1"/>
    <mergeCell ref="JFM1:JFP1"/>
    <mergeCell ref="JFQ1:JFT1"/>
    <mergeCell ref="JJM1:JJP1"/>
    <mergeCell ref="JJQ1:JJT1"/>
    <mergeCell ref="JJU1:JJX1"/>
    <mergeCell ref="JJY1:JKB1"/>
    <mergeCell ref="JKC1:JKF1"/>
    <mergeCell ref="JKG1:JKJ1"/>
    <mergeCell ref="JIO1:JIR1"/>
    <mergeCell ref="JIS1:JIV1"/>
    <mergeCell ref="JIW1:JIZ1"/>
    <mergeCell ref="JJA1:JJD1"/>
    <mergeCell ref="JJE1:JJH1"/>
    <mergeCell ref="JJI1:JJL1"/>
    <mergeCell ref="JHQ1:JHT1"/>
    <mergeCell ref="JHU1:JHX1"/>
    <mergeCell ref="JHY1:JIB1"/>
    <mergeCell ref="JIC1:JIF1"/>
    <mergeCell ref="JIG1:JIJ1"/>
    <mergeCell ref="JIK1:JIN1"/>
    <mergeCell ref="JMG1:JMJ1"/>
    <mergeCell ref="JMK1:JMN1"/>
    <mergeCell ref="JMO1:JMR1"/>
    <mergeCell ref="JMS1:JMV1"/>
    <mergeCell ref="JMW1:JMZ1"/>
    <mergeCell ref="JNA1:JND1"/>
    <mergeCell ref="JLI1:JLL1"/>
    <mergeCell ref="JLM1:JLP1"/>
    <mergeCell ref="JLQ1:JLT1"/>
    <mergeCell ref="JLU1:JLX1"/>
    <mergeCell ref="JLY1:JMB1"/>
    <mergeCell ref="JMC1:JMF1"/>
    <mergeCell ref="JKK1:JKN1"/>
    <mergeCell ref="JKO1:JKR1"/>
    <mergeCell ref="JKS1:JKV1"/>
    <mergeCell ref="JKW1:JKZ1"/>
    <mergeCell ref="JLA1:JLD1"/>
    <mergeCell ref="JLE1:JLH1"/>
    <mergeCell ref="JPA1:JPD1"/>
    <mergeCell ref="JPE1:JPH1"/>
    <mergeCell ref="JPI1:JPL1"/>
    <mergeCell ref="JPM1:JPP1"/>
    <mergeCell ref="JPQ1:JPT1"/>
    <mergeCell ref="JPU1:JPX1"/>
    <mergeCell ref="JOC1:JOF1"/>
    <mergeCell ref="JOG1:JOJ1"/>
    <mergeCell ref="JOK1:JON1"/>
    <mergeCell ref="JOO1:JOR1"/>
    <mergeCell ref="JOS1:JOV1"/>
    <mergeCell ref="JOW1:JOZ1"/>
    <mergeCell ref="JNE1:JNH1"/>
    <mergeCell ref="JNI1:JNL1"/>
    <mergeCell ref="JNM1:JNP1"/>
    <mergeCell ref="JNQ1:JNT1"/>
    <mergeCell ref="JNU1:JNX1"/>
    <mergeCell ref="JNY1:JOB1"/>
    <mergeCell ref="JRU1:JRX1"/>
    <mergeCell ref="JRY1:JSB1"/>
    <mergeCell ref="JSC1:JSF1"/>
    <mergeCell ref="JSG1:JSJ1"/>
    <mergeCell ref="JSK1:JSN1"/>
    <mergeCell ref="JSO1:JSR1"/>
    <mergeCell ref="JQW1:JQZ1"/>
    <mergeCell ref="JRA1:JRD1"/>
    <mergeCell ref="JRE1:JRH1"/>
    <mergeCell ref="JRI1:JRL1"/>
    <mergeCell ref="JRM1:JRP1"/>
    <mergeCell ref="JRQ1:JRT1"/>
    <mergeCell ref="JPY1:JQB1"/>
    <mergeCell ref="JQC1:JQF1"/>
    <mergeCell ref="JQG1:JQJ1"/>
    <mergeCell ref="JQK1:JQN1"/>
    <mergeCell ref="JQO1:JQR1"/>
    <mergeCell ref="JQS1:JQV1"/>
    <mergeCell ref="JUO1:JUR1"/>
    <mergeCell ref="JUS1:JUV1"/>
    <mergeCell ref="JUW1:JUZ1"/>
    <mergeCell ref="JVA1:JVD1"/>
    <mergeCell ref="JVE1:JVH1"/>
    <mergeCell ref="JVI1:JVL1"/>
    <mergeCell ref="JTQ1:JTT1"/>
    <mergeCell ref="JTU1:JTX1"/>
    <mergeCell ref="JTY1:JUB1"/>
    <mergeCell ref="JUC1:JUF1"/>
    <mergeCell ref="JUG1:JUJ1"/>
    <mergeCell ref="JUK1:JUN1"/>
    <mergeCell ref="JSS1:JSV1"/>
    <mergeCell ref="JSW1:JSZ1"/>
    <mergeCell ref="JTA1:JTD1"/>
    <mergeCell ref="JTE1:JTH1"/>
    <mergeCell ref="JTI1:JTL1"/>
    <mergeCell ref="JTM1:JTP1"/>
    <mergeCell ref="JXI1:JXL1"/>
    <mergeCell ref="JXM1:JXP1"/>
    <mergeCell ref="JXQ1:JXT1"/>
    <mergeCell ref="JXU1:JXX1"/>
    <mergeCell ref="JXY1:JYB1"/>
    <mergeCell ref="JYC1:JYF1"/>
    <mergeCell ref="JWK1:JWN1"/>
    <mergeCell ref="JWO1:JWR1"/>
    <mergeCell ref="JWS1:JWV1"/>
    <mergeCell ref="JWW1:JWZ1"/>
    <mergeCell ref="JXA1:JXD1"/>
    <mergeCell ref="JXE1:JXH1"/>
    <mergeCell ref="JVM1:JVP1"/>
    <mergeCell ref="JVQ1:JVT1"/>
    <mergeCell ref="JVU1:JVX1"/>
    <mergeCell ref="JVY1:JWB1"/>
    <mergeCell ref="JWC1:JWF1"/>
    <mergeCell ref="JWG1:JWJ1"/>
    <mergeCell ref="KAC1:KAF1"/>
    <mergeCell ref="KAG1:KAJ1"/>
    <mergeCell ref="KAK1:KAN1"/>
    <mergeCell ref="KAO1:KAR1"/>
    <mergeCell ref="KAS1:KAV1"/>
    <mergeCell ref="KAW1:KAZ1"/>
    <mergeCell ref="JZE1:JZH1"/>
    <mergeCell ref="JZI1:JZL1"/>
    <mergeCell ref="JZM1:JZP1"/>
    <mergeCell ref="JZQ1:JZT1"/>
    <mergeCell ref="JZU1:JZX1"/>
    <mergeCell ref="JZY1:KAB1"/>
    <mergeCell ref="JYG1:JYJ1"/>
    <mergeCell ref="JYK1:JYN1"/>
    <mergeCell ref="JYO1:JYR1"/>
    <mergeCell ref="JYS1:JYV1"/>
    <mergeCell ref="JYW1:JYZ1"/>
    <mergeCell ref="JZA1:JZD1"/>
    <mergeCell ref="KCW1:KCZ1"/>
    <mergeCell ref="KDA1:KDD1"/>
    <mergeCell ref="KDE1:KDH1"/>
    <mergeCell ref="KDI1:KDL1"/>
    <mergeCell ref="KDM1:KDP1"/>
    <mergeCell ref="KDQ1:KDT1"/>
    <mergeCell ref="KBY1:KCB1"/>
    <mergeCell ref="KCC1:KCF1"/>
    <mergeCell ref="KCG1:KCJ1"/>
    <mergeCell ref="KCK1:KCN1"/>
    <mergeCell ref="KCO1:KCR1"/>
    <mergeCell ref="KCS1:KCV1"/>
    <mergeCell ref="KBA1:KBD1"/>
    <mergeCell ref="KBE1:KBH1"/>
    <mergeCell ref="KBI1:KBL1"/>
    <mergeCell ref="KBM1:KBP1"/>
    <mergeCell ref="KBQ1:KBT1"/>
    <mergeCell ref="KBU1:KBX1"/>
    <mergeCell ref="KFQ1:KFT1"/>
    <mergeCell ref="KFU1:KFX1"/>
    <mergeCell ref="KFY1:KGB1"/>
    <mergeCell ref="KGC1:KGF1"/>
    <mergeCell ref="KGG1:KGJ1"/>
    <mergeCell ref="KGK1:KGN1"/>
    <mergeCell ref="KES1:KEV1"/>
    <mergeCell ref="KEW1:KEZ1"/>
    <mergeCell ref="KFA1:KFD1"/>
    <mergeCell ref="KFE1:KFH1"/>
    <mergeCell ref="KFI1:KFL1"/>
    <mergeCell ref="KFM1:KFP1"/>
    <mergeCell ref="KDU1:KDX1"/>
    <mergeCell ref="KDY1:KEB1"/>
    <mergeCell ref="KEC1:KEF1"/>
    <mergeCell ref="KEG1:KEJ1"/>
    <mergeCell ref="KEK1:KEN1"/>
    <mergeCell ref="KEO1:KER1"/>
    <mergeCell ref="KIK1:KIN1"/>
    <mergeCell ref="KIO1:KIR1"/>
    <mergeCell ref="KIS1:KIV1"/>
    <mergeCell ref="KIW1:KIZ1"/>
    <mergeCell ref="KJA1:KJD1"/>
    <mergeCell ref="KJE1:KJH1"/>
    <mergeCell ref="KHM1:KHP1"/>
    <mergeCell ref="KHQ1:KHT1"/>
    <mergeCell ref="KHU1:KHX1"/>
    <mergeCell ref="KHY1:KIB1"/>
    <mergeCell ref="KIC1:KIF1"/>
    <mergeCell ref="KIG1:KIJ1"/>
    <mergeCell ref="KGO1:KGR1"/>
    <mergeCell ref="KGS1:KGV1"/>
    <mergeCell ref="KGW1:KGZ1"/>
    <mergeCell ref="KHA1:KHD1"/>
    <mergeCell ref="KHE1:KHH1"/>
    <mergeCell ref="KHI1:KHL1"/>
    <mergeCell ref="KLE1:KLH1"/>
    <mergeCell ref="KLI1:KLL1"/>
    <mergeCell ref="KLM1:KLP1"/>
    <mergeCell ref="KLQ1:KLT1"/>
    <mergeCell ref="KLU1:KLX1"/>
    <mergeCell ref="KLY1:KMB1"/>
    <mergeCell ref="KKG1:KKJ1"/>
    <mergeCell ref="KKK1:KKN1"/>
    <mergeCell ref="KKO1:KKR1"/>
    <mergeCell ref="KKS1:KKV1"/>
    <mergeCell ref="KKW1:KKZ1"/>
    <mergeCell ref="KLA1:KLD1"/>
    <mergeCell ref="KJI1:KJL1"/>
    <mergeCell ref="KJM1:KJP1"/>
    <mergeCell ref="KJQ1:KJT1"/>
    <mergeCell ref="KJU1:KJX1"/>
    <mergeCell ref="KJY1:KKB1"/>
    <mergeCell ref="KKC1:KKF1"/>
    <mergeCell ref="KNY1:KOB1"/>
    <mergeCell ref="KOC1:KOF1"/>
    <mergeCell ref="KOG1:KOJ1"/>
    <mergeCell ref="KOK1:KON1"/>
    <mergeCell ref="KOO1:KOR1"/>
    <mergeCell ref="KOS1:KOV1"/>
    <mergeCell ref="KNA1:KND1"/>
    <mergeCell ref="KNE1:KNH1"/>
    <mergeCell ref="KNI1:KNL1"/>
    <mergeCell ref="KNM1:KNP1"/>
    <mergeCell ref="KNQ1:KNT1"/>
    <mergeCell ref="KNU1:KNX1"/>
    <mergeCell ref="KMC1:KMF1"/>
    <mergeCell ref="KMG1:KMJ1"/>
    <mergeCell ref="KMK1:KMN1"/>
    <mergeCell ref="KMO1:KMR1"/>
    <mergeCell ref="KMS1:KMV1"/>
    <mergeCell ref="KMW1:KMZ1"/>
    <mergeCell ref="KQS1:KQV1"/>
    <mergeCell ref="KQW1:KQZ1"/>
    <mergeCell ref="KRA1:KRD1"/>
    <mergeCell ref="KRE1:KRH1"/>
    <mergeCell ref="KRI1:KRL1"/>
    <mergeCell ref="KRM1:KRP1"/>
    <mergeCell ref="KPU1:KPX1"/>
    <mergeCell ref="KPY1:KQB1"/>
    <mergeCell ref="KQC1:KQF1"/>
    <mergeCell ref="KQG1:KQJ1"/>
    <mergeCell ref="KQK1:KQN1"/>
    <mergeCell ref="KQO1:KQR1"/>
    <mergeCell ref="KOW1:KOZ1"/>
    <mergeCell ref="KPA1:KPD1"/>
    <mergeCell ref="KPE1:KPH1"/>
    <mergeCell ref="KPI1:KPL1"/>
    <mergeCell ref="KPM1:KPP1"/>
    <mergeCell ref="KPQ1:KPT1"/>
    <mergeCell ref="KTM1:KTP1"/>
    <mergeCell ref="KTQ1:KTT1"/>
    <mergeCell ref="KTU1:KTX1"/>
    <mergeCell ref="KTY1:KUB1"/>
    <mergeCell ref="KUC1:KUF1"/>
    <mergeCell ref="KUG1:KUJ1"/>
    <mergeCell ref="KSO1:KSR1"/>
    <mergeCell ref="KSS1:KSV1"/>
    <mergeCell ref="KSW1:KSZ1"/>
    <mergeCell ref="KTA1:KTD1"/>
    <mergeCell ref="KTE1:KTH1"/>
    <mergeCell ref="KTI1:KTL1"/>
    <mergeCell ref="KRQ1:KRT1"/>
    <mergeCell ref="KRU1:KRX1"/>
    <mergeCell ref="KRY1:KSB1"/>
    <mergeCell ref="KSC1:KSF1"/>
    <mergeCell ref="KSG1:KSJ1"/>
    <mergeCell ref="KSK1:KSN1"/>
    <mergeCell ref="KWG1:KWJ1"/>
    <mergeCell ref="KWK1:KWN1"/>
    <mergeCell ref="KWO1:KWR1"/>
    <mergeCell ref="KWS1:KWV1"/>
    <mergeCell ref="KWW1:KWZ1"/>
    <mergeCell ref="KXA1:KXD1"/>
    <mergeCell ref="KVI1:KVL1"/>
    <mergeCell ref="KVM1:KVP1"/>
    <mergeCell ref="KVQ1:KVT1"/>
    <mergeCell ref="KVU1:KVX1"/>
    <mergeCell ref="KVY1:KWB1"/>
    <mergeCell ref="KWC1:KWF1"/>
    <mergeCell ref="KUK1:KUN1"/>
    <mergeCell ref="KUO1:KUR1"/>
    <mergeCell ref="KUS1:KUV1"/>
    <mergeCell ref="KUW1:KUZ1"/>
    <mergeCell ref="KVA1:KVD1"/>
    <mergeCell ref="KVE1:KVH1"/>
    <mergeCell ref="KZA1:KZD1"/>
    <mergeCell ref="KZE1:KZH1"/>
    <mergeCell ref="KZI1:KZL1"/>
    <mergeCell ref="KZM1:KZP1"/>
    <mergeCell ref="KZQ1:KZT1"/>
    <mergeCell ref="KZU1:KZX1"/>
    <mergeCell ref="KYC1:KYF1"/>
    <mergeCell ref="KYG1:KYJ1"/>
    <mergeCell ref="KYK1:KYN1"/>
    <mergeCell ref="KYO1:KYR1"/>
    <mergeCell ref="KYS1:KYV1"/>
    <mergeCell ref="KYW1:KYZ1"/>
    <mergeCell ref="KXE1:KXH1"/>
    <mergeCell ref="KXI1:KXL1"/>
    <mergeCell ref="KXM1:KXP1"/>
    <mergeCell ref="KXQ1:KXT1"/>
    <mergeCell ref="KXU1:KXX1"/>
    <mergeCell ref="KXY1:KYB1"/>
    <mergeCell ref="LBU1:LBX1"/>
    <mergeCell ref="LBY1:LCB1"/>
    <mergeCell ref="LCC1:LCF1"/>
    <mergeCell ref="LCG1:LCJ1"/>
    <mergeCell ref="LCK1:LCN1"/>
    <mergeCell ref="LCO1:LCR1"/>
    <mergeCell ref="LAW1:LAZ1"/>
    <mergeCell ref="LBA1:LBD1"/>
    <mergeCell ref="LBE1:LBH1"/>
    <mergeCell ref="LBI1:LBL1"/>
    <mergeCell ref="LBM1:LBP1"/>
    <mergeCell ref="LBQ1:LBT1"/>
    <mergeCell ref="KZY1:LAB1"/>
    <mergeCell ref="LAC1:LAF1"/>
    <mergeCell ref="LAG1:LAJ1"/>
    <mergeCell ref="LAK1:LAN1"/>
    <mergeCell ref="LAO1:LAR1"/>
    <mergeCell ref="LAS1:LAV1"/>
    <mergeCell ref="LEO1:LER1"/>
    <mergeCell ref="LES1:LEV1"/>
    <mergeCell ref="LEW1:LEZ1"/>
    <mergeCell ref="LFA1:LFD1"/>
    <mergeCell ref="LFE1:LFH1"/>
    <mergeCell ref="LFI1:LFL1"/>
    <mergeCell ref="LDQ1:LDT1"/>
    <mergeCell ref="LDU1:LDX1"/>
    <mergeCell ref="LDY1:LEB1"/>
    <mergeCell ref="LEC1:LEF1"/>
    <mergeCell ref="LEG1:LEJ1"/>
    <mergeCell ref="LEK1:LEN1"/>
    <mergeCell ref="LCS1:LCV1"/>
    <mergeCell ref="LCW1:LCZ1"/>
    <mergeCell ref="LDA1:LDD1"/>
    <mergeCell ref="LDE1:LDH1"/>
    <mergeCell ref="LDI1:LDL1"/>
    <mergeCell ref="LDM1:LDP1"/>
    <mergeCell ref="LHI1:LHL1"/>
    <mergeCell ref="LHM1:LHP1"/>
    <mergeCell ref="LHQ1:LHT1"/>
    <mergeCell ref="LHU1:LHX1"/>
    <mergeCell ref="LHY1:LIB1"/>
    <mergeCell ref="LIC1:LIF1"/>
    <mergeCell ref="LGK1:LGN1"/>
    <mergeCell ref="LGO1:LGR1"/>
    <mergeCell ref="LGS1:LGV1"/>
    <mergeCell ref="LGW1:LGZ1"/>
    <mergeCell ref="LHA1:LHD1"/>
    <mergeCell ref="LHE1:LHH1"/>
    <mergeCell ref="LFM1:LFP1"/>
    <mergeCell ref="LFQ1:LFT1"/>
    <mergeCell ref="LFU1:LFX1"/>
    <mergeCell ref="LFY1:LGB1"/>
    <mergeCell ref="LGC1:LGF1"/>
    <mergeCell ref="LGG1:LGJ1"/>
    <mergeCell ref="LKC1:LKF1"/>
    <mergeCell ref="LKG1:LKJ1"/>
    <mergeCell ref="LKK1:LKN1"/>
    <mergeCell ref="LKO1:LKR1"/>
    <mergeCell ref="LKS1:LKV1"/>
    <mergeCell ref="LKW1:LKZ1"/>
    <mergeCell ref="LJE1:LJH1"/>
    <mergeCell ref="LJI1:LJL1"/>
    <mergeCell ref="LJM1:LJP1"/>
    <mergeCell ref="LJQ1:LJT1"/>
    <mergeCell ref="LJU1:LJX1"/>
    <mergeCell ref="LJY1:LKB1"/>
    <mergeCell ref="LIG1:LIJ1"/>
    <mergeCell ref="LIK1:LIN1"/>
    <mergeCell ref="LIO1:LIR1"/>
    <mergeCell ref="LIS1:LIV1"/>
    <mergeCell ref="LIW1:LIZ1"/>
    <mergeCell ref="LJA1:LJD1"/>
    <mergeCell ref="LMW1:LMZ1"/>
    <mergeCell ref="LNA1:LND1"/>
    <mergeCell ref="LNE1:LNH1"/>
    <mergeCell ref="LNI1:LNL1"/>
    <mergeCell ref="LNM1:LNP1"/>
    <mergeCell ref="LNQ1:LNT1"/>
    <mergeCell ref="LLY1:LMB1"/>
    <mergeCell ref="LMC1:LMF1"/>
    <mergeCell ref="LMG1:LMJ1"/>
    <mergeCell ref="LMK1:LMN1"/>
    <mergeCell ref="LMO1:LMR1"/>
    <mergeCell ref="LMS1:LMV1"/>
    <mergeCell ref="LLA1:LLD1"/>
    <mergeCell ref="LLE1:LLH1"/>
    <mergeCell ref="LLI1:LLL1"/>
    <mergeCell ref="LLM1:LLP1"/>
    <mergeCell ref="LLQ1:LLT1"/>
    <mergeCell ref="LLU1:LLX1"/>
    <mergeCell ref="LPQ1:LPT1"/>
    <mergeCell ref="LPU1:LPX1"/>
    <mergeCell ref="LPY1:LQB1"/>
    <mergeCell ref="LQC1:LQF1"/>
    <mergeCell ref="LQG1:LQJ1"/>
    <mergeCell ref="LQK1:LQN1"/>
    <mergeCell ref="LOS1:LOV1"/>
    <mergeCell ref="LOW1:LOZ1"/>
    <mergeCell ref="LPA1:LPD1"/>
    <mergeCell ref="LPE1:LPH1"/>
    <mergeCell ref="LPI1:LPL1"/>
    <mergeCell ref="LPM1:LPP1"/>
    <mergeCell ref="LNU1:LNX1"/>
    <mergeCell ref="LNY1:LOB1"/>
    <mergeCell ref="LOC1:LOF1"/>
    <mergeCell ref="LOG1:LOJ1"/>
    <mergeCell ref="LOK1:LON1"/>
    <mergeCell ref="LOO1:LOR1"/>
    <mergeCell ref="LSK1:LSN1"/>
    <mergeCell ref="LSO1:LSR1"/>
    <mergeCell ref="LSS1:LSV1"/>
    <mergeCell ref="LSW1:LSZ1"/>
    <mergeCell ref="LTA1:LTD1"/>
    <mergeCell ref="LTE1:LTH1"/>
    <mergeCell ref="LRM1:LRP1"/>
    <mergeCell ref="LRQ1:LRT1"/>
    <mergeCell ref="LRU1:LRX1"/>
    <mergeCell ref="LRY1:LSB1"/>
    <mergeCell ref="LSC1:LSF1"/>
    <mergeCell ref="LSG1:LSJ1"/>
    <mergeCell ref="LQO1:LQR1"/>
    <mergeCell ref="LQS1:LQV1"/>
    <mergeCell ref="LQW1:LQZ1"/>
    <mergeCell ref="LRA1:LRD1"/>
    <mergeCell ref="LRE1:LRH1"/>
    <mergeCell ref="LRI1:LRL1"/>
    <mergeCell ref="LVE1:LVH1"/>
    <mergeCell ref="LVI1:LVL1"/>
    <mergeCell ref="LVM1:LVP1"/>
    <mergeCell ref="LVQ1:LVT1"/>
    <mergeCell ref="LVU1:LVX1"/>
    <mergeCell ref="LVY1:LWB1"/>
    <mergeCell ref="LUG1:LUJ1"/>
    <mergeCell ref="LUK1:LUN1"/>
    <mergeCell ref="LUO1:LUR1"/>
    <mergeCell ref="LUS1:LUV1"/>
    <mergeCell ref="LUW1:LUZ1"/>
    <mergeCell ref="LVA1:LVD1"/>
    <mergeCell ref="LTI1:LTL1"/>
    <mergeCell ref="LTM1:LTP1"/>
    <mergeCell ref="LTQ1:LTT1"/>
    <mergeCell ref="LTU1:LTX1"/>
    <mergeCell ref="LTY1:LUB1"/>
    <mergeCell ref="LUC1:LUF1"/>
    <mergeCell ref="LXY1:LYB1"/>
    <mergeCell ref="LYC1:LYF1"/>
    <mergeCell ref="LYG1:LYJ1"/>
    <mergeCell ref="LYK1:LYN1"/>
    <mergeCell ref="LYO1:LYR1"/>
    <mergeCell ref="LYS1:LYV1"/>
    <mergeCell ref="LXA1:LXD1"/>
    <mergeCell ref="LXE1:LXH1"/>
    <mergeCell ref="LXI1:LXL1"/>
    <mergeCell ref="LXM1:LXP1"/>
    <mergeCell ref="LXQ1:LXT1"/>
    <mergeCell ref="LXU1:LXX1"/>
    <mergeCell ref="LWC1:LWF1"/>
    <mergeCell ref="LWG1:LWJ1"/>
    <mergeCell ref="LWK1:LWN1"/>
    <mergeCell ref="LWO1:LWR1"/>
    <mergeCell ref="LWS1:LWV1"/>
    <mergeCell ref="LWW1:LWZ1"/>
    <mergeCell ref="MAS1:MAV1"/>
    <mergeCell ref="MAW1:MAZ1"/>
    <mergeCell ref="MBA1:MBD1"/>
    <mergeCell ref="MBE1:MBH1"/>
    <mergeCell ref="MBI1:MBL1"/>
    <mergeCell ref="MBM1:MBP1"/>
    <mergeCell ref="LZU1:LZX1"/>
    <mergeCell ref="LZY1:MAB1"/>
    <mergeCell ref="MAC1:MAF1"/>
    <mergeCell ref="MAG1:MAJ1"/>
    <mergeCell ref="MAK1:MAN1"/>
    <mergeCell ref="MAO1:MAR1"/>
    <mergeCell ref="LYW1:LYZ1"/>
    <mergeCell ref="LZA1:LZD1"/>
    <mergeCell ref="LZE1:LZH1"/>
    <mergeCell ref="LZI1:LZL1"/>
    <mergeCell ref="LZM1:LZP1"/>
    <mergeCell ref="LZQ1:LZT1"/>
    <mergeCell ref="MDM1:MDP1"/>
    <mergeCell ref="MDQ1:MDT1"/>
    <mergeCell ref="MDU1:MDX1"/>
    <mergeCell ref="MDY1:MEB1"/>
    <mergeCell ref="MEC1:MEF1"/>
    <mergeCell ref="MEG1:MEJ1"/>
    <mergeCell ref="MCO1:MCR1"/>
    <mergeCell ref="MCS1:MCV1"/>
    <mergeCell ref="MCW1:MCZ1"/>
    <mergeCell ref="MDA1:MDD1"/>
    <mergeCell ref="MDE1:MDH1"/>
    <mergeCell ref="MDI1:MDL1"/>
    <mergeCell ref="MBQ1:MBT1"/>
    <mergeCell ref="MBU1:MBX1"/>
    <mergeCell ref="MBY1:MCB1"/>
    <mergeCell ref="MCC1:MCF1"/>
    <mergeCell ref="MCG1:MCJ1"/>
    <mergeCell ref="MCK1:MCN1"/>
    <mergeCell ref="MGG1:MGJ1"/>
    <mergeCell ref="MGK1:MGN1"/>
    <mergeCell ref="MGO1:MGR1"/>
    <mergeCell ref="MGS1:MGV1"/>
    <mergeCell ref="MGW1:MGZ1"/>
    <mergeCell ref="MHA1:MHD1"/>
    <mergeCell ref="MFI1:MFL1"/>
    <mergeCell ref="MFM1:MFP1"/>
    <mergeCell ref="MFQ1:MFT1"/>
    <mergeCell ref="MFU1:MFX1"/>
    <mergeCell ref="MFY1:MGB1"/>
    <mergeCell ref="MGC1:MGF1"/>
    <mergeCell ref="MEK1:MEN1"/>
    <mergeCell ref="MEO1:MER1"/>
    <mergeCell ref="MES1:MEV1"/>
    <mergeCell ref="MEW1:MEZ1"/>
    <mergeCell ref="MFA1:MFD1"/>
    <mergeCell ref="MFE1:MFH1"/>
    <mergeCell ref="MJA1:MJD1"/>
    <mergeCell ref="MJE1:MJH1"/>
    <mergeCell ref="MJI1:MJL1"/>
    <mergeCell ref="MJM1:MJP1"/>
    <mergeCell ref="MJQ1:MJT1"/>
    <mergeCell ref="MJU1:MJX1"/>
    <mergeCell ref="MIC1:MIF1"/>
    <mergeCell ref="MIG1:MIJ1"/>
    <mergeCell ref="MIK1:MIN1"/>
    <mergeCell ref="MIO1:MIR1"/>
    <mergeCell ref="MIS1:MIV1"/>
    <mergeCell ref="MIW1:MIZ1"/>
    <mergeCell ref="MHE1:MHH1"/>
    <mergeCell ref="MHI1:MHL1"/>
    <mergeCell ref="MHM1:MHP1"/>
    <mergeCell ref="MHQ1:MHT1"/>
    <mergeCell ref="MHU1:MHX1"/>
    <mergeCell ref="MHY1:MIB1"/>
    <mergeCell ref="MLU1:MLX1"/>
    <mergeCell ref="MLY1:MMB1"/>
    <mergeCell ref="MMC1:MMF1"/>
    <mergeCell ref="MMG1:MMJ1"/>
    <mergeCell ref="MMK1:MMN1"/>
    <mergeCell ref="MMO1:MMR1"/>
    <mergeCell ref="MKW1:MKZ1"/>
    <mergeCell ref="MLA1:MLD1"/>
    <mergeCell ref="MLE1:MLH1"/>
    <mergeCell ref="MLI1:MLL1"/>
    <mergeCell ref="MLM1:MLP1"/>
    <mergeCell ref="MLQ1:MLT1"/>
    <mergeCell ref="MJY1:MKB1"/>
    <mergeCell ref="MKC1:MKF1"/>
    <mergeCell ref="MKG1:MKJ1"/>
    <mergeCell ref="MKK1:MKN1"/>
    <mergeCell ref="MKO1:MKR1"/>
    <mergeCell ref="MKS1:MKV1"/>
    <mergeCell ref="MOO1:MOR1"/>
    <mergeCell ref="MOS1:MOV1"/>
    <mergeCell ref="MOW1:MOZ1"/>
    <mergeCell ref="MPA1:MPD1"/>
    <mergeCell ref="MPE1:MPH1"/>
    <mergeCell ref="MPI1:MPL1"/>
    <mergeCell ref="MNQ1:MNT1"/>
    <mergeCell ref="MNU1:MNX1"/>
    <mergeCell ref="MNY1:MOB1"/>
    <mergeCell ref="MOC1:MOF1"/>
    <mergeCell ref="MOG1:MOJ1"/>
    <mergeCell ref="MOK1:MON1"/>
    <mergeCell ref="MMS1:MMV1"/>
    <mergeCell ref="MMW1:MMZ1"/>
    <mergeCell ref="MNA1:MND1"/>
    <mergeCell ref="MNE1:MNH1"/>
    <mergeCell ref="MNI1:MNL1"/>
    <mergeCell ref="MNM1:MNP1"/>
    <mergeCell ref="MRI1:MRL1"/>
    <mergeCell ref="MRM1:MRP1"/>
    <mergeCell ref="MRQ1:MRT1"/>
    <mergeCell ref="MRU1:MRX1"/>
    <mergeCell ref="MRY1:MSB1"/>
    <mergeCell ref="MSC1:MSF1"/>
    <mergeCell ref="MQK1:MQN1"/>
    <mergeCell ref="MQO1:MQR1"/>
    <mergeCell ref="MQS1:MQV1"/>
    <mergeCell ref="MQW1:MQZ1"/>
    <mergeCell ref="MRA1:MRD1"/>
    <mergeCell ref="MRE1:MRH1"/>
    <mergeCell ref="MPM1:MPP1"/>
    <mergeCell ref="MPQ1:MPT1"/>
    <mergeCell ref="MPU1:MPX1"/>
    <mergeCell ref="MPY1:MQB1"/>
    <mergeCell ref="MQC1:MQF1"/>
    <mergeCell ref="MQG1:MQJ1"/>
    <mergeCell ref="MUC1:MUF1"/>
    <mergeCell ref="MUG1:MUJ1"/>
    <mergeCell ref="MUK1:MUN1"/>
    <mergeCell ref="MUO1:MUR1"/>
    <mergeCell ref="MUS1:MUV1"/>
    <mergeCell ref="MUW1:MUZ1"/>
    <mergeCell ref="MTE1:MTH1"/>
    <mergeCell ref="MTI1:MTL1"/>
    <mergeCell ref="MTM1:MTP1"/>
    <mergeCell ref="MTQ1:MTT1"/>
    <mergeCell ref="MTU1:MTX1"/>
    <mergeCell ref="MTY1:MUB1"/>
    <mergeCell ref="MSG1:MSJ1"/>
    <mergeCell ref="MSK1:MSN1"/>
    <mergeCell ref="MSO1:MSR1"/>
    <mergeCell ref="MSS1:MSV1"/>
    <mergeCell ref="MSW1:MSZ1"/>
    <mergeCell ref="MTA1:MTD1"/>
    <mergeCell ref="MWW1:MWZ1"/>
    <mergeCell ref="MXA1:MXD1"/>
    <mergeCell ref="MXE1:MXH1"/>
    <mergeCell ref="MXI1:MXL1"/>
    <mergeCell ref="MXM1:MXP1"/>
    <mergeCell ref="MXQ1:MXT1"/>
    <mergeCell ref="MVY1:MWB1"/>
    <mergeCell ref="MWC1:MWF1"/>
    <mergeCell ref="MWG1:MWJ1"/>
    <mergeCell ref="MWK1:MWN1"/>
    <mergeCell ref="MWO1:MWR1"/>
    <mergeCell ref="MWS1:MWV1"/>
    <mergeCell ref="MVA1:MVD1"/>
    <mergeCell ref="MVE1:MVH1"/>
    <mergeCell ref="MVI1:MVL1"/>
    <mergeCell ref="MVM1:MVP1"/>
    <mergeCell ref="MVQ1:MVT1"/>
    <mergeCell ref="MVU1:MVX1"/>
    <mergeCell ref="MZQ1:MZT1"/>
    <mergeCell ref="MZU1:MZX1"/>
    <mergeCell ref="MZY1:NAB1"/>
    <mergeCell ref="NAC1:NAF1"/>
    <mergeCell ref="NAG1:NAJ1"/>
    <mergeCell ref="NAK1:NAN1"/>
    <mergeCell ref="MYS1:MYV1"/>
    <mergeCell ref="MYW1:MYZ1"/>
    <mergeCell ref="MZA1:MZD1"/>
    <mergeCell ref="MZE1:MZH1"/>
    <mergeCell ref="MZI1:MZL1"/>
    <mergeCell ref="MZM1:MZP1"/>
    <mergeCell ref="MXU1:MXX1"/>
    <mergeCell ref="MXY1:MYB1"/>
    <mergeCell ref="MYC1:MYF1"/>
    <mergeCell ref="MYG1:MYJ1"/>
    <mergeCell ref="MYK1:MYN1"/>
    <mergeCell ref="MYO1:MYR1"/>
    <mergeCell ref="NCK1:NCN1"/>
    <mergeCell ref="NCO1:NCR1"/>
    <mergeCell ref="NCS1:NCV1"/>
    <mergeCell ref="NCW1:NCZ1"/>
    <mergeCell ref="NDA1:NDD1"/>
    <mergeCell ref="NDE1:NDH1"/>
    <mergeCell ref="NBM1:NBP1"/>
    <mergeCell ref="NBQ1:NBT1"/>
    <mergeCell ref="NBU1:NBX1"/>
    <mergeCell ref="NBY1:NCB1"/>
    <mergeCell ref="NCC1:NCF1"/>
    <mergeCell ref="NCG1:NCJ1"/>
    <mergeCell ref="NAO1:NAR1"/>
    <mergeCell ref="NAS1:NAV1"/>
    <mergeCell ref="NAW1:NAZ1"/>
    <mergeCell ref="NBA1:NBD1"/>
    <mergeCell ref="NBE1:NBH1"/>
    <mergeCell ref="NBI1:NBL1"/>
    <mergeCell ref="NFE1:NFH1"/>
    <mergeCell ref="NFI1:NFL1"/>
    <mergeCell ref="NFM1:NFP1"/>
    <mergeCell ref="NFQ1:NFT1"/>
    <mergeCell ref="NFU1:NFX1"/>
    <mergeCell ref="NFY1:NGB1"/>
    <mergeCell ref="NEG1:NEJ1"/>
    <mergeCell ref="NEK1:NEN1"/>
    <mergeCell ref="NEO1:NER1"/>
    <mergeCell ref="NES1:NEV1"/>
    <mergeCell ref="NEW1:NEZ1"/>
    <mergeCell ref="NFA1:NFD1"/>
    <mergeCell ref="NDI1:NDL1"/>
    <mergeCell ref="NDM1:NDP1"/>
    <mergeCell ref="NDQ1:NDT1"/>
    <mergeCell ref="NDU1:NDX1"/>
    <mergeCell ref="NDY1:NEB1"/>
    <mergeCell ref="NEC1:NEF1"/>
    <mergeCell ref="NHY1:NIB1"/>
    <mergeCell ref="NIC1:NIF1"/>
    <mergeCell ref="NIG1:NIJ1"/>
    <mergeCell ref="NIK1:NIN1"/>
    <mergeCell ref="NIO1:NIR1"/>
    <mergeCell ref="NIS1:NIV1"/>
    <mergeCell ref="NHA1:NHD1"/>
    <mergeCell ref="NHE1:NHH1"/>
    <mergeCell ref="NHI1:NHL1"/>
    <mergeCell ref="NHM1:NHP1"/>
    <mergeCell ref="NHQ1:NHT1"/>
    <mergeCell ref="NHU1:NHX1"/>
    <mergeCell ref="NGC1:NGF1"/>
    <mergeCell ref="NGG1:NGJ1"/>
    <mergeCell ref="NGK1:NGN1"/>
    <mergeCell ref="NGO1:NGR1"/>
    <mergeCell ref="NGS1:NGV1"/>
    <mergeCell ref="NGW1:NGZ1"/>
    <mergeCell ref="NKS1:NKV1"/>
    <mergeCell ref="NKW1:NKZ1"/>
    <mergeCell ref="NLA1:NLD1"/>
    <mergeCell ref="NLE1:NLH1"/>
    <mergeCell ref="NLI1:NLL1"/>
    <mergeCell ref="NLM1:NLP1"/>
    <mergeCell ref="NJU1:NJX1"/>
    <mergeCell ref="NJY1:NKB1"/>
    <mergeCell ref="NKC1:NKF1"/>
    <mergeCell ref="NKG1:NKJ1"/>
    <mergeCell ref="NKK1:NKN1"/>
    <mergeCell ref="NKO1:NKR1"/>
    <mergeCell ref="NIW1:NIZ1"/>
    <mergeCell ref="NJA1:NJD1"/>
    <mergeCell ref="NJE1:NJH1"/>
    <mergeCell ref="NJI1:NJL1"/>
    <mergeCell ref="NJM1:NJP1"/>
    <mergeCell ref="NJQ1:NJT1"/>
    <mergeCell ref="NNM1:NNP1"/>
    <mergeCell ref="NNQ1:NNT1"/>
    <mergeCell ref="NNU1:NNX1"/>
    <mergeCell ref="NNY1:NOB1"/>
    <mergeCell ref="NOC1:NOF1"/>
    <mergeCell ref="NOG1:NOJ1"/>
    <mergeCell ref="NMO1:NMR1"/>
    <mergeCell ref="NMS1:NMV1"/>
    <mergeCell ref="NMW1:NMZ1"/>
    <mergeCell ref="NNA1:NND1"/>
    <mergeCell ref="NNE1:NNH1"/>
    <mergeCell ref="NNI1:NNL1"/>
    <mergeCell ref="NLQ1:NLT1"/>
    <mergeCell ref="NLU1:NLX1"/>
    <mergeCell ref="NLY1:NMB1"/>
    <mergeCell ref="NMC1:NMF1"/>
    <mergeCell ref="NMG1:NMJ1"/>
    <mergeCell ref="NMK1:NMN1"/>
    <mergeCell ref="NQG1:NQJ1"/>
    <mergeCell ref="NQK1:NQN1"/>
    <mergeCell ref="NQO1:NQR1"/>
    <mergeCell ref="NQS1:NQV1"/>
    <mergeCell ref="NQW1:NQZ1"/>
    <mergeCell ref="NRA1:NRD1"/>
    <mergeCell ref="NPI1:NPL1"/>
    <mergeCell ref="NPM1:NPP1"/>
    <mergeCell ref="NPQ1:NPT1"/>
    <mergeCell ref="NPU1:NPX1"/>
    <mergeCell ref="NPY1:NQB1"/>
    <mergeCell ref="NQC1:NQF1"/>
    <mergeCell ref="NOK1:NON1"/>
    <mergeCell ref="NOO1:NOR1"/>
    <mergeCell ref="NOS1:NOV1"/>
    <mergeCell ref="NOW1:NOZ1"/>
    <mergeCell ref="NPA1:NPD1"/>
    <mergeCell ref="NPE1:NPH1"/>
    <mergeCell ref="NTA1:NTD1"/>
    <mergeCell ref="NTE1:NTH1"/>
    <mergeCell ref="NTI1:NTL1"/>
    <mergeCell ref="NTM1:NTP1"/>
    <mergeCell ref="NTQ1:NTT1"/>
    <mergeCell ref="NTU1:NTX1"/>
    <mergeCell ref="NSC1:NSF1"/>
    <mergeCell ref="NSG1:NSJ1"/>
    <mergeCell ref="NSK1:NSN1"/>
    <mergeCell ref="NSO1:NSR1"/>
    <mergeCell ref="NSS1:NSV1"/>
    <mergeCell ref="NSW1:NSZ1"/>
    <mergeCell ref="NRE1:NRH1"/>
    <mergeCell ref="NRI1:NRL1"/>
    <mergeCell ref="NRM1:NRP1"/>
    <mergeCell ref="NRQ1:NRT1"/>
    <mergeCell ref="NRU1:NRX1"/>
    <mergeCell ref="NRY1:NSB1"/>
    <mergeCell ref="NVU1:NVX1"/>
    <mergeCell ref="NVY1:NWB1"/>
    <mergeCell ref="NWC1:NWF1"/>
    <mergeCell ref="NWG1:NWJ1"/>
    <mergeCell ref="NWK1:NWN1"/>
    <mergeCell ref="NWO1:NWR1"/>
    <mergeCell ref="NUW1:NUZ1"/>
    <mergeCell ref="NVA1:NVD1"/>
    <mergeCell ref="NVE1:NVH1"/>
    <mergeCell ref="NVI1:NVL1"/>
    <mergeCell ref="NVM1:NVP1"/>
    <mergeCell ref="NVQ1:NVT1"/>
    <mergeCell ref="NTY1:NUB1"/>
    <mergeCell ref="NUC1:NUF1"/>
    <mergeCell ref="NUG1:NUJ1"/>
    <mergeCell ref="NUK1:NUN1"/>
    <mergeCell ref="NUO1:NUR1"/>
    <mergeCell ref="NUS1:NUV1"/>
    <mergeCell ref="NYO1:NYR1"/>
    <mergeCell ref="NYS1:NYV1"/>
    <mergeCell ref="NYW1:NYZ1"/>
    <mergeCell ref="NZA1:NZD1"/>
    <mergeCell ref="NZE1:NZH1"/>
    <mergeCell ref="NZI1:NZL1"/>
    <mergeCell ref="NXQ1:NXT1"/>
    <mergeCell ref="NXU1:NXX1"/>
    <mergeCell ref="NXY1:NYB1"/>
    <mergeCell ref="NYC1:NYF1"/>
    <mergeCell ref="NYG1:NYJ1"/>
    <mergeCell ref="NYK1:NYN1"/>
    <mergeCell ref="NWS1:NWV1"/>
    <mergeCell ref="NWW1:NWZ1"/>
    <mergeCell ref="NXA1:NXD1"/>
    <mergeCell ref="NXE1:NXH1"/>
    <mergeCell ref="NXI1:NXL1"/>
    <mergeCell ref="NXM1:NXP1"/>
    <mergeCell ref="OBI1:OBL1"/>
    <mergeCell ref="OBM1:OBP1"/>
    <mergeCell ref="OBQ1:OBT1"/>
    <mergeCell ref="OBU1:OBX1"/>
    <mergeCell ref="OBY1:OCB1"/>
    <mergeCell ref="OCC1:OCF1"/>
    <mergeCell ref="OAK1:OAN1"/>
    <mergeCell ref="OAO1:OAR1"/>
    <mergeCell ref="OAS1:OAV1"/>
    <mergeCell ref="OAW1:OAZ1"/>
    <mergeCell ref="OBA1:OBD1"/>
    <mergeCell ref="OBE1:OBH1"/>
    <mergeCell ref="NZM1:NZP1"/>
    <mergeCell ref="NZQ1:NZT1"/>
    <mergeCell ref="NZU1:NZX1"/>
    <mergeCell ref="NZY1:OAB1"/>
    <mergeCell ref="OAC1:OAF1"/>
    <mergeCell ref="OAG1:OAJ1"/>
    <mergeCell ref="OEC1:OEF1"/>
    <mergeCell ref="OEG1:OEJ1"/>
    <mergeCell ref="OEK1:OEN1"/>
    <mergeCell ref="OEO1:OER1"/>
    <mergeCell ref="OES1:OEV1"/>
    <mergeCell ref="OEW1:OEZ1"/>
    <mergeCell ref="ODE1:ODH1"/>
    <mergeCell ref="ODI1:ODL1"/>
    <mergeCell ref="ODM1:ODP1"/>
    <mergeCell ref="ODQ1:ODT1"/>
    <mergeCell ref="ODU1:ODX1"/>
    <mergeCell ref="ODY1:OEB1"/>
    <mergeCell ref="OCG1:OCJ1"/>
    <mergeCell ref="OCK1:OCN1"/>
    <mergeCell ref="OCO1:OCR1"/>
    <mergeCell ref="OCS1:OCV1"/>
    <mergeCell ref="OCW1:OCZ1"/>
    <mergeCell ref="ODA1:ODD1"/>
    <mergeCell ref="OGW1:OGZ1"/>
    <mergeCell ref="OHA1:OHD1"/>
    <mergeCell ref="OHE1:OHH1"/>
    <mergeCell ref="OHI1:OHL1"/>
    <mergeCell ref="OHM1:OHP1"/>
    <mergeCell ref="OHQ1:OHT1"/>
    <mergeCell ref="OFY1:OGB1"/>
    <mergeCell ref="OGC1:OGF1"/>
    <mergeCell ref="OGG1:OGJ1"/>
    <mergeCell ref="OGK1:OGN1"/>
    <mergeCell ref="OGO1:OGR1"/>
    <mergeCell ref="OGS1:OGV1"/>
    <mergeCell ref="OFA1:OFD1"/>
    <mergeCell ref="OFE1:OFH1"/>
    <mergeCell ref="OFI1:OFL1"/>
    <mergeCell ref="OFM1:OFP1"/>
    <mergeCell ref="OFQ1:OFT1"/>
    <mergeCell ref="OFU1:OFX1"/>
    <mergeCell ref="OJQ1:OJT1"/>
    <mergeCell ref="OJU1:OJX1"/>
    <mergeCell ref="OJY1:OKB1"/>
    <mergeCell ref="OKC1:OKF1"/>
    <mergeCell ref="OKG1:OKJ1"/>
    <mergeCell ref="OKK1:OKN1"/>
    <mergeCell ref="OIS1:OIV1"/>
    <mergeCell ref="OIW1:OIZ1"/>
    <mergeCell ref="OJA1:OJD1"/>
    <mergeCell ref="OJE1:OJH1"/>
    <mergeCell ref="OJI1:OJL1"/>
    <mergeCell ref="OJM1:OJP1"/>
    <mergeCell ref="OHU1:OHX1"/>
    <mergeCell ref="OHY1:OIB1"/>
    <mergeCell ref="OIC1:OIF1"/>
    <mergeCell ref="OIG1:OIJ1"/>
    <mergeCell ref="OIK1:OIN1"/>
    <mergeCell ref="OIO1:OIR1"/>
    <mergeCell ref="OMK1:OMN1"/>
    <mergeCell ref="OMO1:OMR1"/>
    <mergeCell ref="OMS1:OMV1"/>
    <mergeCell ref="OMW1:OMZ1"/>
    <mergeCell ref="ONA1:OND1"/>
    <mergeCell ref="ONE1:ONH1"/>
    <mergeCell ref="OLM1:OLP1"/>
    <mergeCell ref="OLQ1:OLT1"/>
    <mergeCell ref="OLU1:OLX1"/>
    <mergeCell ref="OLY1:OMB1"/>
    <mergeCell ref="OMC1:OMF1"/>
    <mergeCell ref="OMG1:OMJ1"/>
    <mergeCell ref="OKO1:OKR1"/>
    <mergeCell ref="OKS1:OKV1"/>
    <mergeCell ref="OKW1:OKZ1"/>
    <mergeCell ref="OLA1:OLD1"/>
    <mergeCell ref="OLE1:OLH1"/>
    <mergeCell ref="OLI1:OLL1"/>
    <mergeCell ref="OPE1:OPH1"/>
    <mergeCell ref="OPI1:OPL1"/>
    <mergeCell ref="OPM1:OPP1"/>
    <mergeCell ref="OPQ1:OPT1"/>
    <mergeCell ref="OPU1:OPX1"/>
    <mergeCell ref="OPY1:OQB1"/>
    <mergeCell ref="OOG1:OOJ1"/>
    <mergeCell ref="OOK1:OON1"/>
    <mergeCell ref="OOO1:OOR1"/>
    <mergeCell ref="OOS1:OOV1"/>
    <mergeCell ref="OOW1:OOZ1"/>
    <mergeCell ref="OPA1:OPD1"/>
    <mergeCell ref="ONI1:ONL1"/>
    <mergeCell ref="ONM1:ONP1"/>
    <mergeCell ref="ONQ1:ONT1"/>
    <mergeCell ref="ONU1:ONX1"/>
    <mergeCell ref="ONY1:OOB1"/>
    <mergeCell ref="OOC1:OOF1"/>
    <mergeCell ref="ORY1:OSB1"/>
    <mergeCell ref="OSC1:OSF1"/>
    <mergeCell ref="OSG1:OSJ1"/>
    <mergeCell ref="OSK1:OSN1"/>
    <mergeCell ref="OSO1:OSR1"/>
    <mergeCell ref="OSS1:OSV1"/>
    <mergeCell ref="ORA1:ORD1"/>
    <mergeCell ref="ORE1:ORH1"/>
    <mergeCell ref="ORI1:ORL1"/>
    <mergeCell ref="ORM1:ORP1"/>
    <mergeCell ref="ORQ1:ORT1"/>
    <mergeCell ref="ORU1:ORX1"/>
    <mergeCell ref="OQC1:OQF1"/>
    <mergeCell ref="OQG1:OQJ1"/>
    <mergeCell ref="OQK1:OQN1"/>
    <mergeCell ref="OQO1:OQR1"/>
    <mergeCell ref="OQS1:OQV1"/>
    <mergeCell ref="OQW1:OQZ1"/>
    <mergeCell ref="OUS1:OUV1"/>
    <mergeCell ref="OUW1:OUZ1"/>
    <mergeCell ref="OVA1:OVD1"/>
    <mergeCell ref="OVE1:OVH1"/>
    <mergeCell ref="OVI1:OVL1"/>
    <mergeCell ref="OVM1:OVP1"/>
    <mergeCell ref="OTU1:OTX1"/>
    <mergeCell ref="OTY1:OUB1"/>
    <mergeCell ref="OUC1:OUF1"/>
    <mergeCell ref="OUG1:OUJ1"/>
    <mergeCell ref="OUK1:OUN1"/>
    <mergeCell ref="OUO1:OUR1"/>
    <mergeCell ref="OSW1:OSZ1"/>
    <mergeCell ref="OTA1:OTD1"/>
    <mergeCell ref="OTE1:OTH1"/>
    <mergeCell ref="OTI1:OTL1"/>
    <mergeCell ref="OTM1:OTP1"/>
    <mergeCell ref="OTQ1:OTT1"/>
    <mergeCell ref="OXM1:OXP1"/>
    <mergeCell ref="OXQ1:OXT1"/>
    <mergeCell ref="OXU1:OXX1"/>
    <mergeCell ref="OXY1:OYB1"/>
    <mergeCell ref="OYC1:OYF1"/>
    <mergeCell ref="OYG1:OYJ1"/>
    <mergeCell ref="OWO1:OWR1"/>
    <mergeCell ref="OWS1:OWV1"/>
    <mergeCell ref="OWW1:OWZ1"/>
    <mergeCell ref="OXA1:OXD1"/>
    <mergeCell ref="OXE1:OXH1"/>
    <mergeCell ref="OXI1:OXL1"/>
    <mergeCell ref="OVQ1:OVT1"/>
    <mergeCell ref="OVU1:OVX1"/>
    <mergeCell ref="OVY1:OWB1"/>
    <mergeCell ref="OWC1:OWF1"/>
    <mergeCell ref="OWG1:OWJ1"/>
    <mergeCell ref="OWK1:OWN1"/>
    <mergeCell ref="PAG1:PAJ1"/>
    <mergeCell ref="PAK1:PAN1"/>
    <mergeCell ref="PAO1:PAR1"/>
    <mergeCell ref="PAS1:PAV1"/>
    <mergeCell ref="PAW1:PAZ1"/>
    <mergeCell ref="PBA1:PBD1"/>
    <mergeCell ref="OZI1:OZL1"/>
    <mergeCell ref="OZM1:OZP1"/>
    <mergeCell ref="OZQ1:OZT1"/>
    <mergeCell ref="OZU1:OZX1"/>
    <mergeCell ref="OZY1:PAB1"/>
    <mergeCell ref="PAC1:PAF1"/>
    <mergeCell ref="OYK1:OYN1"/>
    <mergeCell ref="OYO1:OYR1"/>
    <mergeCell ref="OYS1:OYV1"/>
    <mergeCell ref="OYW1:OYZ1"/>
    <mergeCell ref="OZA1:OZD1"/>
    <mergeCell ref="OZE1:OZH1"/>
    <mergeCell ref="PDA1:PDD1"/>
    <mergeCell ref="PDE1:PDH1"/>
    <mergeCell ref="PDI1:PDL1"/>
    <mergeCell ref="PDM1:PDP1"/>
    <mergeCell ref="PDQ1:PDT1"/>
    <mergeCell ref="PDU1:PDX1"/>
    <mergeCell ref="PCC1:PCF1"/>
    <mergeCell ref="PCG1:PCJ1"/>
    <mergeCell ref="PCK1:PCN1"/>
    <mergeCell ref="PCO1:PCR1"/>
    <mergeCell ref="PCS1:PCV1"/>
    <mergeCell ref="PCW1:PCZ1"/>
    <mergeCell ref="PBE1:PBH1"/>
    <mergeCell ref="PBI1:PBL1"/>
    <mergeCell ref="PBM1:PBP1"/>
    <mergeCell ref="PBQ1:PBT1"/>
    <mergeCell ref="PBU1:PBX1"/>
    <mergeCell ref="PBY1:PCB1"/>
    <mergeCell ref="PFU1:PFX1"/>
    <mergeCell ref="PFY1:PGB1"/>
    <mergeCell ref="PGC1:PGF1"/>
    <mergeCell ref="PGG1:PGJ1"/>
    <mergeCell ref="PGK1:PGN1"/>
    <mergeCell ref="PGO1:PGR1"/>
    <mergeCell ref="PEW1:PEZ1"/>
    <mergeCell ref="PFA1:PFD1"/>
    <mergeCell ref="PFE1:PFH1"/>
    <mergeCell ref="PFI1:PFL1"/>
    <mergeCell ref="PFM1:PFP1"/>
    <mergeCell ref="PFQ1:PFT1"/>
    <mergeCell ref="PDY1:PEB1"/>
    <mergeCell ref="PEC1:PEF1"/>
    <mergeCell ref="PEG1:PEJ1"/>
    <mergeCell ref="PEK1:PEN1"/>
    <mergeCell ref="PEO1:PER1"/>
    <mergeCell ref="PES1:PEV1"/>
    <mergeCell ref="PIO1:PIR1"/>
    <mergeCell ref="PIS1:PIV1"/>
    <mergeCell ref="PIW1:PIZ1"/>
    <mergeCell ref="PJA1:PJD1"/>
    <mergeCell ref="PJE1:PJH1"/>
    <mergeCell ref="PJI1:PJL1"/>
    <mergeCell ref="PHQ1:PHT1"/>
    <mergeCell ref="PHU1:PHX1"/>
    <mergeCell ref="PHY1:PIB1"/>
    <mergeCell ref="PIC1:PIF1"/>
    <mergeCell ref="PIG1:PIJ1"/>
    <mergeCell ref="PIK1:PIN1"/>
    <mergeCell ref="PGS1:PGV1"/>
    <mergeCell ref="PGW1:PGZ1"/>
    <mergeCell ref="PHA1:PHD1"/>
    <mergeCell ref="PHE1:PHH1"/>
    <mergeCell ref="PHI1:PHL1"/>
    <mergeCell ref="PHM1:PHP1"/>
    <mergeCell ref="PLI1:PLL1"/>
    <mergeCell ref="PLM1:PLP1"/>
    <mergeCell ref="PLQ1:PLT1"/>
    <mergeCell ref="PLU1:PLX1"/>
    <mergeCell ref="PLY1:PMB1"/>
    <mergeCell ref="PMC1:PMF1"/>
    <mergeCell ref="PKK1:PKN1"/>
    <mergeCell ref="PKO1:PKR1"/>
    <mergeCell ref="PKS1:PKV1"/>
    <mergeCell ref="PKW1:PKZ1"/>
    <mergeCell ref="PLA1:PLD1"/>
    <mergeCell ref="PLE1:PLH1"/>
    <mergeCell ref="PJM1:PJP1"/>
    <mergeCell ref="PJQ1:PJT1"/>
    <mergeCell ref="PJU1:PJX1"/>
    <mergeCell ref="PJY1:PKB1"/>
    <mergeCell ref="PKC1:PKF1"/>
    <mergeCell ref="PKG1:PKJ1"/>
    <mergeCell ref="POC1:POF1"/>
    <mergeCell ref="POG1:POJ1"/>
    <mergeCell ref="POK1:PON1"/>
    <mergeCell ref="POO1:POR1"/>
    <mergeCell ref="POS1:POV1"/>
    <mergeCell ref="POW1:POZ1"/>
    <mergeCell ref="PNE1:PNH1"/>
    <mergeCell ref="PNI1:PNL1"/>
    <mergeCell ref="PNM1:PNP1"/>
    <mergeCell ref="PNQ1:PNT1"/>
    <mergeCell ref="PNU1:PNX1"/>
    <mergeCell ref="PNY1:POB1"/>
    <mergeCell ref="PMG1:PMJ1"/>
    <mergeCell ref="PMK1:PMN1"/>
    <mergeCell ref="PMO1:PMR1"/>
    <mergeCell ref="PMS1:PMV1"/>
    <mergeCell ref="PMW1:PMZ1"/>
    <mergeCell ref="PNA1:PND1"/>
    <mergeCell ref="PQW1:PQZ1"/>
    <mergeCell ref="PRA1:PRD1"/>
    <mergeCell ref="PRE1:PRH1"/>
    <mergeCell ref="PRI1:PRL1"/>
    <mergeCell ref="PRM1:PRP1"/>
    <mergeCell ref="PRQ1:PRT1"/>
    <mergeCell ref="PPY1:PQB1"/>
    <mergeCell ref="PQC1:PQF1"/>
    <mergeCell ref="PQG1:PQJ1"/>
    <mergeCell ref="PQK1:PQN1"/>
    <mergeCell ref="PQO1:PQR1"/>
    <mergeCell ref="PQS1:PQV1"/>
    <mergeCell ref="PPA1:PPD1"/>
    <mergeCell ref="PPE1:PPH1"/>
    <mergeCell ref="PPI1:PPL1"/>
    <mergeCell ref="PPM1:PPP1"/>
    <mergeCell ref="PPQ1:PPT1"/>
    <mergeCell ref="PPU1:PPX1"/>
    <mergeCell ref="PTQ1:PTT1"/>
    <mergeCell ref="PTU1:PTX1"/>
    <mergeCell ref="PTY1:PUB1"/>
    <mergeCell ref="PUC1:PUF1"/>
    <mergeCell ref="PUG1:PUJ1"/>
    <mergeCell ref="PUK1:PUN1"/>
    <mergeCell ref="PSS1:PSV1"/>
    <mergeCell ref="PSW1:PSZ1"/>
    <mergeCell ref="PTA1:PTD1"/>
    <mergeCell ref="PTE1:PTH1"/>
    <mergeCell ref="PTI1:PTL1"/>
    <mergeCell ref="PTM1:PTP1"/>
    <mergeCell ref="PRU1:PRX1"/>
    <mergeCell ref="PRY1:PSB1"/>
    <mergeCell ref="PSC1:PSF1"/>
    <mergeCell ref="PSG1:PSJ1"/>
    <mergeCell ref="PSK1:PSN1"/>
    <mergeCell ref="PSO1:PSR1"/>
    <mergeCell ref="PWK1:PWN1"/>
    <mergeCell ref="PWO1:PWR1"/>
    <mergeCell ref="PWS1:PWV1"/>
    <mergeCell ref="PWW1:PWZ1"/>
    <mergeCell ref="PXA1:PXD1"/>
    <mergeCell ref="PXE1:PXH1"/>
    <mergeCell ref="PVM1:PVP1"/>
    <mergeCell ref="PVQ1:PVT1"/>
    <mergeCell ref="PVU1:PVX1"/>
    <mergeCell ref="PVY1:PWB1"/>
    <mergeCell ref="PWC1:PWF1"/>
    <mergeCell ref="PWG1:PWJ1"/>
    <mergeCell ref="PUO1:PUR1"/>
    <mergeCell ref="PUS1:PUV1"/>
    <mergeCell ref="PUW1:PUZ1"/>
    <mergeCell ref="PVA1:PVD1"/>
    <mergeCell ref="PVE1:PVH1"/>
    <mergeCell ref="PVI1:PVL1"/>
    <mergeCell ref="PZE1:PZH1"/>
    <mergeCell ref="PZI1:PZL1"/>
    <mergeCell ref="PZM1:PZP1"/>
    <mergeCell ref="PZQ1:PZT1"/>
    <mergeCell ref="PZU1:PZX1"/>
    <mergeCell ref="PZY1:QAB1"/>
    <mergeCell ref="PYG1:PYJ1"/>
    <mergeCell ref="PYK1:PYN1"/>
    <mergeCell ref="PYO1:PYR1"/>
    <mergeCell ref="PYS1:PYV1"/>
    <mergeCell ref="PYW1:PYZ1"/>
    <mergeCell ref="PZA1:PZD1"/>
    <mergeCell ref="PXI1:PXL1"/>
    <mergeCell ref="PXM1:PXP1"/>
    <mergeCell ref="PXQ1:PXT1"/>
    <mergeCell ref="PXU1:PXX1"/>
    <mergeCell ref="PXY1:PYB1"/>
    <mergeCell ref="PYC1:PYF1"/>
    <mergeCell ref="QBY1:QCB1"/>
    <mergeCell ref="QCC1:QCF1"/>
    <mergeCell ref="QCG1:QCJ1"/>
    <mergeCell ref="QCK1:QCN1"/>
    <mergeCell ref="QCO1:QCR1"/>
    <mergeCell ref="QCS1:QCV1"/>
    <mergeCell ref="QBA1:QBD1"/>
    <mergeCell ref="QBE1:QBH1"/>
    <mergeCell ref="QBI1:QBL1"/>
    <mergeCell ref="QBM1:QBP1"/>
    <mergeCell ref="QBQ1:QBT1"/>
    <mergeCell ref="QBU1:QBX1"/>
    <mergeCell ref="QAC1:QAF1"/>
    <mergeCell ref="QAG1:QAJ1"/>
    <mergeCell ref="QAK1:QAN1"/>
    <mergeCell ref="QAO1:QAR1"/>
    <mergeCell ref="QAS1:QAV1"/>
    <mergeCell ref="QAW1:QAZ1"/>
    <mergeCell ref="QES1:QEV1"/>
    <mergeCell ref="QEW1:QEZ1"/>
    <mergeCell ref="QFA1:QFD1"/>
    <mergeCell ref="QFE1:QFH1"/>
    <mergeCell ref="QFI1:QFL1"/>
    <mergeCell ref="QFM1:QFP1"/>
    <mergeCell ref="QDU1:QDX1"/>
    <mergeCell ref="QDY1:QEB1"/>
    <mergeCell ref="QEC1:QEF1"/>
    <mergeCell ref="QEG1:QEJ1"/>
    <mergeCell ref="QEK1:QEN1"/>
    <mergeCell ref="QEO1:QER1"/>
    <mergeCell ref="QCW1:QCZ1"/>
    <mergeCell ref="QDA1:QDD1"/>
    <mergeCell ref="QDE1:QDH1"/>
    <mergeCell ref="QDI1:QDL1"/>
    <mergeCell ref="QDM1:QDP1"/>
    <mergeCell ref="QDQ1:QDT1"/>
    <mergeCell ref="QHM1:QHP1"/>
    <mergeCell ref="QHQ1:QHT1"/>
    <mergeCell ref="QHU1:QHX1"/>
    <mergeCell ref="QHY1:QIB1"/>
    <mergeCell ref="QIC1:QIF1"/>
    <mergeCell ref="QIG1:QIJ1"/>
    <mergeCell ref="QGO1:QGR1"/>
    <mergeCell ref="QGS1:QGV1"/>
    <mergeCell ref="QGW1:QGZ1"/>
    <mergeCell ref="QHA1:QHD1"/>
    <mergeCell ref="QHE1:QHH1"/>
    <mergeCell ref="QHI1:QHL1"/>
    <mergeCell ref="QFQ1:QFT1"/>
    <mergeCell ref="QFU1:QFX1"/>
    <mergeCell ref="QFY1:QGB1"/>
    <mergeCell ref="QGC1:QGF1"/>
    <mergeCell ref="QGG1:QGJ1"/>
    <mergeCell ref="QGK1:QGN1"/>
    <mergeCell ref="QKG1:QKJ1"/>
    <mergeCell ref="QKK1:QKN1"/>
    <mergeCell ref="QKO1:QKR1"/>
    <mergeCell ref="QKS1:QKV1"/>
    <mergeCell ref="QKW1:QKZ1"/>
    <mergeCell ref="QLA1:QLD1"/>
    <mergeCell ref="QJI1:QJL1"/>
    <mergeCell ref="QJM1:QJP1"/>
    <mergeCell ref="QJQ1:QJT1"/>
    <mergeCell ref="QJU1:QJX1"/>
    <mergeCell ref="QJY1:QKB1"/>
    <mergeCell ref="QKC1:QKF1"/>
    <mergeCell ref="QIK1:QIN1"/>
    <mergeCell ref="QIO1:QIR1"/>
    <mergeCell ref="QIS1:QIV1"/>
    <mergeCell ref="QIW1:QIZ1"/>
    <mergeCell ref="QJA1:QJD1"/>
    <mergeCell ref="QJE1:QJH1"/>
    <mergeCell ref="QNA1:QND1"/>
    <mergeCell ref="QNE1:QNH1"/>
    <mergeCell ref="QNI1:QNL1"/>
    <mergeCell ref="QNM1:QNP1"/>
    <mergeCell ref="QNQ1:QNT1"/>
    <mergeCell ref="QNU1:QNX1"/>
    <mergeCell ref="QMC1:QMF1"/>
    <mergeCell ref="QMG1:QMJ1"/>
    <mergeCell ref="QMK1:QMN1"/>
    <mergeCell ref="QMO1:QMR1"/>
    <mergeCell ref="QMS1:QMV1"/>
    <mergeCell ref="QMW1:QMZ1"/>
    <mergeCell ref="QLE1:QLH1"/>
    <mergeCell ref="QLI1:QLL1"/>
    <mergeCell ref="QLM1:QLP1"/>
    <mergeCell ref="QLQ1:QLT1"/>
    <mergeCell ref="QLU1:QLX1"/>
    <mergeCell ref="QLY1:QMB1"/>
    <mergeCell ref="QPU1:QPX1"/>
    <mergeCell ref="QPY1:QQB1"/>
    <mergeCell ref="QQC1:QQF1"/>
    <mergeCell ref="QQG1:QQJ1"/>
    <mergeCell ref="QQK1:QQN1"/>
    <mergeCell ref="QQO1:QQR1"/>
    <mergeCell ref="QOW1:QOZ1"/>
    <mergeCell ref="QPA1:QPD1"/>
    <mergeCell ref="QPE1:QPH1"/>
    <mergeCell ref="QPI1:QPL1"/>
    <mergeCell ref="QPM1:QPP1"/>
    <mergeCell ref="QPQ1:QPT1"/>
    <mergeCell ref="QNY1:QOB1"/>
    <mergeCell ref="QOC1:QOF1"/>
    <mergeCell ref="QOG1:QOJ1"/>
    <mergeCell ref="QOK1:QON1"/>
    <mergeCell ref="QOO1:QOR1"/>
    <mergeCell ref="QOS1:QOV1"/>
    <mergeCell ref="QSO1:QSR1"/>
    <mergeCell ref="QSS1:QSV1"/>
    <mergeCell ref="QSW1:QSZ1"/>
    <mergeCell ref="QTA1:QTD1"/>
    <mergeCell ref="QTE1:QTH1"/>
    <mergeCell ref="QTI1:QTL1"/>
    <mergeCell ref="QRQ1:QRT1"/>
    <mergeCell ref="QRU1:QRX1"/>
    <mergeCell ref="QRY1:QSB1"/>
    <mergeCell ref="QSC1:QSF1"/>
    <mergeCell ref="QSG1:QSJ1"/>
    <mergeCell ref="QSK1:QSN1"/>
    <mergeCell ref="QQS1:QQV1"/>
    <mergeCell ref="QQW1:QQZ1"/>
    <mergeCell ref="QRA1:QRD1"/>
    <mergeCell ref="QRE1:QRH1"/>
    <mergeCell ref="QRI1:QRL1"/>
    <mergeCell ref="QRM1:QRP1"/>
    <mergeCell ref="QVI1:QVL1"/>
    <mergeCell ref="QVM1:QVP1"/>
    <mergeCell ref="QVQ1:QVT1"/>
    <mergeCell ref="QVU1:QVX1"/>
    <mergeCell ref="QVY1:QWB1"/>
    <mergeCell ref="QWC1:QWF1"/>
    <mergeCell ref="QUK1:QUN1"/>
    <mergeCell ref="QUO1:QUR1"/>
    <mergeCell ref="QUS1:QUV1"/>
    <mergeCell ref="QUW1:QUZ1"/>
    <mergeCell ref="QVA1:QVD1"/>
    <mergeCell ref="QVE1:QVH1"/>
    <mergeCell ref="QTM1:QTP1"/>
    <mergeCell ref="QTQ1:QTT1"/>
    <mergeCell ref="QTU1:QTX1"/>
    <mergeCell ref="QTY1:QUB1"/>
    <mergeCell ref="QUC1:QUF1"/>
    <mergeCell ref="QUG1:QUJ1"/>
    <mergeCell ref="QYC1:QYF1"/>
    <mergeCell ref="QYG1:QYJ1"/>
    <mergeCell ref="QYK1:QYN1"/>
    <mergeCell ref="QYO1:QYR1"/>
    <mergeCell ref="QYS1:QYV1"/>
    <mergeCell ref="QYW1:QYZ1"/>
    <mergeCell ref="QXE1:QXH1"/>
    <mergeCell ref="QXI1:QXL1"/>
    <mergeCell ref="QXM1:QXP1"/>
    <mergeCell ref="QXQ1:QXT1"/>
    <mergeCell ref="QXU1:QXX1"/>
    <mergeCell ref="QXY1:QYB1"/>
    <mergeCell ref="QWG1:QWJ1"/>
    <mergeCell ref="QWK1:QWN1"/>
    <mergeCell ref="QWO1:QWR1"/>
    <mergeCell ref="QWS1:QWV1"/>
    <mergeCell ref="QWW1:QWZ1"/>
    <mergeCell ref="QXA1:QXD1"/>
    <mergeCell ref="RAW1:RAZ1"/>
    <mergeCell ref="RBA1:RBD1"/>
    <mergeCell ref="RBE1:RBH1"/>
    <mergeCell ref="RBI1:RBL1"/>
    <mergeCell ref="RBM1:RBP1"/>
    <mergeCell ref="RBQ1:RBT1"/>
    <mergeCell ref="QZY1:RAB1"/>
    <mergeCell ref="RAC1:RAF1"/>
    <mergeCell ref="RAG1:RAJ1"/>
    <mergeCell ref="RAK1:RAN1"/>
    <mergeCell ref="RAO1:RAR1"/>
    <mergeCell ref="RAS1:RAV1"/>
    <mergeCell ref="QZA1:QZD1"/>
    <mergeCell ref="QZE1:QZH1"/>
    <mergeCell ref="QZI1:QZL1"/>
    <mergeCell ref="QZM1:QZP1"/>
    <mergeCell ref="QZQ1:QZT1"/>
    <mergeCell ref="QZU1:QZX1"/>
    <mergeCell ref="RDQ1:RDT1"/>
    <mergeCell ref="RDU1:RDX1"/>
    <mergeCell ref="RDY1:REB1"/>
    <mergeCell ref="REC1:REF1"/>
    <mergeCell ref="REG1:REJ1"/>
    <mergeCell ref="REK1:REN1"/>
    <mergeCell ref="RCS1:RCV1"/>
    <mergeCell ref="RCW1:RCZ1"/>
    <mergeCell ref="RDA1:RDD1"/>
    <mergeCell ref="RDE1:RDH1"/>
    <mergeCell ref="RDI1:RDL1"/>
    <mergeCell ref="RDM1:RDP1"/>
    <mergeCell ref="RBU1:RBX1"/>
    <mergeCell ref="RBY1:RCB1"/>
    <mergeCell ref="RCC1:RCF1"/>
    <mergeCell ref="RCG1:RCJ1"/>
    <mergeCell ref="RCK1:RCN1"/>
    <mergeCell ref="RCO1:RCR1"/>
    <mergeCell ref="RGK1:RGN1"/>
    <mergeCell ref="RGO1:RGR1"/>
    <mergeCell ref="RGS1:RGV1"/>
    <mergeCell ref="RGW1:RGZ1"/>
    <mergeCell ref="RHA1:RHD1"/>
    <mergeCell ref="RHE1:RHH1"/>
    <mergeCell ref="RFM1:RFP1"/>
    <mergeCell ref="RFQ1:RFT1"/>
    <mergeCell ref="RFU1:RFX1"/>
    <mergeCell ref="RFY1:RGB1"/>
    <mergeCell ref="RGC1:RGF1"/>
    <mergeCell ref="RGG1:RGJ1"/>
    <mergeCell ref="REO1:RER1"/>
    <mergeCell ref="RES1:REV1"/>
    <mergeCell ref="REW1:REZ1"/>
    <mergeCell ref="RFA1:RFD1"/>
    <mergeCell ref="RFE1:RFH1"/>
    <mergeCell ref="RFI1:RFL1"/>
    <mergeCell ref="RJE1:RJH1"/>
    <mergeCell ref="RJI1:RJL1"/>
    <mergeCell ref="RJM1:RJP1"/>
    <mergeCell ref="RJQ1:RJT1"/>
    <mergeCell ref="RJU1:RJX1"/>
    <mergeCell ref="RJY1:RKB1"/>
    <mergeCell ref="RIG1:RIJ1"/>
    <mergeCell ref="RIK1:RIN1"/>
    <mergeCell ref="RIO1:RIR1"/>
    <mergeCell ref="RIS1:RIV1"/>
    <mergeCell ref="RIW1:RIZ1"/>
    <mergeCell ref="RJA1:RJD1"/>
    <mergeCell ref="RHI1:RHL1"/>
    <mergeCell ref="RHM1:RHP1"/>
    <mergeCell ref="RHQ1:RHT1"/>
    <mergeCell ref="RHU1:RHX1"/>
    <mergeCell ref="RHY1:RIB1"/>
    <mergeCell ref="RIC1:RIF1"/>
    <mergeCell ref="RLY1:RMB1"/>
    <mergeCell ref="RMC1:RMF1"/>
    <mergeCell ref="RMG1:RMJ1"/>
    <mergeCell ref="RMK1:RMN1"/>
    <mergeCell ref="RMO1:RMR1"/>
    <mergeCell ref="RMS1:RMV1"/>
    <mergeCell ref="RLA1:RLD1"/>
    <mergeCell ref="RLE1:RLH1"/>
    <mergeCell ref="RLI1:RLL1"/>
    <mergeCell ref="RLM1:RLP1"/>
    <mergeCell ref="RLQ1:RLT1"/>
    <mergeCell ref="RLU1:RLX1"/>
    <mergeCell ref="RKC1:RKF1"/>
    <mergeCell ref="RKG1:RKJ1"/>
    <mergeCell ref="RKK1:RKN1"/>
    <mergeCell ref="RKO1:RKR1"/>
    <mergeCell ref="RKS1:RKV1"/>
    <mergeCell ref="RKW1:RKZ1"/>
    <mergeCell ref="ROS1:ROV1"/>
    <mergeCell ref="ROW1:ROZ1"/>
    <mergeCell ref="RPA1:RPD1"/>
    <mergeCell ref="RPE1:RPH1"/>
    <mergeCell ref="RPI1:RPL1"/>
    <mergeCell ref="RPM1:RPP1"/>
    <mergeCell ref="RNU1:RNX1"/>
    <mergeCell ref="RNY1:ROB1"/>
    <mergeCell ref="ROC1:ROF1"/>
    <mergeCell ref="ROG1:ROJ1"/>
    <mergeCell ref="ROK1:RON1"/>
    <mergeCell ref="ROO1:ROR1"/>
    <mergeCell ref="RMW1:RMZ1"/>
    <mergeCell ref="RNA1:RND1"/>
    <mergeCell ref="RNE1:RNH1"/>
    <mergeCell ref="RNI1:RNL1"/>
    <mergeCell ref="RNM1:RNP1"/>
    <mergeCell ref="RNQ1:RNT1"/>
    <mergeCell ref="RRM1:RRP1"/>
    <mergeCell ref="RRQ1:RRT1"/>
    <mergeCell ref="RRU1:RRX1"/>
    <mergeCell ref="RRY1:RSB1"/>
    <mergeCell ref="RSC1:RSF1"/>
    <mergeCell ref="RSG1:RSJ1"/>
    <mergeCell ref="RQO1:RQR1"/>
    <mergeCell ref="RQS1:RQV1"/>
    <mergeCell ref="RQW1:RQZ1"/>
    <mergeCell ref="RRA1:RRD1"/>
    <mergeCell ref="RRE1:RRH1"/>
    <mergeCell ref="RRI1:RRL1"/>
    <mergeCell ref="RPQ1:RPT1"/>
    <mergeCell ref="RPU1:RPX1"/>
    <mergeCell ref="RPY1:RQB1"/>
    <mergeCell ref="RQC1:RQF1"/>
    <mergeCell ref="RQG1:RQJ1"/>
    <mergeCell ref="RQK1:RQN1"/>
    <mergeCell ref="RUG1:RUJ1"/>
    <mergeCell ref="RUK1:RUN1"/>
    <mergeCell ref="RUO1:RUR1"/>
    <mergeCell ref="RUS1:RUV1"/>
    <mergeCell ref="RUW1:RUZ1"/>
    <mergeCell ref="RVA1:RVD1"/>
    <mergeCell ref="RTI1:RTL1"/>
    <mergeCell ref="RTM1:RTP1"/>
    <mergeCell ref="RTQ1:RTT1"/>
    <mergeCell ref="RTU1:RTX1"/>
    <mergeCell ref="RTY1:RUB1"/>
    <mergeCell ref="RUC1:RUF1"/>
    <mergeCell ref="RSK1:RSN1"/>
    <mergeCell ref="RSO1:RSR1"/>
    <mergeCell ref="RSS1:RSV1"/>
    <mergeCell ref="RSW1:RSZ1"/>
    <mergeCell ref="RTA1:RTD1"/>
    <mergeCell ref="RTE1:RTH1"/>
    <mergeCell ref="RXA1:RXD1"/>
    <mergeCell ref="RXE1:RXH1"/>
    <mergeCell ref="RXI1:RXL1"/>
    <mergeCell ref="RXM1:RXP1"/>
    <mergeCell ref="RXQ1:RXT1"/>
    <mergeCell ref="RXU1:RXX1"/>
    <mergeCell ref="RWC1:RWF1"/>
    <mergeCell ref="RWG1:RWJ1"/>
    <mergeCell ref="RWK1:RWN1"/>
    <mergeCell ref="RWO1:RWR1"/>
    <mergeCell ref="RWS1:RWV1"/>
    <mergeCell ref="RWW1:RWZ1"/>
    <mergeCell ref="RVE1:RVH1"/>
    <mergeCell ref="RVI1:RVL1"/>
    <mergeCell ref="RVM1:RVP1"/>
    <mergeCell ref="RVQ1:RVT1"/>
    <mergeCell ref="RVU1:RVX1"/>
    <mergeCell ref="RVY1:RWB1"/>
    <mergeCell ref="RZU1:RZX1"/>
    <mergeCell ref="RZY1:SAB1"/>
    <mergeCell ref="SAC1:SAF1"/>
    <mergeCell ref="SAG1:SAJ1"/>
    <mergeCell ref="SAK1:SAN1"/>
    <mergeCell ref="SAO1:SAR1"/>
    <mergeCell ref="RYW1:RYZ1"/>
    <mergeCell ref="RZA1:RZD1"/>
    <mergeCell ref="RZE1:RZH1"/>
    <mergeCell ref="RZI1:RZL1"/>
    <mergeCell ref="RZM1:RZP1"/>
    <mergeCell ref="RZQ1:RZT1"/>
    <mergeCell ref="RXY1:RYB1"/>
    <mergeCell ref="RYC1:RYF1"/>
    <mergeCell ref="RYG1:RYJ1"/>
    <mergeCell ref="RYK1:RYN1"/>
    <mergeCell ref="RYO1:RYR1"/>
    <mergeCell ref="RYS1:RYV1"/>
    <mergeCell ref="SCO1:SCR1"/>
    <mergeCell ref="SCS1:SCV1"/>
    <mergeCell ref="SCW1:SCZ1"/>
    <mergeCell ref="SDA1:SDD1"/>
    <mergeCell ref="SDE1:SDH1"/>
    <mergeCell ref="SDI1:SDL1"/>
    <mergeCell ref="SBQ1:SBT1"/>
    <mergeCell ref="SBU1:SBX1"/>
    <mergeCell ref="SBY1:SCB1"/>
    <mergeCell ref="SCC1:SCF1"/>
    <mergeCell ref="SCG1:SCJ1"/>
    <mergeCell ref="SCK1:SCN1"/>
    <mergeCell ref="SAS1:SAV1"/>
    <mergeCell ref="SAW1:SAZ1"/>
    <mergeCell ref="SBA1:SBD1"/>
    <mergeCell ref="SBE1:SBH1"/>
    <mergeCell ref="SBI1:SBL1"/>
    <mergeCell ref="SBM1:SBP1"/>
    <mergeCell ref="SFI1:SFL1"/>
    <mergeCell ref="SFM1:SFP1"/>
    <mergeCell ref="SFQ1:SFT1"/>
    <mergeCell ref="SFU1:SFX1"/>
    <mergeCell ref="SFY1:SGB1"/>
    <mergeCell ref="SGC1:SGF1"/>
    <mergeCell ref="SEK1:SEN1"/>
    <mergeCell ref="SEO1:SER1"/>
    <mergeCell ref="SES1:SEV1"/>
    <mergeCell ref="SEW1:SEZ1"/>
    <mergeCell ref="SFA1:SFD1"/>
    <mergeCell ref="SFE1:SFH1"/>
    <mergeCell ref="SDM1:SDP1"/>
    <mergeCell ref="SDQ1:SDT1"/>
    <mergeCell ref="SDU1:SDX1"/>
    <mergeCell ref="SDY1:SEB1"/>
    <mergeCell ref="SEC1:SEF1"/>
    <mergeCell ref="SEG1:SEJ1"/>
    <mergeCell ref="SIC1:SIF1"/>
    <mergeCell ref="SIG1:SIJ1"/>
    <mergeCell ref="SIK1:SIN1"/>
    <mergeCell ref="SIO1:SIR1"/>
    <mergeCell ref="SIS1:SIV1"/>
    <mergeCell ref="SIW1:SIZ1"/>
    <mergeCell ref="SHE1:SHH1"/>
    <mergeCell ref="SHI1:SHL1"/>
    <mergeCell ref="SHM1:SHP1"/>
    <mergeCell ref="SHQ1:SHT1"/>
    <mergeCell ref="SHU1:SHX1"/>
    <mergeCell ref="SHY1:SIB1"/>
    <mergeCell ref="SGG1:SGJ1"/>
    <mergeCell ref="SGK1:SGN1"/>
    <mergeCell ref="SGO1:SGR1"/>
    <mergeCell ref="SGS1:SGV1"/>
    <mergeCell ref="SGW1:SGZ1"/>
    <mergeCell ref="SHA1:SHD1"/>
    <mergeCell ref="SKW1:SKZ1"/>
    <mergeCell ref="SLA1:SLD1"/>
    <mergeCell ref="SLE1:SLH1"/>
    <mergeCell ref="SLI1:SLL1"/>
    <mergeCell ref="SLM1:SLP1"/>
    <mergeCell ref="SLQ1:SLT1"/>
    <mergeCell ref="SJY1:SKB1"/>
    <mergeCell ref="SKC1:SKF1"/>
    <mergeCell ref="SKG1:SKJ1"/>
    <mergeCell ref="SKK1:SKN1"/>
    <mergeCell ref="SKO1:SKR1"/>
    <mergeCell ref="SKS1:SKV1"/>
    <mergeCell ref="SJA1:SJD1"/>
    <mergeCell ref="SJE1:SJH1"/>
    <mergeCell ref="SJI1:SJL1"/>
    <mergeCell ref="SJM1:SJP1"/>
    <mergeCell ref="SJQ1:SJT1"/>
    <mergeCell ref="SJU1:SJX1"/>
    <mergeCell ref="SNQ1:SNT1"/>
    <mergeCell ref="SNU1:SNX1"/>
    <mergeCell ref="SNY1:SOB1"/>
    <mergeCell ref="SOC1:SOF1"/>
    <mergeCell ref="SOG1:SOJ1"/>
    <mergeCell ref="SOK1:SON1"/>
    <mergeCell ref="SMS1:SMV1"/>
    <mergeCell ref="SMW1:SMZ1"/>
    <mergeCell ref="SNA1:SND1"/>
    <mergeCell ref="SNE1:SNH1"/>
    <mergeCell ref="SNI1:SNL1"/>
    <mergeCell ref="SNM1:SNP1"/>
    <mergeCell ref="SLU1:SLX1"/>
    <mergeCell ref="SLY1:SMB1"/>
    <mergeCell ref="SMC1:SMF1"/>
    <mergeCell ref="SMG1:SMJ1"/>
    <mergeCell ref="SMK1:SMN1"/>
    <mergeCell ref="SMO1:SMR1"/>
    <mergeCell ref="SQK1:SQN1"/>
    <mergeCell ref="SQO1:SQR1"/>
    <mergeCell ref="SQS1:SQV1"/>
    <mergeCell ref="SQW1:SQZ1"/>
    <mergeCell ref="SRA1:SRD1"/>
    <mergeCell ref="SRE1:SRH1"/>
    <mergeCell ref="SPM1:SPP1"/>
    <mergeCell ref="SPQ1:SPT1"/>
    <mergeCell ref="SPU1:SPX1"/>
    <mergeCell ref="SPY1:SQB1"/>
    <mergeCell ref="SQC1:SQF1"/>
    <mergeCell ref="SQG1:SQJ1"/>
    <mergeCell ref="SOO1:SOR1"/>
    <mergeCell ref="SOS1:SOV1"/>
    <mergeCell ref="SOW1:SOZ1"/>
    <mergeCell ref="SPA1:SPD1"/>
    <mergeCell ref="SPE1:SPH1"/>
    <mergeCell ref="SPI1:SPL1"/>
    <mergeCell ref="STE1:STH1"/>
    <mergeCell ref="STI1:STL1"/>
    <mergeCell ref="STM1:STP1"/>
    <mergeCell ref="STQ1:STT1"/>
    <mergeCell ref="STU1:STX1"/>
    <mergeCell ref="STY1:SUB1"/>
    <mergeCell ref="SSG1:SSJ1"/>
    <mergeCell ref="SSK1:SSN1"/>
    <mergeCell ref="SSO1:SSR1"/>
    <mergeCell ref="SSS1:SSV1"/>
    <mergeCell ref="SSW1:SSZ1"/>
    <mergeCell ref="STA1:STD1"/>
    <mergeCell ref="SRI1:SRL1"/>
    <mergeCell ref="SRM1:SRP1"/>
    <mergeCell ref="SRQ1:SRT1"/>
    <mergeCell ref="SRU1:SRX1"/>
    <mergeCell ref="SRY1:SSB1"/>
    <mergeCell ref="SSC1:SSF1"/>
    <mergeCell ref="SVY1:SWB1"/>
    <mergeCell ref="SWC1:SWF1"/>
    <mergeCell ref="SWG1:SWJ1"/>
    <mergeCell ref="SWK1:SWN1"/>
    <mergeCell ref="SWO1:SWR1"/>
    <mergeCell ref="SWS1:SWV1"/>
    <mergeCell ref="SVA1:SVD1"/>
    <mergeCell ref="SVE1:SVH1"/>
    <mergeCell ref="SVI1:SVL1"/>
    <mergeCell ref="SVM1:SVP1"/>
    <mergeCell ref="SVQ1:SVT1"/>
    <mergeCell ref="SVU1:SVX1"/>
    <mergeCell ref="SUC1:SUF1"/>
    <mergeCell ref="SUG1:SUJ1"/>
    <mergeCell ref="SUK1:SUN1"/>
    <mergeCell ref="SUO1:SUR1"/>
    <mergeCell ref="SUS1:SUV1"/>
    <mergeCell ref="SUW1:SUZ1"/>
    <mergeCell ref="SYS1:SYV1"/>
    <mergeCell ref="SYW1:SYZ1"/>
    <mergeCell ref="SZA1:SZD1"/>
    <mergeCell ref="SZE1:SZH1"/>
    <mergeCell ref="SZI1:SZL1"/>
    <mergeCell ref="SZM1:SZP1"/>
    <mergeCell ref="SXU1:SXX1"/>
    <mergeCell ref="SXY1:SYB1"/>
    <mergeCell ref="SYC1:SYF1"/>
    <mergeCell ref="SYG1:SYJ1"/>
    <mergeCell ref="SYK1:SYN1"/>
    <mergeCell ref="SYO1:SYR1"/>
    <mergeCell ref="SWW1:SWZ1"/>
    <mergeCell ref="SXA1:SXD1"/>
    <mergeCell ref="SXE1:SXH1"/>
    <mergeCell ref="SXI1:SXL1"/>
    <mergeCell ref="SXM1:SXP1"/>
    <mergeCell ref="SXQ1:SXT1"/>
    <mergeCell ref="TBM1:TBP1"/>
    <mergeCell ref="TBQ1:TBT1"/>
    <mergeCell ref="TBU1:TBX1"/>
    <mergeCell ref="TBY1:TCB1"/>
    <mergeCell ref="TCC1:TCF1"/>
    <mergeCell ref="TCG1:TCJ1"/>
    <mergeCell ref="TAO1:TAR1"/>
    <mergeCell ref="TAS1:TAV1"/>
    <mergeCell ref="TAW1:TAZ1"/>
    <mergeCell ref="TBA1:TBD1"/>
    <mergeCell ref="TBE1:TBH1"/>
    <mergeCell ref="TBI1:TBL1"/>
    <mergeCell ref="SZQ1:SZT1"/>
    <mergeCell ref="SZU1:SZX1"/>
    <mergeCell ref="SZY1:TAB1"/>
    <mergeCell ref="TAC1:TAF1"/>
    <mergeCell ref="TAG1:TAJ1"/>
    <mergeCell ref="TAK1:TAN1"/>
    <mergeCell ref="TEG1:TEJ1"/>
    <mergeCell ref="TEK1:TEN1"/>
    <mergeCell ref="TEO1:TER1"/>
    <mergeCell ref="TES1:TEV1"/>
    <mergeCell ref="TEW1:TEZ1"/>
    <mergeCell ref="TFA1:TFD1"/>
    <mergeCell ref="TDI1:TDL1"/>
    <mergeCell ref="TDM1:TDP1"/>
    <mergeCell ref="TDQ1:TDT1"/>
    <mergeCell ref="TDU1:TDX1"/>
    <mergeCell ref="TDY1:TEB1"/>
    <mergeCell ref="TEC1:TEF1"/>
    <mergeCell ref="TCK1:TCN1"/>
    <mergeCell ref="TCO1:TCR1"/>
    <mergeCell ref="TCS1:TCV1"/>
    <mergeCell ref="TCW1:TCZ1"/>
    <mergeCell ref="TDA1:TDD1"/>
    <mergeCell ref="TDE1:TDH1"/>
    <mergeCell ref="THA1:THD1"/>
    <mergeCell ref="THE1:THH1"/>
    <mergeCell ref="THI1:THL1"/>
    <mergeCell ref="THM1:THP1"/>
    <mergeCell ref="THQ1:THT1"/>
    <mergeCell ref="THU1:THX1"/>
    <mergeCell ref="TGC1:TGF1"/>
    <mergeCell ref="TGG1:TGJ1"/>
    <mergeCell ref="TGK1:TGN1"/>
    <mergeCell ref="TGO1:TGR1"/>
    <mergeCell ref="TGS1:TGV1"/>
    <mergeCell ref="TGW1:TGZ1"/>
    <mergeCell ref="TFE1:TFH1"/>
    <mergeCell ref="TFI1:TFL1"/>
    <mergeCell ref="TFM1:TFP1"/>
    <mergeCell ref="TFQ1:TFT1"/>
    <mergeCell ref="TFU1:TFX1"/>
    <mergeCell ref="TFY1:TGB1"/>
    <mergeCell ref="TJU1:TJX1"/>
    <mergeCell ref="TJY1:TKB1"/>
    <mergeCell ref="TKC1:TKF1"/>
    <mergeCell ref="TKG1:TKJ1"/>
    <mergeCell ref="TKK1:TKN1"/>
    <mergeCell ref="TKO1:TKR1"/>
    <mergeCell ref="TIW1:TIZ1"/>
    <mergeCell ref="TJA1:TJD1"/>
    <mergeCell ref="TJE1:TJH1"/>
    <mergeCell ref="TJI1:TJL1"/>
    <mergeCell ref="TJM1:TJP1"/>
    <mergeCell ref="TJQ1:TJT1"/>
    <mergeCell ref="THY1:TIB1"/>
    <mergeCell ref="TIC1:TIF1"/>
    <mergeCell ref="TIG1:TIJ1"/>
    <mergeCell ref="TIK1:TIN1"/>
    <mergeCell ref="TIO1:TIR1"/>
    <mergeCell ref="TIS1:TIV1"/>
    <mergeCell ref="TMO1:TMR1"/>
    <mergeCell ref="TMS1:TMV1"/>
    <mergeCell ref="TMW1:TMZ1"/>
    <mergeCell ref="TNA1:TND1"/>
    <mergeCell ref="TNE1:TNH1"/>
    <mergeCell ref="TNI1:TNL1"/>
    <mergeCell ref="TLQ1:TLT1"/>
    <mergeCell ref="TLU1:TLX1"/>
    <mergeCell ref="TLY1:TMB1"/>
    <mergeCell ref="TMC1:TMF1"/>
    <mergeCell ref="TMG1:TMJ1"/>
    <mergeCell ref="TMK1:TMN1"/>
    <mergeCell ref="TKS1:TKV1"/>
    <mergeCell ref="TKW1:TKZ1"/>
    <mergeCell ref="TLA1:TLD1"/>
    <mergeCell ref="TLE1:TLH1"/>
    <mergeCell ref="TLI1:TLL1"/>
    <mergeCell ref="TLM1:TLP1"/>
    <mergeCell ref="TPI1:TPL1"/>
    <mergeCell ref="TPM1:TPP1"/>
    <mergeCell ref="TPQ1:TPT1"/>
    <mergeCell ref="TPU1:TPX1"/>
    <mergeCell ref="TPY1:TQB1"/>
    <mergeCell ref="TQC1:TQF1"/>
    <mergeCell ref="TOK1:TON1"/>
    <mergeCell ref="TOO1:TOR1"/>
    <mergeCell ref="TOS1:TOV1"/>
    <mergeCell ref="TOW1:TOZ1"/>
    <mergeCell ref="TPA1:TPD1"/>
    <mergeCell ref="TPE1:TPH1"/>
    <mergeCell ref="TNM1:TNP1"/>
    <mergeCell ref="TNQ1:TNT1"/>
    <mergeCell ref="TNU1:TNX1"/>
    <mergeCell ref="TNY1:TOB1"/>
    <mergeCell ref="TOC1:TOF1"/>
    <mergeCell ref="TOG1:TOJ1"/>
    <mergeCell ref="TSC1:TSF1"/>
    <mergeCell ref="TSG1:TSJ1"/>
    <mergeCell ref="TSK1:TSN1"/>
    <mergeCell ref="TSO1:TSR1"/>
    <mergeCell ref="TSS1:TSV1"/>
    <mergeCell ref="TSW1:TSZ1"/>
    <mergeCell ref="TRE1:TRH1"/>
    <mergeCell ref="TRI1:TRL1"/>
    <mergeCell ref="TRM1:TRP1"/>
    <mergeCell ref="TRQ1:TRT1"/>
    <mergeCell ref="TRU1:TRX1"/>
    <mergeCell ref="TRY1:TSB1"/>
    <mergeCell ref="TQG1:TQJ1"/>
    <mergeCell ref="TQK1:TQN1"/>
    <mergeCell ref="TQO1:TQR1"/>
    <mergeCell ref="TQS1:TQV1"/>
    <mergeCell ref="TQW1:TQZ1"/>
    <mergeCell ref="TRA1:TRD1"/>
    <mergeCell ref="TUW1:TUZ1"/>
    <mergeCell ref="TVA1:TVD1"/>
    <mergeCell ref="TVE1:TVH1"/>
    <mergeCell ref="TVI1:TVL1"/>
    <mergeCell ref="TVM1:TVP1"/>
    <mergeCell ref="TVQ1:TVT1"/>
    <mergeCell ref="TTY1:TUB1"/>
    <mergeCell ref="TUC1:TUF1"/>
    <mergeCell ref="TUG1:TUJ1"/>
    <mergeCell ref="TUK1:TUN1"/>
    <mergeCell ref="TUO1:TUR1"/>
    <mergeCell ref="TUS1:TUV1"/>
    <mergeCell ref="TTA1:TTD1"/>
    <mergeCell ref="TTE1:TTH1"/>
    <mergeCell ref="TTI1:TTL1"/>
    <mergeCell ref="TTM1:TTP1"/>
    <mergeCell ref="TTQ1:TTT1"/>
    <mergeCell ref="TTU1:TTX1"/>
    <mergeCell ref="TXQ1:TXT1"/>
    <mergeCell ref="TXU1:TXX1"/>
    <mergeCell ref="TXY1:TYB1"/>
    <mergeCell ref="TYC1:TYF1"/>
    <mergeCell ref="TYG1:TYJ1"/>
    <mergeCell ref="TYK1:TYN1"/>
    <mergeCell ref="TWS1:TWV1"/>
    <mergeCell ref="TWW1:TWZ1"/>
    <mergeCell ref="TXA1:TXD1"/>
    <mergeCell ref="TXE1:TXH1"/>
    <mergeCell ref="TXI1:TXL1"/>
    <mergeCell ref="TXM1:TXP1"/>
    <mergeCell ref="TVU1:TVX1"/>
    <mergeCell ref="TVY1:TWB1"/>
    <mergeCell ref="TWC1:TWF1"/>
    <mergeCell ref="TWG1:TWJ1"/>
    <mergeCell ref="TWK1:TWN1"/>
    <mergeCell ref="TWO1:TWR1"/>
    <mergeCell ref="UAK1:UAN1"/>
    <mergeCell ref="UAO1:UAR1"/>
    <mergeCell ref="UAS1:UAV1"/>
    <mergeCell ref="UAW1:UAZ1"/>
    <mergeCell ref="UBA1:UBD1"/>
    <mergeCell ref="UBE1:UBH1"/>
    <mergeCell ref="TZM1:TZP1"/>
    <mergeCell ref="TZQ1:TZT1"/>
    <mergeCell ref="TZU1:TZX1"/>
    <mergeCell ref="TZY1:UAB1"/>
    <mergeCell ref="UAC1:UAF1"/>
    <mergeCell ref="UAG1:UAJ1"/>
    <mergeCell ref="TYO1:TYR1"/>
    <mergeCell ref="TYS1:TYV1"/>
    <mergeCell ref="TYW1:TYZ1"/>
    <mergeCell ref="TZA1:TZD1"/>
    <mergeCell ref="TZE1:TZH1"/>
    <mergeCell ref="TZI1:TZL1"/>
    <mergeCell ref="UDE1:UDH1"/>
    <mergeCell ref="UDI1:UDL1"/>
    <mergeCell ref="UDM1:UDP1"/>
    <mergeCell ref="UDQ1:UDT1"/>
    <mergeCell ref="UDU1:UDX1"/>
    <mergeCell ref="UDY1:UEB1"/>
    <mergeCell ref="UCG1:UCJ1"/>
    <mergeCell ref="UCK1:UCN1"/>
    <mergeCell ref="UCO1:UCR1"/>
    <mergeCell ref="UCS1:UCV1"/>
    <mergeCell ref="UCW1:UCZ1"/>
    <mergeCell ref="UDA1:UDD1"/>
    <mergeCell ref="UBI1:UBL1"/>
    <mergeCell ref="UBM1:UBP1"/>
    <mergeCell ref="UBQ1:UBT1"/>
    <mergeCell ref="UBU1:UBX1"/>
    <mergeCell ref="UBY1:UCB1"/>
    <mergeCell ref="UCC1:UCF1"/>
    <mergeCell ref="UFY1:UGB1"/>
    <mergeCell ref="UGC1:UGF1"/>
    <mergeCell ref="UGG1:UGJ1"/>
    <mergeCell ref="UGK1:UGN1"/>
    <mergeCell ref="UGO1:UGR1"/>
    <mergeCell ref="UGS1:UGV1"/>
    <mergeCell ref="UFA1:UFD1"/>
    <mergeCell ref="UFE1:UFH1"/>
    <mergeCell ref="UFI1:UFL1"/>
    <mergeCell ref="UFM1:UFP1"/>
    <mergeCell ref="UFQ1:UFT1"/>
    <mergeCell ref="UFU1:UFX1"/>
    <mergeCell ref="UEC1:UEF1"/>
    <mergeCell ref="UEG1:UEJ1"/>
    <mergeCell ref="UEK1:UEN1"/>
    <mergeCell ref="UEO1:UER1"/>
    <mergeCell ref="UES1:UEV1"/>
    <mergeCell ref="UEW1:UEZ1"/>
    <mergeCell ref="UIS1:UIV1"/>
    <mergeCell ref="UIW1:UIZ1"/>
    <mergeCell ref="UJA1:UJD1"/>
    <mergeCell ref="UJE1:UJH1"/>
    <mergeCell ref="UJI1:UJL1"/>
    <mergeCell ref="UJM1:UJP1"/>
    <mergeCell ref="UHU1:UHX1"/>
    <mergeCell ref="UHY1:UIB1"/>
    <mergeCell ref="UIC1:UIF1"/>
    <mergeCell ref="UIG1:UIJ1"/>
    <mergeCell ref="UIK1:UIN1"/>
    <mergeCell ref="UIO1:UIR1"/>
    <mergeCell ref="UGW1:UGZ1"/>
    <mergeCell ref="UHA1:UHD1"/>
    <mergeCell ref="UHE1:UHH1"/>
    <mergeCell ref="UHI1:UHL1"/>
    <mergeCell ref="UHM1:UHP1"/>
    <mergeCell ref="UHQ1:UHT1"/>
    <mergeCell ref="ULM1:ULP1"/>
    <mergeCell ref="ULQ1:ULT1"/>
    <mergeCell ref="ULU1:ULX1"/>
    <mergeCell ref="ULY1:UMB1"/>
    <mergeCell ref="UMC1:UMF1"/>
    <mergeCell ref="UMG1:UMJ1"/>
    <mergeCell ref="UKO1:UKR1"/>
    <mergeCell ref="UKS1:UKV1"/>
    <mergeCell ref="UKW1:UKZ1"/>
    <mergeCell ref="ULA1:ULD1"/>
    <mergeCell ref="ULE1:ULH1"/>
    <mergeCell ref="ULI1:ULL1"/>
    <mergeCell ref="UJQ1:UJT1"/>
    <mergeCell ref="UJU1:UJX1"/>
    <mergeCell ref="UJY1:UKB1"/>
    <mergeCell ref="UKC1:UKF1"/>
    <mergeCell ref="UKG1:UKJ1"/>
    <mergeCell ref="UKK1:UKN1"/>
    <mergeCell ref="UOG1:UOJ1"/>
    <mergeCell ref="UOK1:UON1"/>
    <mergeCell ref="UOO1:UOR1"/>
    <mergeCell ref="UOS1:UOV1"/>
    <mergeCell ref="UOW1:UOZ1"/>
    <mergeCell ref="UPA1:UPD1"/>
    <mergeCell ref="UNI1:UNL1"/>
    <mergeCell ref="UNM1:UNP1"/>
    <mergeCell ref="UNQ1:UNT1"/>
    <mergeCell ref="UNU1:UNX1"/>
    <mergeCell ref="UNY1:UOB1"/>
    <mergeCell ref="UOC1:UOF1"/>
    <mergeCell ref="UMK1:UMN1"/>
    <mergeCell ref="UMO1:UMR1"/>
    <mergeCell ref="UMS1:UMV1"/>
    <mergeCell ref="UMW1:UMZ1"/>
    <mergeCell ref="UNA1:UND1"/>
    <mergeCell ref="UNE1:UNH1"/>
    <mergeCell ref="URA1:URD1"/>
    <mergeCell ref="URE1:URH1"/>
    <mergeCell ref="URI1:URL1"/>
    <mergeCell ref="URM1:URP1"/>
    <mergeCell ref="URQ1:URT1"/>
    <mergeCell ref="URU1:URX1"/>
    <mergeCell ref="UQC1:UQF1"/>
    <mergeCell ref="UQG1:UQJ1"/>
    <mergeCell ref="UQK1:UQN1"/>
    <mergeCell ref="UQO1:UQR1"/>
    <mergeCell ref="UQS1:UQV1"/>
    <mergeCell ref="UQW1:UQZ1"/>
    <mergeCell ref="UPE1:UPH1"/>
    <mergeCell ref="UPI1:UPL1"/>
    <mergeCell ref="UPM1:UPP1"/>
    <mergeCell ref="UPQ1:UPT1"/>
    <mergeCell ref="UPU1:UPX1"/>
    <mergeCell ref="UPY1:UQB1"/>
    <mergeCell ref="UTU1:UTX1"/>
    <mergeCell ref="UTY1:UUB1"/>
    <mergeCell ref="UUC1:UUF1"/>
    <mergeCell ref="UUG1:UUJ1"/>
    <mergeCell ref="UUK1:UUN1"/>
    <mergeCell ref="UUO1:UUR1"/>
    <mergeCell ref="USW1:USZ1"/>
    <mergeCell ref="UTA1:UTD1"/>
    <mergeCell ref="UTE1:UTH1"/>
    <mergeCell ref="UTI1:UTL1"/>
    <mergeCell ref="UTM1:UTP1"/>
    <mergeCell ref="UTQ1:UTT1"/>
    <mergeCell ref="URY1:USB1"/>
    <mergeCell ref="USC1:USF1"/>
    <mergeCell ref="USG1:USJ1"/>
    <mergeCell ref="USK1:USN1"/>
    <mergeCell ref="USO1:USR1"/>
    <mergeCell ref="USS1:USV1"/>
    <mergeCell ref="UWO1:UWR1"/>
    <mergeCell ref="UWS1:UWV1"/>
    <mergeCell ref="UWW1:UWZ1"/>
    <mergeCell ref="UXA1:UXD1"/>
    <mergeCell ref="UXE1:UXH1"/>
    <mergeCell ref="UXI1:UXL1"/>
    <mergeCell ref="UVQ1:UVT1"/>
    <mergeCell ref="UVU1:UVX1"/>
    <mergeCell ref="UVY1:UWB1"/>
    <mergeCell ref="UWC1:UWF1"/>
    <mergeCell ref="UWG1:UWJ1"/>
    <mergeCell ref="UWK1:UWN1"/>
    <mergeCell ref="UUS1:UUV1"/>
    <mergeCell ref="UUW1:UUZ1"/>
    <mergeCell ref="UVA1:UVD1"/>
    <mergeCell ref="UVE1:UVH1"/>
    <mergeCell ref="UVI1:UVL1"/>
    <mergeCell ref="UVM1:UVP1"/>
    <mergeCell ref="UZI1:UZL1"/>
    <mergeCell ref="UZM1:UZP1"/>
    <mergeCell ref="UZQ1:UZT1"/>
    <mergeCell ref="UZU1:UZX1"/>
    <mergeCell ref="UZY1:VAB1"/>
    <mergeCell ref="VAC1:VAF1"/>
    <mergeCell ref="UYK1:UYN1"/>
    <mergeCell ref="UYO1:UYR1"/>
    <mergeCell ref="UYS1:UYV1"/>
    <mergeCell ref="UYW1:UYZ1"/>
    <mergeCell ref="UZA1:UZD1"/>
    <mergeCell ref="UZE1:UZH1"/>
    <mergeCell ref="UXM1:UXP1"/>
    <mergeCell ref="UXQ1:UXT1"/>
    <mergeCell ref="UXU1:UXX1"/>
    <mergeCell ref="UXY1:UYB1"/>
    <mergeCell ref="UYC1:UYF1"/>
    <mergeCell ref="UYG1:UYJ1"/>
    <mergeCell ref="VCC1:VCF1"/>
    <mergeCell ref="VCG1:VCJ1"/>
    <mergeCell ref="VCK1:VCN1"/>
    <mergeCell ref="VCO1:VCR1"/>
    <mergeCell ref="VCS1:VCV1"/>
    <mergeCell ref="VCW1:VCZ1"/>
    <mergeCell ref="VBE1:VBH1"/>
    <mergeCell ref="VBI1:VBL1"/>
    <mergeCell ref="VBM1:VBP1"/>
    <mergeCell ref="VBQ1:VBT1"/>
    <mergeCell ref="VBU1:VBX1"/>
    <mergeCell ref="VBY1:VCB1"/>
    <mergeCell ref="VAG1:VAJ1"/>
    <mergeCell ref="VAK1:VAN1"/>
    <mergeCell ref="VAO1:VAR1"/>
    <mergeCell ref="VAS1:VAV1"/>
    <mergeCell ref="VAW1:VAZ1"/>
    <mergeCell ref="VBA1:VBD1"/>
    <mergeCell ref="VEW1:VEZ1"/>
    <mergeCell ref="VFA1:VFD1"/>
    <mergeCell ref="VFE1:VFH1"/>
    <mergeCell ref="VFI1:VFL1"/>
    <mergeCell ref="VFM1:VFP1"/>
    <mergeCell ref="VFQ1:VFT1"/>
    <mergeCell ref="VDY1:VEB1"/>
    <mergeCell ref="VEC1:VEF1"/>
    <mergeCell ref="VEG1:VEJ1"/>
    <mergeCell ref="VEK1:VEN1"/>
    <mergeCell ref="VEO1:VER1"/>
    <mergeCell ref="VES1:VEV1"/>
    <mergeCell ref="VDA1:VDD1"/>
    <mergeCell ref="VDE1:VDH1"/>
    <mergeCell ref="VDI1:VDL1"/>
    <mergeCell ref="VDM1:VDP1"/>
    <mergeCell ref="VDQ1:VDT1"/>
    <mergeCell ref="VDU1:VDX1"/>
    <mergeCell ref="VHQ1:VHT1"/>
    <mergeCell ref="VHU1:VHX1"/>
    <mergeCell ref="VHY1:VIB1"/>
    <mergeCell ref="VIC1:VIF1"/>
    <mergeCell ref="VIG1:VIJ1"/>
    <mergeCell ref="VIK1:VIN1"/>
    <mergeCell ref="VGS1:VGV1"/>
    <mergeCell ref="VGW1:VGZ1"/>
    <mergeCell ref="VHA1:VHD1"/>
    <mergeCell ref="VHE1:VHH1"/>
    <mergeCell ref="VHI1:VHL1"/>
    <mergeCell ref="VHM1:VHP1"/>
    <mergeCell ref="VFU1:VFX1"/>
    <mergeCell ref="VFY1:VGB1"/>
    <mergeCell ref="VGC1:VGF1"/>
    <mergeCell ref="VGG1:VGJ1"/>
    <mergeCell ref="VGK1:VGN1"/>
    <mergeCell ref="VGO1:VGR1"/>
    <mergeCell ref="VKK1:VKN1"/>
    <mergeCell ref="VKO1:VKR1"/>
    <mergeCell ref="VKS1:VKV1"/>
    <mergeCell ref="VKW1:VKZ1"/>
    <mergeCell ref="VLA1:VLD1"/>
    <mergeCell ref="VLE1:VLH1"/>
    <mergeCell ref="VJM1:VJP1"/>
    <mergeCell ref="VJQ1:VJT1"/>
    <mergeCell ref="VJU1:VJX1"/>
    <mergeCell ref="VJY1:VKB1"/>
    <mergeCell ref="VKC1:VKF1"/>
    <mergeCell ref="VKG1:VKJ1"/>
    <mergeCell ref="VIO1:VIR1"/>
    <mergeCell ref="VIS1:VIV1"/>
    <mergeCell ref="VIW1:VIZ1"/>
    <mergeCell ref="VJA1:VJD1"/>
    <mergeCell ref="VJE1:VJH1"/>
    <mergeCell ref="VJI1:VJL1"/>
    <mergeCell ref="VNE1:VNH1"/>
    <mergeCell ref="VNI1:VNL1"/>
    <mergeCell ref="VNM1:VNP1"/>
    <mergeCell ref="VNQ1:VNT1"/>
    <mergeCell ref="VNU1:VNX1"/>
    <mergeCell ref="VNY1:VOB1"/>
    <mergeCell ref="VMG1:VMJ1"/>
    <mergeCell ref="VMK1:VMN1"/>
    <mergeCell ref="VMO1:VMR1"/>
    <mergeCell ref="VMS1:VMV1"/>
    <mergeCell ref="VMW1:VMZ1"/>
    <mergeCell ref="VNA1:VND1"/>
    <mergeCell ref="VLI1:VLL1"/>
    <mergeCell ref="VLM1:VLP1"/>
    <mergeCell ref="VLQ1:VLT1"/>
    <mergeCell ref="VLU1:VLX1"/>
    <mergeCell ref="VLY1:VMB1"/>
    <mergeCell ref="VMC1:VMF1"/>
    <mergeCell ref="VPY1:VQB1"/>
    <mergeCell ref="VQC1:VQF1"/>
    <mergeCell ref="VQG1:VQJ1"/>
    <mergeCell ref="VQK1:VQN1"/>
    <mergeCell ref="VQO1:VQR1"/>
    <mergeCell ref="VQS1:VQV1"/>
    <mergeCell ref="VPA1:VPD1"/>
    <mergeCell ref="VPE1:VPH1"/>
    <mergeCell ref="VPI1:VPL1"/>
    <mergeCell ref="VPM1:VPP1"/>
    <mergeCell ref="VPQ1:VPT1"/>
    <mergeCell ref="VPU1:VPX1"/>
    <mergeCell ref="VOC1:VOF1"/>
    <mergeCell ref="VOG1:VOJ1"/>
    <mergeCell ref="VOK1:VON1"/>
    <mergeCell ref="VOO1:VOR1"/>
    <mergeCell ref="VOS1:VOV1"/>
    <mergeCell ref="VOW1:VOZ1"/>
    <mergeCell ref="VSS1:VSV1"/>
    <mergeCell ref="VSW1:VSZ1"/>
    <mergeCell ref="VTA1:VTD1"/>
    <mergeCell ref="VTE1:VTH1"/>
    <mergeCell ref="VTI1:VTL1"/>
    <mergeCell ref="VTM1:VTP1"/>
    <mergeCell ref="VRU1:VRX1"/>
    <mergeCell ref="VRY1:VSB1"/>
    <mergeCell ref="VSC1:VSF1"/>
    <mergeCell ref="VSG1:VSJ1"/>
    <mergeCell ref="VSK1:VSN1"/>
    <mergeCell ref="VSO1:VSR1"/>
    <mergeCell ref="VQW1:VQZ1"/>
    <mergeCell ref="VRA1:VRD1"/>
    <mergeCell ref="VRE1:VRH1"/>
    <mergeCell ref="VRI1:VRL1"/>
    <mergeCell ref="VRM1:VRP1"/>
    <mergeCell ref="VRQ1:VRT1"/>
    <mergeCell ref="VVM1:VVP1"/>
    <mergeCell ref="VVQ1:VVT1"/>
    <mergeCell ref="VVU1:VVX1"/>
    <mergeCell ref="VVY1:VWB1"/>
    <mergeCell ref="VWC1:VWF1"/>
    <mergeCell ref="VWG1:VWJ1"/>
    <mergeCell ref="VUO1:VUR1"/>
    <mergeCell ref="VUS1:VUV1"/>
    <mergeCell ref="VUW1:VUZ1"/>
    <mergeCell ref="VVA1:VVD1"/>
    <mergeCell ref="VVE1:VVH1"/>
    <mergeCell ref="VVI1:VVL1"/>
    <mergeCell ref="VTQ1:VTT1"/>
    <mergeCell ref="VTU1:VTX1"/>
    <mergeCell ref="VTY1:VUB1"/>
    <mergeCell ref="VUC1:VUF1"/>
    <mergeCell ref="VUG1:VUJ1"/>
    <mergeCell ref="VUK1:VUN1"/>
    <mergeCell ref="VYG1:VYJ1"/>
    <mergeCell ref="VYK1:VYN1"/>
    <mergeCell ref="VYO1:VYR1"/>
    <mergeCell ref="VYS1:VYV1"/>
    <mergeCell ref="VYW1:VYZ1"/>
    <mergeCell ref="VZA1:VZD1"/>
    <mergeCell ref="VXI1:VXL1"/>
    <mergeCell ref="VXM1:VXP1"/>
    <mergeCell ref="VXQ1:VXT1"/>
    <mergeCell ref="VXU1:VXX1"/>
    <mergeCell ref="VXY1:VYB1"/>
    <mergeCell ref="VYC1:VYF1"/>
    <mergeCell ref="VWK1:VWN1"/>
    <mergeCell ref="VWO1:VWR1"/>
    <mergeCell ref="VWS1:VWV1"/>
    <mergeCell ref="VWW1:VWZ1"/>
    <mergeCell ref="VXA1:VXD1"/>
    <mergeCell ref="VXE1:VXH1"/>
    <mergeCell ref="WBA1:WBD1"/>
    <mergeCell ref="WBE1:WBH1"/>
    <mergeCell ref="WBI1:WBL1"/>
    <mergeCell ref="WBM1:WBP1"/>
    <mergeCell ref="WBQ1:WBT1"/>
    <mergeCell ref="WBU1:WBX1"/>
    <mergeCell ref="WAC1:WAF1"/>
    <mergeCell ref="WAG1:WAJ1"/>
    <mergeCell ref="WAK1:WAN1"/>
    <mergeCell ref="WAO1:WAR1"/>
    <mergeCell ref="WAS1:WAV1"/>
    <mergeCell ref="WAW1:WAZ1"/>
    <mergeCell ref="VZE1:VZH1"/>
    <mergeCell ref="VZI1:VZL1"/>
    <mergeCell ref="VZM1:VZP1"/>
    <mergeCell ref="VZQ1:VZT1"/>
    <mergeCell ref="VZU1:VZX1"/>
    <mergeCell ref="VZY1:WAB1"/>
    <mergeCell ref="WDU1:WDX1"/>
    <mergeCell ref="WDY1:WEB1"/>
    <mergeCell ref="WEC1:WEF1"/>
    <mergeCell ref="WEG1:WEJ1"/>
    <mergeCell ref="WEK1:WEN1"/>
    <mergeCell ref="WEO1:WER1"/>
    <mergeCell ref="WCW1:WCZ1"/>
    <mergeCell ref="WDA1:WDD1"/>
    <mergeCell ref="WDE1:WDH1"/>
    <mergeCell ref="WDI1:WDL1"/>
    <mergeCell ref="WDM1:WDP1"/>
    <mergeCell ref="WDQ1:WDT1"/>
    <mergeCell ref="WBY1:WCB1"/>
    <mergeCell ref="WCC1:WCF1"/>
    <mergeCell ref="WCG1:WCJ1"/>
    <mergeCell ref="WCK1:WCN1"/>
    <mergeCell ref="WCO1:WCR1"/>
    <mergeCell ref="WCS1:WCV1"/>
    <mergeCell ref="WGO1:WGR1"/>
    <mergeCell ref="WGS1:WGV1"/>
    <mergeCell ref="WGW1:WGZ1"/>
    <mergeCell ref="WHA1:WHD1"/>
    <mergeCell ref="WHE1:WHH1"/>
    <mergeCell ref="WHI1:WHL1"/>
    <mergeCell ref="WFQ1:WFT1"/>
    <mergeCell ref="WFU1:WFX1"/>
    <mergeCell ref="WFY1:WGB1"/>
    <mergeCell ref="WGC1:WGF1"/>
    <mergeCell ref="WGG1:WGJ1"/>
    <mergeCell ref="WGK1:WGN1"/>
    <mergeCell ref="WES1:WEV1"/>
    <mergeCell ref="WEW1:WEZ1"/>
    <mergeCell ref="WFA1:WFD1"/>
    <mergeCell ref="WFE1:WFH1"/>
    <mergeCell ref="WFI1:WFL1"/>
    <mergeCell ref="WFM1:WFP1"/>
    <mergeCell ref="WJI1:WJL1"/>
    <mergeCell ref="WJM1:WJP1"/>
    <mergeCell ref="WJQ1:WJT1"/>
    <mergeCell ref="WJU1:WJX1"/>
    <mergeCell ref="WJY1:WKB1"/>
    <mergeCell ref="WKC1:WKF1"/>
    <mergeCell ref="WIK1:WIN1"/>
    <mergeCell ref="WIO1:WIR1"/>
    <mergeCell ref="WIS1:WIV1"/>
    <mergeCell ref="WIW1:WIZ1"/>
    <mergeCell ref="WJA1:WJD1"/>
    <mergeCell ref="WJE1:WJH1"/>
    <mergeCell ref="WHM1:WHP1"/>
    <mergeCell ref="WHQ1:WHT1"/>
    <mergeCell ref="WHU1:WHX1"/>
    <mergeCell ref="WHY1:WIB1"/>
    <mergeCell ref="WIC1:WIF1"/>
    <mergeCell ref="WIG1:WIJ1"/>
    <mergeCell ref="WMC1:WMF1"/>
    <mergeCell ref="WMG1:WMJ1"/>
    <mergeCell ref="WMK1:WMN1"/>
    <mergeCell ref="WMO1:WMR1"/>
    <mergeCell ref="WMS1:WMV1"/>
    <mergeCell ref="WMW1:WMZ1"/>
    <mergeCell ref="WLE1:WLH1"/>
    <mergeCell ref="WLI1:WLL1"/>
    <mergeCell ref="WLM1:WLP1"/>
    <mergeCell ref="WLQ1:WLT1"/>
    <mergeCell ref="WLU1:WLX1"/>
    <mergeCell ref="WLY1:WMB1"/>
    <mergeCell ref="WKG1:WKJ1"/>
    <mergeCell ref="WKK1:WKN1"/>
    <mergeCell ref="WKO1:WKR1"/>
    <mergeCell ref="WKS1:WKV1"/>
    <mergeCell ref="WKW1:WKZ1"/>
    <mergeCell ref="WLA1:WLD1"/>
    <mergeCell ref="WOW1:WOZ1"/>
    <mergeCell ref="WPA1:WPD1"/>
    <mergeCell ref="WPE1:WPH1"/>
    <mergeCell ref="WPI1:WPL1"/>
    <mergeCell ref="WPM1:WPP1"/>
    <mergeCell ref="WPQ1:WPT1"/>
    <mergeCell ref="WNY1:WOB1"/>
    <mergeCell ref="WOC1:WOF1"/>
    <mergeCell ref="WOG1:WOJ1"/>
    <mergeCell ref="WOK1:WON1"/>
    <mergeCell ref="WOO1:WOR1"/>
    <mergeCell ref="WOS1:WOV1"/>
    <mergeCell ref="WNA1:WND1"/>
    <mergeCell ref="WNE1:WNH1"/>
    <mergeCell ref="WNI1:WNL1"/>
    <mergeCell ref="WNM1:WNP1"/>
    <mergeCell ref="WNQ1:WNT1"/>
    <mergeCell ref="WNU1:WNX1"/>
    <mergeCell ref="WRQ1:WRT1"/>
    <mergeCell ref="WRU1:WRX1"/>
    <mergeCell ref="WRY1:WSB1"/>
    <mergeCell ref="WSC1:WSF1"/>
    <mergeCell ref="WSG1:WSJ1"/>
    <mergeCell ref="WSK1:WSN1"/>
    <mergeCell ref="WQS1:WQV1"/>
    <mergeCell ref="WQW1:WQZ1"/>
    <mergeCell ref="WRA1:WRD1"/>
    <mergeCell ref="WRE1:WRH1"/>
    <mergeCell ref="WRI1:WRL1"/>
    <mergeCell ref="WRM1:WRP1"/>
    <mergeCell ref="WPU1:WPX1"/>
    <mergeCell ref="WPY1:WQB1"/>
    <mergeCell ref="WQC1:WQF1"/>
    <mergeCell ref="WQG1:WQJ1"/>
    <mergeCell ref="WQK1:WQN1"/>
    <mergeCell ref="WQO1:WQR1"/>
    <mergeCell ref="WUK1:WUN1"/>
    <mergeCell ref="WUO1:WUR1"/>
    <mergeCell ref="WUS1:WUV1"/>
    <mergeCell ref="WUW1:WUZ1"/>
    <mergeCell ref="WVA1:WVD1"/>
    <mergeCell ref="WVE1:WVH1"/>
    <mergeCell ref="WTM1:WTP1"/>
    <mergeCell ref="WTQ1:WTT1"/>
    <mergeCell ref="WTU1:WTX1"/>
    <mergeCell ref="WTY1:WUB1"/>
    <mergeCell ref="WUC1:WUF1"/>
    <mergeCell ref="WUG1:WUJ1"/>
    <mergeCell ref="WSO1:WSR1"/>
    <mergeCell ref="WSS1:WSV1"/>
    <mergeCell ref="WSW1:WSZ1"/>
    <mergeCell ref="WTA1:WTD1"/>
    <mergeCell ref="WTE1:WTH1"/>
    <mergeCell ref="WTI1:WTL1"/>
    <mergeCell ref="WXE1:WXH1"/>
    <mergeCell ref="WXI1:WXL1"/>
    <mergeCell ref="WXM1:WXP1"/>
    <mergeCell ref="WXQ1:WXT1"/>
    <mergeCell ref="WXU1:WXX1"/>
    <mergeCell ref="WXY1:WYB1"/>
    <mergeCell ref="WWG1:WWJ1"/>
    <mergeCell ref="WWK1:WWN1"/>
    <mergeCell ref="WWO1:WWR1"/>
    <mergeCell ref="WWS1:WWV1"/>
    <mergeCell ref="WWW1:WWZ1"/>
    <mergeCell ref="WXA1:WXD1"/>
    <mergeCell ref="WVI1:WVL1"/>
    <mergeCell ref="WVM1:WVP1"/>
    <mergeCell ref="WVQ1:WVT1"/>
    <mergeCell ref="WVU1:WVX1"/>
    <mergeCell ref="WVY1:WWB1"/>
    <mergeCell ref="WWC1:WWF1"/>
    <mergeCell ref="XBM1:XBP1"/>
    <mergeCell ref="XBQ1:XBT1"/>
    <mergeCell ref="WZY1:XAB1"/>
    <mergeCell ref="XAC1:XAF1"/>
    <mergeCell ref="XAG1:XAJ1"/>
    <mergeCell ref="XAK1:XAN1"/>
    <mergeCell ref="XAO1:XAR1"/>
    <mergeCell ref="XAS1:XAV1"/>
    <mergeCell ref="WZA1:WZD1"/>
    <mergeCell ref="WZE1:WZH1"/>
    <mergeCell ref="WZI1:WZL1"/>
    <mergeCell ref="WZM1:WZP1"/>
    <mergeCell ref="WZQ1:WZT1"/>
    <mergeCell ref="WZU1:WZX1"/>
    <mergeCell ref="WYC1:WYF1"/>
    <mergeCell ref="WYG1:WYJ1"/>
    <mergeCell ref="WYK1:WYN1"/>
    <mergeCell ref="WYO1:WYR1"/>
    <mergeCell ref="WYS1:WYV1"/>
    <mergeCell ref="WYW1:WYZ1"/>
    <mergeCell ref="C5:D5"/>
    <mergeCell ref="C6:D6"/>
    <mergeCell ref="C98:D98"/>
    <mergeCell ref="C99:D99"/>
    <mergeCell ref="XEO1:XER1"/>
    <mergeCell ref="XES1:XEV1"/>
    <mergeCell ref="XEW1:XEZ1"/>
    <mergeCell ref="XFA1:XFD1"/>
    <mergeCell ref="B2:D2"/>
    <mergeCell ref="B3:D3"/>
    <mergeCell ref="XDQ1:XDT1"/>
    <mergeCell ref="XDU1:XDX1"/>
    <mergeCell ref="XDY1:XEB1"/>
    <mergeCell ref="XEC1:XEF1"/>
    <mergeCell ref="XEG1:XEJ1"/>
    <mergeCell ref="XEK1:XEN1"/>
    <mergeCell ref="XCS1:XCV1"/>
    <mergeCell ref="XCW1:XCZ1"/>
    <mergeCell ref="XDA1:XDD1"/>
    <mergeCell ref="XDE1:XDH1"/>
    <mergeCell ref="XDI1:XDL1"/>
    <mergeCell ref="XDM1:XDP1"/>
    <mergeCell ref="XBU1:XBX1"/>
    <mergeCell ref="XBY1:XCB1"/>
    <mergeCell ref="XCC1:XCF1"/>
    <mergeCell ref="XCG1:XCJ1"/>
    <mergeCell ref="XCK1:XCN1"/>
    <mergeCell ref="XCO1:XCR1"/>
    <mergeCell ref="XAW1:XAZ1"/>
    <mergeCell ref="XBA1:XBD1"/>
    <mergeCell ref="XBE1:XBH1"/>
    <mergeCell ref="XBI1:XBL1"/>
  </mergeCells>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Offshore Wind</vt:lpstr>
      <vt:lpstr>Offshore Wind (2)</vt:lpstr>
      <vt:lpstr>Financial Definitions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Rudolph Santarromana</dc:creator>
  <cp:lastModifiedBy>Rudolph Santarromana</cp:lastModifiedBy>
  <dcterms:created xsi:type="dcterms:W3CDTF">2022-05-31T17:57:35Z</dcterms:created>
  <dcterms:modified xsi:type="dcterms:W3CDTF">2023-01-04T17:29:54Z</dcterms:modified>
</cp:coreProperties>
</file>